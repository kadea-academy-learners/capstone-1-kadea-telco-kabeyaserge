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esktop\SK PRIVATE CV\SERGRE PROJET KADEA TALCO\"/>
    </mc:Choice>
  </mc:AlternateContent>
  <bookViews>
    <workbookView xWindow="0" yWindow="0" windowWidth="20430" windowHeight="7590" activeTab="3"/>
  </bookViews>
  <sheets>
    <sheet name="Clients_Churn" sheetId="2" r:id="rId1"/>
    <sheet name="Clients_Churn suite" sheetId="7" r:id="rId2"/>
    <sheet name="Logs et Registre suite" sheetId="9" r:id="rId3"/>
    <sheet name="TDC CLIENTS, LOGS, REGISTRE " sheetId="6" r:id="rId4"/>
    <sheet name="Logs et Registre " sheetId="3" r:id="rId5"/>
    <sheet name="Registre_Maintenance" sheetId="4" r:id="rId6"/>
  </sheets>
  <definedNames>
    <definedName name="DonnéesExternes_1" localSheetId="0" hidden="1">Clients_Churn!$B$1:$H$751</definedName>
    <definedName name="DonnéesExternes_1" localSheetId="4" hidden="1">'Logs et Registre '!$A$1:$D$1930</definedName>
    <definedName name="DonnéesExternes_1" localSheetId="5" hidden="1">Registre_Maintenance!$A$1:$F$501</definedName>
  </definedNames>
  <calcPr calcId="162913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I3" i="2"/>
  <c r="J3" i="2" s="1"/>
  <c r="K3" i="2"/>
  <c r="I4" i="2"/>
  <c r="J4" i="2" s="1"/>
  <c r="K4" i="2"/>
  <c r="I5" i="2"/>
  <c r="J5" i="2" s="1"/>
  <c r="K5" i="2"/>
  <c r="I6" i="2"/>
  <c r="J6" i="2" s="1"/>
  <c r="K6" i="2"/>
  <c r="I7" i="2"/>
  <c r="J7" i="2" s="1"/>
  <c r="K7" i="2"/>
  <c r="I8" i="2"/>
  <c r="J8" i="2" s="1"/>
  <c r="K8" i="2"/>
  <c r="I9" i="2"/>
  <c r="J9" i="2" s="1"/>
  <c r="K9" i="2"/>
  <c r="I10" i="2"/>
  <c r="J10" i="2" s="1"/>
  <c r="K10" i="2"/>
  <c r="I11" i="2"/>
  <c r="J11" i="2" s="1"/>
  <c r="K11" i="2"/>
  <c r="I12" i="2"/>
  <c r="J12" i="2" s="1"/>
  <c r="K12" i="2"/>
  <c r="I13" i="2"/>
  <c r="J13" i="2" s="1"/>
  <c r="K13" i="2"/>
  <c r="I14" i="2"/>
  <c r="J14" i="2" s="1"/>
  <c r="K14" i="2"/>
  <c r="I15" i="2"/>
  <c r="J15" i="2" s="1"/>
  <c r="K15" i="2"/>
  <c r="I16" i="2"/>
  <c r="J16" i="2" s="1"/>
  <c r="K16" i="2"/>
  <c r="I17" i="2"/>
  <c r="J17" i="2" s="1"/>
  <c r="K17" i="2"/>
  <c r="I18" i="2"/>
  <c r="J18" i="2" s="1"/>
  <c r="K18" i="2"/>
  <c r="I19" i="2"/>
  <c r="J19" i="2" s="1"/>
  <c r="K19" i="2"/>
  <c r="I20" i="2"/>
  <c r="J20" i="2" s="1"/>
  <c r="K20" i="2"/>
  <c r="I21" i="2"/>
  <c r="J21" i="2" s="1"/>
  <c r="K21" i="2"/>
  <c r="I22" i="2"/>
  <c r="J22" i="2" s="1"/>
  <c r="K22" i="2"/>
  <c r="I23" i="2"/>
  <c r="J23" i="2" s="1"/>
  <c r="K23" i="2"/>
  <c r="I24" i="2"/>
  <c r="J24" i="2" s="1"/>
  <c r="K24" i="2"/>
  <c r="I25" i="2"/>
  <c r="J25" i="2" s="1"/>
  <c r="K25" i="2"/>
  <c r="I26" i="2"/>
  <c r="J26" i="2" s="1"/>
  <c r="K26" i="2"/>
  <c r="I27" i="2"/>
  <c r="J27" i="2" s="1"/>
  <c r="K27" i="2"/>
  <c r="I28" i="2"/>
  <c r="J28" i="2" s="1"/>
  <c r="K28" i="2"/>
  <c r="I29" i="2"/>
  <c r="J29" i="2" s="1"/>
  <c r="K29" i="2"/>
  <c r="I30" i="2"/>
  <c r="J30" i="2" s="1"/>
  <c r="K30" i="2"/>
  <c r="I31" i="2"/>
  <c r="J31" i="2" s="1"/>
  <c r="K31" i="2"/>
  <c r="I32" i="2"/>
  <c r="J32" i="2" s="1"/>
  <c r="K32" i="2"/>
  <c r="I33" i="2"/>
  <c r="J33" i="2" s="1"/>
  <c r="K33" i="2"/>
  <c r="I34" i="2"/>
  <c r="J34" i="2" s="1"/>
  <c r="K34" i="2"/>
  <c r="I35" i="2"/>
  <c r="J35" i="2" s="1"/>
  <c r="K35" i="2"/>
  <c r="I36" i="2"/>
  <c r="J36" i="2" s="1"/>
  <c r="K36" i="2"/>
  <c r="I37" i="2"/>
  <c r="J37" i="2" s="1"/>
  <c r="K37" i="2"/>
  <c r="I38" i="2"/>
  <c r="J38" i="2" s="1"/>
  <c r="K38" i="2"/>
  <c r="I39" i="2"/>
  <c r="J39" i="2" s="1"/>
  <c r="K39" i="2"/>
  <c r="I40" i="2"/>
  <c r="J40" i="2" s="1"/>
  <c r="K40" i="2"/>
  <c r="I41" i="2"/>
  <c r="J41" i="2" s="1"/>
  <c r="K41" i="2"/>
  <c r="I42" i="2"/>
  <c r="J42" i="2" s="1"/>
  <c r="K42" i="2"/>
  <c r="I43" i="2"/>
  <c r="J43" i="2" s="1"/>
  <c r="K43" i="2"/>
  <c r="I44" i="2"/>
  <c r="J44" i="2" s="1"/>
  <c r="K44" i="2"/>
  <c r="I45" i="2"/>
  <c r="J45" i="2" s="1"/>
  <c r="K45" i="2"/>
  <c r="I46" i="2"/>
  <c r="J46" i="2" s="1"/>
  <c r="K46" i="2"/>
  <c r="I47" i="2"/>
  <c r="J47" i="2" s="1"/>
  <c r="K47" i="2"/>
  <c r="I48" i="2"/>
  <c r="J48" i="2" s="1"/>
  <c r="K48" i="2"/>
  <c r="I49" i="2"/>
  <c r="J49" i="2" s="1"/>
  <c r="K49" i="2"/>
  <c r="I50" i="2"/>
  <c r="J50" i="2" s="1"/>
  <c r="K50" i="2"/>
  <c r="I51" i="2"/>
  <c r="J51" i="2" s="1"/>
  <c r="K51" i="2"/>
  <c r="I52" i="2"/>
  <c r="J52" i="2" s="1"/>
  <c r="K52" i="2"/>
  <c r="I53" i="2"/>
  <c r="J53" i="2" s="1"/>
  <c r="K53" i="2"/>
  <c r="I54" i="2"/>
  <c r="J54" i="2" s="1"/>
  <c r="K54" i="2"/>
  <c r="I55" i="2"/>
  <c r="J55" i="2" s="1"/>
  <c r="K55" i="2"/>
  <c r="I56" i="2"/>
  <c r="J56" i="2" s="1"/>
  <c r="K56" i="2"/>
  <c r="I57" i="2"/>
  <c r="J57" i="2" s="1"/>
  <c r="K57" i="2"/>
  <c r="I58" i="2"/>
  <c r="J58" i="2" s="1"/>
  <c r="K58" i="2"/>
  <c r="I59" i="2"/>
  <c r="J59" i="2" s="1"/>
  <c r="K59" i="2"/>
  <c r="I60" i="2"/>
  <c r="J60" i="2" s="1"/>
  <c r="K60" i="2"/>
  <c r="I61" i="2"/>
  <c r="J61" i="2" s="1"/>
  <c r="K61" i="2"/>
  <c r="I62" i="2"/>
  <c r="J62" i="2" s="1"/>
  <c r="K62" i="2"/>
  <c r="I63" i="2"/>
  <c r="J63" i="2" s="1"/>
  <c r="K63" i="2"/>
  <c r="I64" i="2"/>
  <c r="J64" i="2" s="1"/>
  <c r="K64" i="2"/>
  <c r="I65" i="2"/>
  <c r="J65" i="2" s="1"/>
  <c r="K65" i="2"/>
  <c r="I66" i="2"/>
  <c r="J66" i="2" s="1"/>
  <c r="K66" i="2"/>
  <c r="I67" i="2"/>
  <c r="J67" i="2" s="1"/>
  <c r="K67" i="2"/>
  <c r="I68" i="2"/>
  <c r="J68" i="2" s="1"/>
  <c r="K68" i="2"/>
  <c r="I69" i="2"/>
  <c r="J69" i="2" s="1"/>
  <c r="K69" i="2"/>
  <c r="I70" i="2"/>
  <c r="J70" i="2" s="1"/>
  <c r="K70" i="2"/>
  <c r="I71" i="2"/>
  <c r="J71" i="2" s="1"/>
  <c r="K71" i="2"/>
  <c r="I72" i="2"/>
  <c r="J72" i="2" s="1"/>
  <c r="K72" i="2"/>
  <c r="I73" i="2"/>
  <c r="J73" i="2" s="1"/>
  <c r="K73" i="2"/>
  <c r="I74" i="2"/>
  <c r="J74" i="2" s="1"/>
  <c r="K74" i="2"/>
  <c r="I75" i="2"/>
  <c r="J75" i="2" s="1"/>
  <c r="K75" i="2"/>
  <c r="I76" i="2"/>
  <c r="J76" i="2" s="1"/>
  <c r="K76" i="2"/>
  <c r="I77" i="2"/>
  <c r="J77" i="2" s="1"/>
  <c r="K77" i="2"/>
  <c r="I78" i="2"/>
  <c r="J78" i="2" s="1"/>
  <c r="K78" i="2"/>
  <c r="I79" i="2"/>
  <c r="J79" i="2" s="1"/>
  <c r="K79" i="2"/>
  <c r="I80" i="2"/>
  <c r="J80" i="2" s="1"/>
  <c r="K80" i="2"/>
  <c r="I81" i="2"/>
  <c r="J81" i="2" s="1"/>
  <c r="K81" i="2"/>
  <c r="I82" i="2"/>
  <c r="J82" i="2" s="1"/>
  <c r="K82" i="2"/>
  <c r="I83" i="2"/>
  <c r="J83" i="2" s="1"/>
  <c r="K83" i="2"/>
  <c r="I84" i="2"/>
  <c r="J84" i="2" s="1"/>
  <c r="K84" i="2"/>
  <c r="I85" i="2"/>
  <c r="J85" i="2" s="1"/>
  <c r="K85" i="2"/>
  <c r="I86" i="2"/>
  <c r="J86" i="2" s="1"/>
  <c r="K86" i="2"/>
  <c r="I87" i="2"/>
  <c r="J87" i="2" s="1"/>
  <c r="K87" i="2"/>
  <c r="I88" i="2"/>
  <c r="J88" i="2" s="1"/>
  <c r="K88" i="2"/>
  <c r="I89" i="2"/>
  <c r="J89" i="2" s="1"/>
  <c r="K89" i="2"/>
  <c r="I90" i="2"/>
  <c r="J90" i="2" s="1"/>
  <c r="K90" i="2"/>
  <c r="I91" i="2"/>
  <c r="J91" i="2" s="1"/>
  <c r="K91" i="2"/>
  <c r="I92" i="2"/>
  <c r="J92" i="2" s="1"/>
  <c r="K92" i="2"/>
  <c r="I93" i="2"/>
  <c r="J93" i="2" s="1"/>
  <c r="K93" i="2"/>
  <c r="I94" i="2"/>
  <c r="J94" i="2" s="1"/>
  <c r="K94" i="2"/>
  <c r="I95" i="2"/>
  <c r="J95" i="2" s="1"/>
  <c r="K95" i="2"/>
  <c r="I96" i="2"/>
  <c r="J96" i="2" s="1"/>
  <c r="K96" i="2"/>
  <c r="I97" i="2"/>
  <c r="J97" i="2" s="1"/>
  <c r="K97" i="2"/>
  <c r="I98" i="2"/>
  <c r="J98" i="2" s="1"/>
  <c r="K98" i="2"/>
  <c r="I99" i="2"/>
  <c r="J99" i="2" s="1"/>
  <c r="K99" i="2"/>
  <c r="I100" i="2"/>
  <c r="J100" i="2" s="1"/>
  <c r="K100" i="2"/>
  <c r="I101" i="2"/>
  <c r="J101" i="2" s="1"/>
  <c r="K101" i="2"/>
  <c r="I102" i="2"/>
  <c r="J102" i="2" s="1"/>
  <c r="K102" i="2"/>
  <c r="I103" i="2"/>
  <c r="J103" i="2" s="1"/>
  <c r="K103" i="2"/>
  <c r="I104" i="2"/>
  <c r="J104" i="2" s="1"/>
  <c r="K104" i="2"/>
  <c r="I105" i="2"/>
  <c r="J105" i="2" s="1"/>
  <c r="K105" i="2"/>
  <c r="I106" i="2"/>
  <c r="J106" i="2" s="1"/>
  <c r="K106" i="2"/>
  <c r="I107" i="2"/>
  <c r="J107" i="2" s="1"/>
  <c r="K107" i="2"/>
  <c r="I108" i="2"/>
  <c r="J108" i="2" s="1"/>
  <c r="K108" i="2"/>
  <c r="I109" i="2"/>
  <c r="J109" i="2" s="1"/>
  <c r="K109" i="2"/>
  <c r="I110" i="2"/>
  <c r="J110" i="2" s="1"/>
  <c r="K110" i="2"/>
  <c r="I111" i="2"/>
  <c r="J111" i="2" s="1"/>
  <c r="K111" i="2"/>
  <c r="I112" i="2"/>
  <c r="J112" i="2" s="1"/>
  <c r="K112" i="2"/>
  <c r="I113" i="2"/>
  <c r="J113" i="2" s="1"/>
  <c r="K113" i="2"/>
  <c r="I114" i="2"/>
  <c r="J114" i="2" s="1"/>
  <c r="K114" i="2"/>
  <c r="I115" i="2"/>
  <c r="J115" i="2" s="1"/>
  <c r="K115" i="2"/>
  <c r="I116" i="2"/>
  <c r="J116" i="2" s="1"/>
  <c r="K116" i="2"/>
  <c r="I117" i="2"/>
  <c r="J117" i="2" s="1"/>
  <c r="K117" i="2"/>
  <c r="I118" i="2"/>
  <c r="J118" i="2" s="1"/>
  <c r="K118" i="2"/>
  <c r="I119" i="2"/>
  <c r="J119" i="2" s="1"/>
  <c r="K119" i="2"/>
  <c r="I120" i="2"/>
  <c r="J120" i="2" s="1"/>
  <c r="K120" i="2"/>
  <c r="I121" i="2"/>
  <c r="J121" i="2" s="1"/>
  <c r="K121" i="2"/>
  <c r="I122" i="2"/>
  <c r="J122" i="2" s="1"/>
  <c r="K122" i="2"/>
  <c r="I123" i="2"/>
  <c r="J123" i="2" s="1"/>
  <c r="K123" i="2"/>
  <c r="I124" i="2"/>
  <c r="J124" i="2" s="1"/>
  <c r="K124" i="2"/>
  <c r="I125" i="2"/>
  <c r="J125" i="2" s="1"/>
  <c r="K125" i="2"/>
  <c r="I126" i="2"/>
  <c r="J126" i="2" s="1"/>
  <c r="K126" i="2"/>
  <c r="I127" i="2"/>
  <c r="J127" i="2" s="1"/>
  <c r="K127" i="2"/>
  <c r="I128" i="2"/>
  <c r="J128" i="2" s="1"/>
  <c r="K128" i="2"/>
  <c r="I129" i="2"/>
  <c r="J129" i="2" s="1"/>
  <c r="K129" i="2"/>
  <c r="I130" i="2"/>
  <c r="J130" i="2" s="1"/>
  <c r="K130" i="2"/>
  <c r="I131" i="2"/>
  <c r="J131" i="2" s="1"/>
  <c r="K131" i="2"/>
  <c r="I132" i="2"/>
  <c r="J132" i="2" s="1"/>
  <c r="K132" i="2"/>
  <c r="I133" i="2"/>
  <c r="J133" i="2" s="1"/>
  <c r="K133" i="2"/>
  <c r="I134" i="2"/>
  <c r="J134" i="2" s="1"/>
  <c r="K134" i="2"/>
  <c r="I135" i="2"/>
  <c r="J135" i="2" s="1"/>
  <c r="K135" i="2"/>
  <c r="I136" i="2"/>
  <c r="J136" i="2" s="1"/>
  <c r="K136" i="2"/>
  <c r="I137" i="2"/>
  <c r="J137" i="2" s="1"/>
  <c r="K137" i="2"/>
  <c r="I138" i="2"/>
  <c r="J138" i="2" s="1"/>
  <c r="K138" i="2"/>
  <c r="I139" i="2"/>
  <c r="J139" i="2" s="1"/>
  <c r="K139" i="2"/>
  <c r="I140" i="2"/>
  <c r="J140" i="2" s="1"/>
  <c r="K140" i="2"/>
  <c r="I141" i="2"/>
  <c r="J141" i="2" s="1"/>
  <c r="K141" i="2"/>
  <c r="I142" i="2"/>
  <c r="J142" i="2" s="1"/>
  <c r="K142" i="2"/>
  <c r="I143" i="2"/>
  <c r="J143" i="2" s="1"/>
  <c r="K143" i="2"/>
  <c r="I144" i="2"/>
  <c r="J144" i="2" s="1"/>
  <c r="K144" i="2"/>
  <c r="I145" i="2"/>
  <c r="J145" i="2" s="1"/>
  <c r="K145" i="2"/>
  <c r="I146" i="2"/>
  <c r="J146" i="2" s="1"/>
  <c r="K146" i="2"/>
  <c r="I147" i="2"/>
  <c r="J147" i="2" s="1"/>
  <c r="K147" i="2"/>
  <c r="I148" i="2"/>
  <c r="J148" i="2" s="1"/>
  <c r="K148" i="2"/>
  <c r="I149" i="2"/>
  <c r="J149" i="2" s="1"/>
  <c r="K149" i="2"/>
  <c r="I150" i="2"/>
  <c r="J150" i="2" s="1"/>
  <c r="K150" i="2"/>
  <c r="I151" i="2"/>
  <c r="J151" i="2" s="1"/>
  <c r="K151" i="2"/>
  <c r="I152" i="2"/>
  <c r="J152" i="2" s="1"/>
  <c r="K152" i="2"/>
  <c r="I153" i="2"/>
  <c r="J153" i="2" s="1"/>
  <c r="K153" i="2"/>
  <c r="I154" i="2"/>
  <c r="J154" i="2" s="1"/>
  <c r="K154" i="2"/>
  <c r="I155" i="2"/>
  <c r="J155" i="2" s="1"/>
  <c r="K155" i="2"/>
  <c r="I156" i="2"/>
  <c r="J156" i="2" s="1"/>
  <c r="K156" i="2"/>
  <c r="I157" i="2"/>
  <c r="J157" i="2" s="1"/>
  <c r="K157" i="2"/>
  <c r="I158" i="2"/>
  <c r="J158" i="2" s="1"/>
  <c r="K158" i="2"/>
  <c r="I159" i="2"/>
  <c r="J159" i="2" s="1"/>
  <c r="K159" i="2"/>
  <c r="I160" i="2"/>
  <c r="J160" i="2" s="1"/>
  <c r="K160" i="2"/>
  <c r="I161" i="2"/>
  <c r="J161" i="2" s="1"/>
  <c r="K161" i="2"/>
  <c r="I162" i="2"/>
  <c r="J162" i="2" s="1"/>
  <c r="K162" i="2"/>
  <c r="I163" i="2"/>
  <c r="J163" i="2" s="1"/>
  <c r="K163" i="2"/>
  <c r="I164" i="2"/>
  <c r="J164" i="2" s="1"/>
  <c r="K164" i="2"/>
  <c r="I165" i="2"/>
  <c r="J165" i="2" s="1"/>
  <c r="K165" i="2"/>
  <c r="I166" i="2"/>
  <c r="J166" i="2" s="1"/>
  <c r="K166" i="2"/>
  <c r="I167" i="2"/>
  <c r="J167" i="2" s="1"/>
  <c r="K167" i="2"/>
  <c r="I168" i="2"/>
  <c r="J168" i="2" s="1"/>
  <c r="K168" i="2"/>
  <c r="I169" i="2"/>
  <c r="J169" i="2" s="1"/>
  <c r="K169" i="2"/>
  <c r="I170" i="2"/>
  <c r="J170" i="2" s="1"/>
  <c r="K170" i="2"/>
  <c r="I171" i="2"/>
  <c r="J171" i="2" s="1"/>
  <c r="K171" i="2"/>
  <c r="I172" i="2"/>
  <c r="J172" i="2" s="1"/>
  <c r="K172" i="2"/>
  <c r="I173" i="2"/>
  <c r="J173" i="2" s="1"/>
  <c r="K173" i="2"/>
  <c r="I174" i="2"/>
  <c r="J174" i="2" s="1"/>
  <c r="K174" i="2"/>
  <c r="I175" i="2"/>
  <c r="J175" i="2" s="1"/>
  <c r="K175" i="2"/>
  <c r="I176" i="2"/>
  <c r="J176" i="2"/>
  <c r="K176" i="2"/>
  <c r="I177" i="2"/>
  <c r="J177" i="2" s="1"/>
  <c r="K177" i="2"/>
  <c r="I178" i="2"/>
  <c r="J178" i="2" s="1"/>
  <c r="K178" i="2"/>
  <c r="I179" i="2"/>
  <c r="J179" i="2" s="1"/>
  <c r="K179" i="2"/>
  <c r="I180" i="2"/>
  <c r="J180" i="2"/>
  <c r="K180" i="2"/>
  <c r="I181" i="2"/>
  <c r="J181" i="2" s="1"/>
  <c r="K181" i="2"/>
  <c r="I182" i="2"/>
  <c r="J182" i="2" s="1"/>
  <c r="K182" i="2"/>
  <c r="I183" i="2"/>
  <c r="J183" i="2" s="1"/>
  <c r="K183" i="2"/>
  <c r="I184" i="2"/>
  <c r="J184" i="2"/>
  <c r="K184" i="2"/>
  <c r="I185" i="2"/>
  <c r="J185" i="2" s="1"/>
  <c r="K185" i="2"/>
  <c r="I186" i="2"/>
  <c r="J186" i="2" s="1"/>
  <c r="K186" i="2"/>
  <c r="I187" i="2"/>
  <c r="J187" i="2" s="1"/>
  <c r="K187" i="2"/>
  <c r="I188" i="2"/>
  <c r="J188" i="2"/>
  <c r="K188" i="2"/>
  <c r="I189" i="2"/>
  <c r="J189" i="2" s="1"/>
  <c r="K189" i="2"/>
  <c r="I190" i="2"/>
  <c r="J190" i="2" s="1"/>
  <c r="K190" i="2"/>
  <c r="I191" i="2"/>
  <c r="J191" i="2" s="1"/>
  <c r="K191" i="2"/>
  <c r="I192" i="2"/>
  <c r="J192" i="2"/>
  <c r="K192" i="2"/>
  <c r="I193" i="2"/>
  <c r="J193" i="2" s="1"/>
  <c r="K193" i="2"/>
  <c r="I194" i="2"/>
  <c r="J194" i="2" s="1"/>
  <c r="K194" i="2"/>
  <c r="I195" i="2"/>
  <c r="J195" i="2" s="1"/>
  <c r="K195" i="2"/>
  <c r="I196" i="2"/>
  <c r="J196" i="2"/>
  <c r="K196" i="2"/>
  <c r="I197" i="2"/>
  <c r="J197" i="2" s="1"/>
  <c r="K197" i="2"/>
  <c r="I198" i="2"/>
  <c r="J198" i="2" s="1"/>
  <c r="K198" i="2"/>
  <c r="I199" i="2"/>
  <c r="J199" i="2" s="1"/>
  <c r="K199" i="2"/>
  <c r="I200" i="2"/>
  <c r="J200" i="2"/>
  <c r="K200" i="2"/>
  <c r="I201" i="2"/>
  <c r="J201" i="2" s="1"/>
  <c r="K201" i="2"/>
  <c r="I202" i="2"/>
  <c r="J202" i="2" s="1"/>
  <c r="K202" i="2"/>
  <c r="I203" i="2"/>
  <c r="J203" i="2" s="1"/>
  <c r="K203" i="2"/>
  <c r="I204" i="2"/>
  <c r="J204" i="2"/>
  <c r="K204" i="2"/>
  <c r="I205" i="2"/>
  <c r="J205" i="2" s="1"/>
  <c r="K205" i="2"/>
  <c r="I206" i="2"/>
  <c r="J206" i="2" s="1"/>
  <c r="K206" i="2"/>
  <c r="I207" i="2"/>
  <c r="J207" i="2" s="1"/>
  <c r="K207" i="2"/>
  <c r="I208" i="2"/>
  <c r="J208" i="2"/>
  <c r="K208" i="2"/>
  <c r="I209" i="2"/>
  <c r="J209" i="2" s="1"/>
  <c r="K209" i="2"/>
  <c r="I210" i="2"/>
  <c r="J210" i="2" s="1"/>
  <c r="K210" i="2"/>
  <c r="I211" i="2"/>
  <c r="J211" i="2" s="1"/>
  <c r="K211" i="2"/>
  <c r="I212" i="2"/>
  <c r="J212" i="2"/>
  <c r="K212" i="2"/>
  <c r="I213" i="2"/>
  <c r="J213" i="2" s="1"/>
  <c r="K213" i="2"/>
  <c r="I214" i="2"/>
  <c r="J214" i="2" s="1"/>
  <c r="K214" i="2"/>
  <c r="I215" i="2"/>
  <c r="J215" i="2" s="1"/>
  <c r="K215" i="2"/>
  <c r="I216" i="2"/>
  <c r="J216" i="2"/>
  <c r="K216" i="2"/>
  <c r="I217" i="2"/>
  <c r="J217" i="2" s="1"/>
  <c r="K217" i="2"/>
  <c r="I218" i="2"/>
  <c r="J218" i="2" s="1"/>
  <c r="K218" i="2"/>
  <c r="I219" i="2"/>
  <c r="J219" i="2" s="1"/>
  <c r="K219" i="2"/>
  <c r="I220" i="2"/>
  <c r="J220" i="2"/>
  <c r="K220" i="2"/>
  <c r="I221" i="2"/>
  <c r="J221" i="2" s="1"/>
  <c r="K221" i="2"/>
  <c r="I222" i="2"/>
  <c r="J222" i="2" s="1"/>
  <c r="K222" i="2"/>
  <c r="I223" i="2"/>
  <c r="J223" i="2" s="1"/>
  <c r="K223" i="2"/>
  <c r="I224" i="2"/>
  <c r="J224" i="2"/>
  <c r="K224" i="2"/>
  <c r="I225" i="2"/>
  <c r="J225" i="2" s="1"/>
  <c r="K225" i="2"/>
  <c r="I226" i="2"/>
  <c r="J226" i="2" s="1"/>
  <c r="K226" i="2"/>
  <c r="I227" i="2"/>
  <c r="J227" i="2" s="1"/>
  <c r="K227" i="2"/>
  <c r="I228" i="2"/>
  <c r="J228" i="2"/>
  <c r="K228" i="2"/>
  <c r="I229" i="2"/>
  <c r="J229" i="2" s="1"/>
  <c r="K229" i="2"/>
  <c r="I230" i="2"/>
  <c r="J230" i="2" s="1"/>
  <c r="K230" i="2"/>
  <c r="I231" i="2"/>
  <c r="J231" i="2" s="1"/>
  <c r="K231" i="2"/>
  <c r="I232" i="2"/>
  <c r="J232" i="2"/>
  <c r="K232" i="2"/>
  <c r="I233" i="2"/>
  <c r="J233" i="2" s="1"/>
  <c r="K233" i="2"/>
  <c r="I234" i="2"/>
  <c r="J234" i="2" s="1"/>
  <c r="K234" i="2"/>
  <c r="I235" i="2"/>
  <c r="J235" i="2" s="1"/>
  <c r="K235" i="2"/>
  <c r="I236" i="2"/>
  <c r="J236" i="2"/>
  <c r="K236" i="2"/>
  <c r="I237" i="2"/>
  <c r="J237" i="2" s="1"/>
  <c r="K237" i="2"/>
  <c r="I238" i="2"/>
  <c r="J238" i="2" s="1"/>
  <c r="K238" i="2"/>
  <c r="I239" i="2"/>
  <c r="J239" i="2" s="1"/>
  <c r="K239" i="2"/>
  <c r="I240" i="2"/>
  <c r="J240" i="2"/>
  <c r="K240" i="2"/>
  <c r="I241" i="2"/>
  <c r="J241" i="2" s="1"/>
  <c r="K241" i="2"/>
  <c r="I242" i="2"/>
  <c r="J242" i="2" s="1"/>
  <c r="K242" i="2"/>
  <c r="I243" i="2"/>
  <c r="J243" i="2" s="1"/>
  <c r="K243" i="2"/>
  <c r="I244" i="2"/>
  <c r="J244" i="2"/>
  <c r="K244" i="2"/>
  <c r="I245" i="2"/>
  <c r="J245" i="2" s="1"/>
  <c r="K245" i="2"/>
  <c r="I246" i="2"/>
  <c r="J246" i="2" s="1"/>
  <c r="K246" i="2"/>
  <c r="I247" i="2"/>
  <c r="J247" i="2" s="1"/>
  <c r="K247" i="2"/>
  <c r="I248" i="2"/>
  <c r="J248" i="2"/>
  <c r="K248" i="2"/>
  <c r="I249" i="2"/>
  <c r="J249" i="2" s="1"/>
  <c r="K249" i="2"/>
  <c r="I250" i="2"/>
  <c r="J250" i="2" s="1"/>
  <c r="K250" i="2"/>
  <c r="I251" i="2"/>
  <c r="J251" i="2" s="1"/>
  <c r="K251" i="2"/>
  <c r="I252" i="2"/>
  <c r="J252" i="2"/>
  <c r="K252" i="2"/>
  <c r="I253" i="2"/>
  <c r="J253" i="2" s="1"/>
  <c r="K253" i="2"/>
  <c r="I254" i="2"/>
  <c r="J254" i="2" s="1"/>
  <c r="K254" i="2"/>
  <c r="I255" i="2"/>
  <c r="J255" i="2" s="1"/>
  <c r="K255" i="2"/>
  <c r="I256" i="2"/>
  <c r="J256" i="2"/>
  <c r="K256" i="2"/>
  <c r="I257" i="2"/>
  <c r="J257" i="2" s="1"/>
  <c r="K257" i="2"/>
  <c r="I258" i="2"/>
  <c r="J258" i="2" s="1"/>
  <c r="K258" i="2"/>
  <c r="I259" i="2"/>
  <c r="J259" i="2" s="1"/>
  <c r="K259" i="2"/>
  <c r="I260" i="2"/>
  <c r="J260" i="2"/>
  <c r="K260" i="2"/>
  <c r="I261" i="2"/>
  <c r="J261" i="2" s="1"/>
  <c r="K261" i="2"/>
  <c r="I262" i="2"/>
  <c r="J262" i="2" s="1"/>
  <c r="K262" i="2"/>
  <c r="I263" i="2"/>
  <c r="J263" i="2" s="1"/>
  <c r="K263" i="2"/>
  <c r="I264" i="2"/>
  <c r="J264" i="2"/>
  <c r="K264" i="2"/>
  <c r="I265" i="2"/>
  <c r="J265" i="2" s="1"/>
  <c r="K265" i="2"/>
  <c r="I266" i="2"/>
  <c r="J266" i="2" s="1"/>
  <c r="K266" i="2"/>
  <c r="I267" i="2"/>
  <c r="J267" i="2" s="1"/>
  <c r="K267" i="2"/>
  <c r="I268" i="2"/>
  <c r="J268" i="2"/>
  <c r="K268" i="2"/>
  <c r="I269" i="2"/>
  <c r="J269" i="2" s="1"/>
  <c r="K269" i="2"/>
  <c r="I270" i="2"/>
  <c r="J270" i="2" s="1"/>
  <c r="K270" i="2"/>
  <c r="I271" i="2"/>
  <c r="J271" i="2" s="1"/>
  <c r="K271" i="2"/>
  <c r="I272" i="2"/>
  <c r="J272" i="2"/>
  <c r="K272" i="2"/>
  <c r="I273" i="2"/>
  <c r="J273" i="2" s="1"/>
  <c r="K273" i="2"/>
  <c r="I274" i="2"/>
  <c r="J274" i="2" s="1"/>
  <c r="K274" i="2"/>
  <c r="I275" i="2"/>
  <c r="J275" i="2" s="1"/>
  <c r="K275" i="2"/>
  <c r="I276" i="2"/>
  <c r="J276" i="2"/>
  <c r="K276" i="2"/>
  <c r="I277" i="2"/>
  <c r="J277" i="2" s="1"/>
  <c r="K277" i="2"/>
  <c r="I278" i="2"/>
  <c r="J278" i="2" s="1"/>
  <c r="K278" i="2"/>
  <c r="I279" i="2"/>
  <c r="J279" i="2" s="1"/>
  <c r="K279" i="2"/>
  <c r="I280" i="2"/>
  <c r="J280" i="2"/>
  <c r="K280" i="2"/>
  <c r="I281" i="2"/>
  <c r="J281" i="2" s="1"/>
  <c r="K281" i="2"/>
  <c r="I282" i="2"/>
  <c r="J282" i="2" s="1"/>
  <c r="K282" i="2"/>
  <c r="I283" i="2"/>
  <c r="J283" i="2" s="1"/>
  <c r="K283" i="2"/>
  <c r="I284" i="2"/>
  <c r="J284" i="2"/>
  <c r="K284" i="2"/>
  <c r="I285" i="2"/>
  <c r="J285" i="2" s="1"/>
  <c r="K285" i="2"/>
  <c r="I286" i="2"/>
  <c r="J286" i="2" s="1"/>
  <c r="K286" i="2"/>
  <c r="I287" i="2"/>
  <c r="J287" i="2" s="1"/>
  <c r="K287" i="2"/>
  <c r="I288" i="2"/>
  <c r="J288" i="2"/>
  <c r="K288" i="2"/>
  <c r="I289" i="2"/>
  <c r="J289" i="2" s="1"/>
  <c r="K289" i="2"/>
  <c r="I290" i="2"/>
  <c r="J290" i="2" s="1"/>
  <c r="K290" i="2"/>
  <c r="I291" i="2"/>
  <c r="J291" i="2" s="1"/>
  <c r="K291" i="2"/>
  <c r="I292" i="2"/>
  <c r="J292" i="2"/>
  <c r="K292" i="2"/>
  <c r="I293" i="2"/>
  <c r="J293" i="2" s="1"/>
  <c r="K293" i="2"/>
  <c r="I294" i="2"/>
  <c r="J294" i="2" s="1"/>
  <c r="K294" i="2"/>
  <c r="I295" i="2"/>
  <c r="J295" i="2" s="1"/>
  <c r="K295" i="2"/>
  <c r="I296" i="2"/>
  <c r="J296" i="2"/>
  <c r="K296" i="2"/>
  <c r="I297" i="2"/>
  <c r="J297" i="2" s="1"/>
  <c r="K297" i="2"/>
  <c r="I298" i="2"/>
  <c r="J298" i="2" s="1"/>
  <c r="K298" i="2"/>
  <c r="I299" i="2"/>
  <c r="J299" i="2" s="1"/>
  <c r="K299" i="2"/>
  <c r="I300" i="2"/>
  <c r="J300" i="2"/>
  <c r="K300" i="2"/>
  <c r="I301" i="2"/>
  <c r="J301" i="2" s="1"/>
  <c r="K301" i="2"/>
  <c r="I302" i="2"/>
  <c r="J302" i="2" s="1"/>
  <c r="K302" i="2"/>
  <c r="I303" i="2"/>
  <c r="J303" i="2" s="1"/>
  <c r="K303" i="2"/>
  <c r="I304" i="2"/>
  <c r="J304" i="2"/>
  <c r="K304" i="2"/>
  <c r="I305" i="2"/>
  <c r="J305" i="2" s="1"/>
  <c r="K305" i="2"/>
  <c r="I306" i="2"/>
  <c r="J306" i="2" s="1"/>
  <c r="K306" i="2"/>
  <c r="I307" i="2"/>
  <c r="J307" i="2" s="1"/>
  <c r="K307" i="2"/>
  <c r="I308" i="2"/>
  <c r="J308" i="2"/>
  <c r="K308" i="2"/>
  <c r="I309" i="2"/>
  <c r="J309" i="2" s="1"/>
  <c r="K309" i="2"/>
  <c r="I310" i="2"/>
  <c r="J310" i="2" s="1"/>
  <c r="K310" i="2"/>
  <c r="I311" i="2"/>
  <c r="J311" i="2" s="1"/>
  <c r="K311" i="2"/>
  <c r="I312" i="2"/>
  <c r="J312" i="2"/>
  <c r="K312" i="2"/>
  <c r="I313" i="2"/>
  <c r="J313" i="2" s="1"/>
  <c r="K313" i="2"/>
  <c r="I314" i="2"/>
  <c r="J314" i="2" s="1"/>
  <c r="K314" i="2"/>
  <c r="I315" i="2"/>
  <c r="J315" i="2" s="1"/>
  <c r="K315" i="2"/>
  <c r="I316" i="2"/>
  <c r="J316" i="2"/>
  <c r="K316" i="2"/>
  <c r="I317" i="2"/>
  <c r="J317" i="2" s="1"/>
  <c r="K317" i="2"/>
  <c r="I318" i="2"/>
  <c r="J318" i="2" s="1"/>
  <c r="K318" i="2"/>
  <c r="I319" i="2"/>
  <c r="J319" i="2" s="1"/>
  <c r="K319" i="2"/>
  <c r="I320" i="2"/>
  <c r="J320" i="2"/>
  <c r="K320" i="2"/>
  <c r="I321" i="2"/>
  <c r="J321" i="2" s="1"/>
  <c r="K321" i="2"/>
  <c r="I322" i="2"/>
  <c r="J322" i="2" s="1"/>
  <c r="K322" i="2"/>
  <c r="I323" i="2"/>
  <c r="J323" i="2" s="1"/>
  <c r="K323" i="2"/>
  <c r="I324" i="2"/>
  <c r="J324" i="2"/>
  <c r="K324" i="2"/>
  <c r="I325" i="2"/>
  <c r="J325" i="2" s="1"/>
  <c r="K325" i="2"/>
  <c r="I326" i="2"/>
  <c r="J326" i="2" s="1"/>
  <c r="K326" i="2"/>
  <c r="I327" i="2"/>
  <c r="J327" i="2" s="1"/>
  <c r="K327" i="2"/>
  <c r="I328" i="2"/>
  <c r="J328" i="2"/>
  <c r="K328" i="2"/>
  <c r="I329" i="2"/>
  <c r="J329" i="2" s="1"/>
  <c r="K329" i="2"/>
  <c r="I330" i="2"/>
  <c r="J330" i="2" s="1"/>
  <c r="K330" i="2"/>
  <c r="I331" i="2"/>
  <c r="J331" i="2" s="1"/>
  <c r="K331" i="2"/>
  <c r="I332" i="2"/>
  <c r="J332" i="2"/>
  <c r="K332" i="2"/>
  <c r="I333" i="2"/>
  <c r="J333" i="2" s="1"/>
  <c r="K333" i="2"/>
  <c r="I334" i="2"/>
  <c r="J334" i="2" s="1"/>
  <c r="K334" i="2"/>
  <c r="I335" i="2"/>
  <c r="J335" i="2" s="1"/>
  <c r="K335" i="2"/>
  <c r="I336" i="2"/>
  <c r="J336" i="2"/>
  <c r="K336" i="2"/>
  <c r="I337" i="2"/>
  <c r="J337" i="2" s="1"/>
  <c r="K337" i="2"/>
  <c r="I338" i="2"/>
  <c r="J338" i="2" s="1"/>
  <c r="K338" i="2"/>
  <c r="I339" i="2"/>
  <c r="J339" i="2" s="1"/>
  <c r="K339" i="2"/>
  <c r="I340" i="2"/>
  <c r="J340" i="2"/>
  <c r="K340" i="2"/>
  <c r="I341" i="2"/>
  <c r="J341" i="2" s="1"/>
  <c r="K341" i="2"/>
  <c r="I342" i="2"/>
  <c r="J342" i="2" s="1"/>
  <c r="K342" i="2"/>
  <c r="I343" i="2"/>
  <c r="J343" i="2" s="1"/>
  <c r="K343" i="2"/>
  <c r="I344" i="2"/>
  <c r="J344" i="2"/>
  <c r="K344" i="2"/>
  <c r="I345" i="2"/>
  <c r="J345" i="2" s="1"/>
  <c r="K345" i="2"/>
  <c r="I346" i="2"/>
  <c r="J346" i="2" s="1"/>
  <c r="K346" i="2"/>
  <c r="I347" i="2"/>
  <c r="J347" i="2" s="1"/>
  <c r="K347" i="2"/>
  <c r="I348" i="2"/>
  <c r="J348" i="2"/>
  <c r="K348" i="2"/>
  <c r="I349" i="2"/>
  <c r="J349" i="2" s="1"/>
  <c r="K349" i="2"/>
  <c r="I350" i="2"/>
  <c r="J350" i="2" s="1"/>
  <c r="K350" i="2"/>
  <c r="I351" i="2"/>
  <c r="J351" i="2" s="1"/>
  <c r="K351" i="2"/>
  <c r="I352" i="2"/>
  <c r="J352" i="2"/>
  <c r="K352" i="2"/>
  <c r="I353" i="2"/>
  <c r="J353" i="2" s="1"/>
  <c r="K353" i="2"/>
  <c r="I354" i="2"/>
  <c r="J354" i="2" s="1"/>
  <c r="K354" i="2"/>
  <c r="I355" i="2"/>
  <c r="J355" i="2" s="1"/>
  <c r="K355" i="2"/>
  <c r="I356" i="2"/>
  <c r="J356" i="2"/>
  <c r="K356" i="2"/>
  <c r="I357" i="2"/>
  <c r="J357" i="2" s="1"/>
  <c r="K357" i="2"/>
  <c r="I358" i="2"/>
  <c r="J358" i="2" s="1"/>
  <c r="K358" i="2"/>
  <c r="I359" i="2"/>
  <c r="J359" i="2" s="1"/>
  <c r="K359" i="2"/>
  <c r="I360" i="2"/>
  <c r="J360" i="2"/>
  <c r="K360" i="2"/>
  <c r="I361" i="2"/>
  <c r="J361" i="2" s="1"/>
  <c r="K361" i="2"/>
  <c r="I362" i="2"/>
  <c r="J362" i="2" s="1"/>
  <c r="K362" i="2"/>
  <c r="I363" i="2"/>
  <c r="J363" i="2" s="1"/>
  <c r="K363" i="2"/>
  <c r="I364" i="2"/>
  <c r="J364" i="2"/>
  <c r="K364" i="2"/>
  <c r="I365" i="2"/>
  <c r="J365" i="2" s="1"/>
  <c r="K365" i="2"/>
  <c r="I366" i="2"/>
  <c r="J366" i="2" s="1"/>
  <c r="K366" i="2"/>
  <c r="I367" i="2"/>
  <c r="J367" i="2" s="1"/>
  <c r="K367" i="2"/>
  <c r="I368" i="2"/>
  <c r="J368" i="2"/>
  <c r="K368" i="2"/>
  <c r="I369" i="2"/>
  <c r="J369" i="2" s="1"/>
  <c r="K369" i="2"/>
  <c r="I370" i="2"/>
  <c r="J370" i="2" s="1"/>
  <c r="K370" i="2"/>
  <c r="I371" i="2"/>
  <c r="J371" i="2" s="1"/>
  <c r="K371" i="2"/>
  <c r="I372" i="2"/>
  <c r="J372" i="2"/>
  <c r="K372" i="2"/>
  <c r="I373" i="2"/>
  <c r="J373" i="2" s="1"/>
  <c r="K373" i="2"/>
  <c r="I374" i="2"/>
  <c r="J374" i="2" s="1"/>
  <c r="K374" i="2"/>
  <c r="I375" i="2"/>
  <c r="J375" i="2" s="1"/>
  <c r="K375" i="2"/>
  <c r="I376" i="2"/>
  <c r="J376" i="2"/>
  <c r="K376" i="2"/>
  <c r="I377" i="2"/>
  <c r="J377" i="2" s="1"/>
  <c r="K377" i="2"/>
  <c r="I378" i="2"/>
  <c r="J378" i="2" s="1"/>
  <c r="K378" i="2"/>
  <c r="I379" i="2"/>
  <c r="J379" i="2" s="1"/>
  <c r="K379" i="2"/>
  <c r="I380" i="2"/>
  <c r="J380" i="2"/>
  <c r="K380" i="2"/>
  <c r="I381" i="2"/>
  <c r="J381" i="2" s="1"/>
  <c r="K381" i="2"/>
  <c r="I382" i="2"/>
  <c r="J382" i="2" s="1"/>
  <c r="K382" i="2"/>
  <c r="I383" i="2"/>
  <c r="J383" i="2" s="1"/>
  <c r="K383" i="2"/>
  <c r="I384" i="2"/>
  <c r="J384" i="2"/>
  <c r="K384" i="2"/>
  <c r="I385" i="2"/>
  <c r="J385" i="2" s="1"/>
  <c r="K385" i="2"/>
  <c r="I386" i="2"/>
  <c r="J386" i="2"/>
  <c r="K386" i="2"/>
  <c r="I387" i="2"/>
  <c r="J387" i="2" s="1"/>
  <c r="K387" i="2"/>
  <c r="I388" i="2"/>
  <c r="J388" i="2" s="1"/>
  <c r="K388" i="2"/>
  <c r="I389" i="2"/>
  <c r="J389" i="2"/>
  <c r="K389" i="2"/>
  <c r="I390" i="2"/>
  <c r="J390" i="2" s="1"/>
  <c r="K390" i="2"/>
  <c r="I391" i="2"/>
  <c r="J391" i="2" s="1"/>
  <c r="K391" i="2"/>
  <c r="I392" i="2"/>
  <c r="J392" i="2"/>
  <c r="K392" i="2"/>
  <c r="I393" i="2"/>
  <c r="J393" i="2" s="1"/>
  <c r="K393" i="2"/>
  <c r="I394" i="2"/>
  <c r="J394" i="2" s="1"/>
  <c r="K394" i="2"/>
  <c r="I395" i="2"/>
  <c r="J395" i="2" s="1"/>
  <c r="K395" i="2"/>
  <c r="I396" i="2"/>
  <c r="J396" i="2" s="1"/>
  <c r="K396" i="2"/>
  <c r="I397" i="2"/>
  <c r="J397" i="2" s="1"/>
  <c r="K397" i="2"/>
  <c r="I398" i="2"/>
  <c r="J398" i="2"/>
  <c r="K398" i="2"/>
  <c r="I399" i="2"/>
  <c r="J399" i="2" s="1"/>
  <c r="K399" i="2"/>
  <c r="I400" i="2"/>
  <c r="J400" i="2" s="1"/>
  <c r="K400" i="2"/>
  <c r="I401" i="2"/>
  <c r="J401" i="2" s="1"/>
  <c r="K401" i="2"/>
  <c r="I402" i="2"/>
  <c r="J402" i="2"/>
  <c r="K402" i="2"/>
  <c r="I403" i="2"/>
  <c r="J403" i="2" s="1"/>
  <c r="K403" i="2"/>
  <c r="I404" i="2"/>
  <c r="J404" i="2" s="1"/>
  <c r="K404" i="2"/>
  <c r="I405" i="2"/>
  <c r="J405" i="2"/>
  <c r="K405" i="2"/>
  <c r="I406" i="2"/>
  <c r="J406" i="2" s="1"/>
  <c r="K406" i="2"/>
  <c r="I407" i="2"/>
  <c r="J407" i="2" s="1"/>
  <c r="K407" i="2"/>
  <c r="I408" i="2"/>
  <c r="J408" i="2"/>
  <c r="K408" i="2"/>
  <c r="I409" i="2"/>
  <c r="J409" i="2" s="1"/>
  <c r="K409" i="2"/>
  <c r="I410" i="2"/>
  <c r="J410" i="2" s="1"/>
  <c r="K410" i="2"/>
  <c r="I411" i="2"/>
  <c r="J411" i="2" s="1"/>
  <c r="K411" i="2"/>
  <c r="I412" i="2"/>
  <c r="J412" i="2" s="1"/>
  <c r="K412" i="2"/>
  <c r="I413" i="2"/>
  <c r="J413" i="2" s="1"/>
  <c r="K413" i="2"/>
  <c r="I414" i="2"/>
  <c r="J414" i="2"/>
  <c r="K414" i="2"/>
  <c r="I415" i="2"/>
  <c r="J415" i="2" s="1"/>
  <c r="K415" i="2"/>
  <c r="I416" i="2"/>
  <c r="J416" i="2" s="1"/>
  <c r="K416" i="2"/>
  <c r="I417" i="2"/>
  <c r="J417" i="2" s="1"/>
  <c r="K417" i="2"/>
  <c r="I418" i="2"/>
  <c r="J418" i="2"/>
  <c r="K418" i="2"/>
  <c r="I419" i="2"/>
  <c r="J419" i="2" s="1"/>
  <c r="K419" i="2"/>
  <c r="I420" i="2"/>
  <c r="J420" i="2" s="1"/>
  <c r="K420" i="2"/>
  <c r="I421" i="2"/>
  <c r="J421" i="2"/>
  <c r="K421" i="2"/>
  <c r="I422" i="2"/>
  <c r="J422" i="2" s="1"/>
  <c r="K422" i="2"/>
  <c r="I423" i="2"/>
  <c r="J423" i="2" s="1"/>
  <c r="K423" i="2"/>
  <c r="I424" i="2"/>
  <c r="J424" i="2"/>
  <c r="K424" i="2"/>
  <c r="I425" i="2"/>
  <c r="J425" i="2" s="1"/>
  <c r="K425" i="2"/>
  <c r="I426" i="2"/>
  <c r="J426" i="2" s="1"/>
  <c r="K426" i="2"/>
  <c r="I427" i="2"/>
  <c r="J427" i="2" s="1"/>
  <c r="K427" i="2"/>
  <c r="I428" i="2"/>
  <c r="J428" i="2" s="1"/>
  <c r="K428" i="2"/>
  <c r="I429" i="2"/>
  <c r="J429" i="2" s="1"/>
  <c r="K429" i="2"/>
  <c r="I430" i="2"/>
  <c r="J430" i="2"/>
  <c r="K430" i="2"/>
  <c r="I431" i="2"/>
  <c r="J431" i="2" s="1"/>
  <c r="K431" i="2"/>
  <c r="I432" i="2"/>
  <c r="J432" i="2" s="1"/>
  <c r="K432" i="2"/>
  <c r="I433" i="2"/>
  <c r="J433" i="2" s="1"/>
  <c r="K433" i="2"/>
  <c r="I434" i="2"/>
  <c r="J434" i="2"/>
  <c r="K434" i="2"/>
  <c r="I435" i="2"/>
  <c r="J435" i="2" s="1"/>
  <c r="K435" i="2"/>
  <c r="I436" i="2"/>
  <c r="J436" i="2" s="1"/>
  <c r="K436" i="2"/>
  <c r="I437" i="2"/>
  <c r="J437" i="2"/>
  <c r="K437" i="2"/>
  <c r="I438" i="2"/>
  <c r="J438" i="2" s="1"/>
  <c r="K438" i="2"/>
  <c r="I439" i="2"/>
  <c r="J439" i="2" s="1"/>
  <c r="K439" i="2"/>
  <c r="I440" i="2"/>
  <c r="J440" i="2"/>
  <c r="K440" i="2"/>
  <c r="I441" i="2"/>
  <c r="J441" i="2" s="1"/>
  <c r="K441" i="2"/>
  <c r="I442" i="2"/>
  <c r="J442" i="2" s="1"/>
  <c r="K442" i="2"/>
  <c r="I443" i="2"/>
  <c r="J443" i="2" s="1"/>
  <c r="K443" i="2"/>
  <c r="I444" i="2"/>
  <c r="J444" i="2" s="1"/>
  <c r="K444" i="2"/>
  <c r="I445" i="2"/>
  <c r="J445" i="2" s="1"/>
  <c r="K445" i="2"/>
  <c r="I446" i="2"/>
  <c r="J446" i="2"/>
  <c r="K446" i="2"/>
  <c r="I447" i="2"/>
  <c r="J447" i="2" s="1"/>
  <c r="K447" i="2"/>
  <c r="I448" i="2"/>
  <c r="J448" i="2" s="1"/>
  <c r="K448" i="2"/>
  <c r="I449" i="2"/>
  <c r="J449" i="2" s="1"/>
  <c r="K449" i="2"/>
  <c r="I450" i="2"/>
  <c r="J450" i="2"/>
  <c r="K450" i="2"/>
  <c r="I451" i="2"/>
  <c r="J451" i="2" s="1"/>
  <c r="K451" i="2"/>
  <c r="I452" i="2"/>
  <c r="J452" i="2" s="1"/>
  <c r="K452" i="2"/>
  <c r="I453" i="2"/>
  <c r="J453" i="2"/>
  <c r="K453" i="2"/>
  <c r="I454" i="2"/>
  <c r="J454" i="2" s="1"/>
  <c r="K454" i="2"/>
  <c r="I455" i="2"/>
  <c r="J455" i="2" s="1"/>
  <c r="K455" i="2"/>
  <c r="I456" i="2"/>
  <c r="J456" i="2"/>
  <c r="K456" i="2"/>
  <c r="I457" i="2"/>
  <c r="J457" i="2" s="1"/>
  <c r="K457" i="2"/>
  <c r="I458" i="2"/>
  <c r="J458" i="2" s="1"/>
  <c r="K458" i="2"/>
  <c r="I459" i="2"/>
  <c r="J459" i="2" s="1"/>
  <c r="K459" i="2"/>
  <c r="I460" i="2"/>
  <c r="J460" i="2" s="1"/>
  <c r="K460" i="2"/>
  <c r="I461" i="2"/>
  <c r="J461" i="2" s="1"/>
  <c r="K461" i="2"/>
  <c r="I462" i="2"/>
  <c r="J462" i="2"/>
  <c r="K462" i="2"/>
  <c r="I463" i="2"/>
  <c r="J463" i="2" s="1"/>
  <c r="K463" i="2"/>
  <c r="I464" i="2"/>
  <c r="J464" i="2" s="1"/>
  <c r="K464" i="2"/>
  <c r="I465" i="2"/>
  <c r="J465" i="2" s="1"/>
  <c r="K465" i="2"/>
  <c r="I466" i="2"/>
  <c r="J466" i="2"/>
  <c r="K466" i="2"/>
  <c r="I467" i="2"/>
  <c r="J467" i="2" s="1"/>
  <c r="K467" i="2"/>
  <c r="I468" i="2"/>
  <c r="J468" i="2" s="1"/>
  <c r="K468" i="2"/>
  <c r="I469" i="2"/>
  <c r="J469" i="2"/>
  <c r="K469" i="2"/>
  <c r="I470" i="2"/>
  <c r="J470" i="2" s="1"/>
  <c r="K470" i="2"/>
  <c r="I471" i="2"/>
  <c r="J471" i="2" s="1"/>
  <c r="K471" i="2"/>
  <c r="I472" i="2"/>
  <c r="J472" i="2"/>
  <c r="K472" i="2"/>
  <c r="I473" i="2"/>
  <c r="J473" i="2" s="1"/>
  <c r="K473" i="2"/>
  <c r="I474" i="2"/>
  <c r="J474" i="2" s="1"/>
  <c r="K474" i="2"/>
  <c r="I475" i="2"/>
  <c r="J475" i="2" s="1"/>
  <c r="K475" i="2"/>
  <c r="I476" i="2"/>
  <c r="J476" i="2" s="1"/>
  <c r="K476" i="2"/>
  <c r="I477" i="2"/>
  <c r="J477" i="2" s="1"/>
  <c r="K477" i="2"/>
  <c r="I478" i="2"/>
  <c r="J478" i="2"/>
  <c r="K478" i="2"/>
  <c r="I479" i="2"/>
  <c r="J479" i="2" s="1"/>
  <c r="K479" i="2"/>
  <c r="I480" i="2"/>
  <c r="J480" i="2" s="1"/>
  <c r="K480" i="2"/>
  <c r="I481" i="2"/>
  <c r="J481" i="2" s="1"/>
  <c r="K481" i="2"/>
  <c r="I482" i="2"/>
  <c r="J482" i="2"/>
  <c r="K482" i="2"/>
  <c r="I483" i="2"/>
  <c r="J483" i="2" s="1"/>
  <c r="K483" i="2"/>
  <c r="I484" i="2"/>
  <c r="J484" i="2" s="1"/>
  <c r="K484" i="2"/>
  <c r="I485" i="2"/>
  <c r="J485" i="2"/>
  <c r="K485" i="2"/>
  <c r="I486" i="2"/>
  <c r="J486" i="2" s="1"/>
  <c r="K486" i="2"/>
  <c r="I487" i="2"/>
  <c r="J487" i="2" s="1"/>
  <c r="K487" i="2"/>
  <c r="I488" i="2"/>
  <c r="J488" i="2"/>
  <c r="K488" i="2"/>
  <c r="I489" i="2"/>
  <c r="J489" i="2" s="1"/>
  <c r="K489" i="2"/>
  <c r="I490" i="2"/>
  <c r="J490" i="2" s="1"/>
  <c r="K490" i="2"/>
  <c r="I491" i="2"/>
  <c r="J491" i="2" s="1"/>
  <c r="K491" i="2"/>
  <c r="I492" i="2"/>
  <c r="J492" i="2" s="1"/>
  <c r="K492" i="2"/>
  <c r="I493" i="2"/>
  <c r="J493" i="2" s="1"/>
  <c r="K493" i="2"/>
  <c r="I494" i="2"/>
  <c r="J494" i="2"/>
  <c r="K494" i="2"/>
  <c r="I495" i="2"/>
  <c r="J495" i="2" s="1"/>
  <c r="K495" i="2"/>
  <c r="I496" i="2"/>
  <c r="J496" i="2" s="1"/>
  <c r="K496" i="2"/>
  <c r="I497" i="2"/>
  <c r="J497" i="2" s="1"/>
  <c r="K497" i="2"/>
  <c r="I498" i="2"/>
  <c r="J498" i="2"/>
  <c r="K498" i="2"/>
  <c r="I499" i="2"/>
  <c r="J499" i="2" s="1"/>
  <c r="K499" i="2"/>
  <c r="I500" i="2"/>
  <c r="J500" i="2" s="1"/>
  <c r="K500" i="2"/>
  <c r="I501" i="2"/>
  <c r="J501" i="2"/>
  <c r="K501" i="2"/>
  <c r="I502" i="2"/>
  <c r="J502" i="2" s="1"/>
  <c r="K502" i="2"/>
  <c r="I503" i="2"/>
  <c r="J503" i="2" s="1"/>
  <c r="K503" i="2"/>
  <c r="I504" i="2"/>
  <c r="J504" i="2"/>
  <c r="K504" i="2"/>
  <c r="I505" i="2"/>
  <c r="J505" i="2" s="1"/>
  <c r="K505" i="2"/>
  <c r="I506" i="2"/>
  <c r="J506" i="2" s="1"/>
  <c r="K506" i="2"/>
  <c r="I507" i="2"/>
  <c r="J507" i="2" s="1"/>
  <c r="K507" i="2"/>
  <c r="I508" i="2"/>
  <c r="J508" i="2" s="1"/>
  <c r="K508" i="2"/>
  <c r="I509" i="2"/>
  <c r="J509" i="2" s="1"/>
  <c r="K509" i="2"/>
  <c r="I510" i="2"/>
  <c r="J510" i="2"/>
  <c r="K510" i="2"/>
  <c r="I511" i="2"/>
  <c r="J511" i="2" s="1"/>
  <c r="K511" i="2"/>
  <c r="I512" i="2"/>
  <c r="J512" i="2" s="1"/>
  <c r="K512" i="2"/>
  <c r="I513" i="2"/>
  <c r="J513" i="2" s="1"/>
  <c r="K513" i="2"/>
  <c r="I514" i="2"/>
  <c r="J514" i="2"/>
  <c r="K514" i="2"/>
  <c r="I515" i="2"/>
  <c r="J515" i="2" s="1"/>
  <c r="K515" i="2"/>
  <c r="I516" i="2"/>
  <c r="J516" i="2" s="1"/>
  <c r="K516" i="2"/>
  <c r="I517" i="2"/>
  <c r="J517" i="2" s="1"/>
  <c r="K517" i="2"/>
  <c r="I518" i="2"/>
  <c r="J518" i="2"/>
  <c r="K518" i="2"/>
  <c r="I519" i="2"/>
  <c r="J519" i="2" s="1"/>
  <c r="K519" i="2"/>
  <c r="I520" i="2"/>
  <c r="J520" i="2" s="1"/>
  <c r="K520" i="2"/>
  <c r="I521" i="2"/>
  <c r="J521" i="2" s="1"/>
  <c r="K521" i="2"/>
  <c r="I522" i="2"/>
  <c r="J522" i="2"/>
  <c r="K522" i="2"/>
  <c r="I523" i="2"/>
  <c r="J523" i="2" s="1"/>
  <c r="K523" i="2"/>
  <c r="I524" i="2"/>
  <c r="J524" i="2" s="1"/>
  <c r="K524" i="2"/>
  <c r="I525" i="2"/>
  <c r="J525" i="2" s="1"/>
  <c r="K525" i="2"/>
  <c r="I526" i="2"/>
  <c r="J526" i="2"/>
  <c r="K526" i="2"/>
  <c r="I527" i="2"/>
  <c r="J527" i="2" s="1"/>
  <c r="K527" i="2"/>
  <c r="I528" i="2"/>
  <c r="J528" i="2" s="1"/>
  <c r="K528" i="2"/>
  <c r="I529" i="2"/>
  <c r="J529" i="2" s="1"/>
  <c r="K529" i="2"/>
  <c r="I530" i="2"/>
  <c r="J530" i="2"/>
  <c r="K530" i="2"/>
  <c r="I531" i="2"/>
  <c r="J531" i="2" s="1"/>
  <c r="K531" i="2"/>
  <c r="I532" i="2"/>
  <c r="J532" i="2" s="1"/>
  <c r="K532" i="2"/>
  <c r="I533" i="2"/>
  <c r="J533" i="2" s="1"/>
  <c r="K533" i="2"/>
  <c r="I534" i="2"/>
  <c r="J534" i="2"/>
  <c r="K534" i="2"/>
  <c r="I535" i="2"/>
  <c r="J535" i="2" s="1"/>
  <c r="K535" i="2"/>
  <c r="I536" i="2"/>
  <c r="J536" i="2" s="1"/>
  <c r="K536" i="2"/>
  <c r="I537" i="2"/>
  <c r="J537" i="2" s="1"/>
  <c r="K537" i="2"/>
  <c r="I538" i="2"/>
  <c r="J538" i="2"/>
  <c r="K538" i="2"/>
  <c r="I539" i="2"/>
  <c r="J539" i="2" s="1"/>
  <c r="K539" i="2"/>
  <c r="I540" i="2"/>
  <c r="J540" i="2" s="1"/>
  <c r="K540" i="2"/>
  <c r="I541" i="2"/>
  <c r="J541" i="2" s="1"/>
  <c r="K541" i="2"/>
  <c r="I542" i="2"/>
  <c r="J542" i="2"/>
  <c r="K542" i="2"/>
  <c r="I543" i="2"/>
  <c r="J543" i="2" s="1"/>
  <c r="K543" i="2"/>
  <c r="I544" i="2"/>
  <c r="J544" i="2" s="1"/>
  <c r="K544" i="2"/>
  <c r="I545" i="2"/>
  <c r="J545" i="2" s="1"/>
  <c r="K545" i="2"/>
  <c r="I546" i="2"/>
  <c r="J546" i="2"/>
  <c r="K546" i="2"/>
  <c r="I547" i="2"/>
  <c r="J547" i="2" s="1"/>
  <c r="K547" i="2"/>
  <c r="I548" i="2"/>
  <c r="J548" i="2" s="1"/>
  <c r="K548" i="2"/>
  <c r="I549" i="2"/>
  <c r="J549" i="2" s="1"/>
  <c r="K549" i="2"/>
  <c r="I550" i="2"/>
  <c r="J550" i="2"/>
  <c r="K550" i="2"/>
  <c r="I551" i="2"/>
  <c r="J551" i="2" s="1"/>
  <c r="K551" i="2"/>
  <c r="I552" i="2"/>
  <c r="J552" i="2" s="1"/>
  <c r="K552" i="2"/>
  <c r="I553" i="2"/>
  <c r="J553" i="2" s="1"/>
  <c r="K553" i="2"/>
  <c r="I554" i="2"/>
  <c r="J554" i="2"/>
  <c r="K554" i="2"/>
  <c r="I555" i="2"/>
  <c r="J555" i="2" s="1"/>
  <c r="K555" i="2"/>
  <c r="I556" i="2"/>
  <c r="J556" i="2" s="1"/>
  <c r="K556" i="2"/>
  <c r="I557" i="2"/>
  <c r="J557" i="2" s="1"/>
  <c r="K557" i="2"/>
  <c r="I558" i="2"/>
  <c r="J558" i="2"/>
  <c r="K558" i="2"/>
  <c r="I559" i="2"/>
  <c r="J559" i="2" s="1"/>
  <c r="K559" i="2"/>
  <c r="I560" i="2"/>
  <c r="J560" i="2" s="1"/>
  <c r="K560" i="2"/>
  <c r="I561" i="2"/>
  <c r="J561" i="2" s="1"/>
  <c r="K561" i="2"/>
  <c r="I562" i="2"/>
  <c r="J562" i="2"/>
  <c r="K562" i="2"/>
  <c r="I563" i="2"/>
  <c r="J563" i="2" s="1"/>
  <c r="K563" i="2"/>
  <c r="I564" i="2"/>
  <c r="J564" i="2" s="1"/>
  <c r="K564" i="2"/>
  <c r="I565" i="2"/>
  <c r="J565" i="2" s="1"/>
  <c r="K565" i="2"/>
  <c r="I566" i="2"/>
  <c r="J566" i="2"/>
  <c r="K566" i="2"/>
  <c r="I567" i="2"/>
  <c r="J567" i="2" s="1"/>
  <c r="K567" i="2"/>
  <c r="I568" i="2"/>
  <c r="J568" i="2" s="1"/>
  <c r="K568" i="2"/>
  <c r="I569" i="2"/>
  <c r="J569" i="2" s="1"/>
  <c r="K569" i="2"/>
  <c r="I570" i="2"/>
  <c r="J570" i="2"/>
  <c r="K570" i="2"/>
  <c r="I571" i="2"/>
  <c r="J571" i="2" s="1"/>
  <c r="K571" i="2"/>
  <c r="I572" i="2"/>
  <c r="J572" i="2" s="1"/>
  <c r="K572" i="2"/>
  <c r="I573" i="2"/>
  <c r="J573" i="2" s="1"/>
  <c r="K573" i="2"/>
  <c r="I574" i="2"/>
  <c r="J574" i="2"/>
  <c r="K574" i="2"/>
  <c r="I575" i="2"/>
  <c r="J575" i="2" s="1"/>
  <c r="K575" i="2"/>
  <c r="I576" i="2"/>
  <c r="J576" i="2" s="1"/>
  <c r="K576" i="2"/>
  <c r="I577" i="2"/>
  <c r="J577" i="2" s="1"/>
  <c r="K577" i="2"/>
  <c r="I578" i="2"/>
  <c r="J578" i="2"/>
  <c r="K578" i="2"/>
  <c r="I579" i="2"/>
  <c r="J579" i="2" s="1"/>
  <c r="K579" i="2"/>
  <c r="I580" i="2"/>
  <c r="J580" i="2" s="1"/>
  <c r="K580" i="2"/>
  <c r="I581" i="2"/>
  <c r="J581" i="2" s="1"/>
  <c r="K581" i="2"/>
  <c r="I582" i="2"/>
  <c r="J582" i="2"/>
  <c r="K582" i="2"/>
  <c r="I583" i="2"/>
  <c r="J583" i="2" s="1"/>
  <c r="K583" i="2"/>
  <c r="I584" i="2"/>
  <c r="J584" i="2" s="1"/>
  <c r="K584" i="2"/>
  <c r="I585" i="2"/>
  <c r="J585" i="2" s="1"/>
  <c r="K585" i="2"/>
  <c r="I586" i="2"/>
  <c r="J586" i="2"/>
  <c r="K586" i="2"/>
  <c r="I587" i="2"/>
  <c r="J587" i="2" s="1"/>
  <c r="K587" i="2"/>
  <c r="I588" i="2"/>
  <c r="J588" i="2" s="1"/>
  <c r="K588" i="2"/>
  <c r="I589" i="2"/>
  <c r="J589" i="2" s="1"/>
  <c r="K589" i="2"/>
  <c r="I590" i="2"/>
  <c r="J590" i="2"/>
  <c r="K590" i="2"/>
  <c r="I591" i="2"/>
  <c r="J591" i="2" s="1"/>
  <c r="K591" i="2"/>
  <c r="I592" i="2"/>
  <c r="J592" i="2" s="1"/>
  <c r="K592" i="2"/>
  <c r="I593" i="2"/>
  <c r="J593" i="2" s="1"/>
  <c r="K593" i="2"/>
  <c r="I594" i="2"/>
  <c r="J594" i="2"/>
  <c r="K594" i="2"/>
  <c r="I595" i="2"/>
  <c r="J595" i="2" s="1"/>
  <c r="K595" i="2"/>
  <c r="I596" i="2"/>
  <c r="J596" i="2" s="1"/>
  <c r="K596" i="2"/>
  <c r="I597" i="2"/>
  <c r="J597" i="2" s="1"/>
  <c r="K597" i="2"/>
  <c r="I598" i="2"/>
  <c r="J598" i="2"/>
  <c r="K598" i="2"/>
  <c r="I599" i="2"/>
  <c r="J599" i="2" s="1"/>
  <c r="K599" i="2"/>
  <c r="I600" i="2"/>
  <c r="J600" i="2" s="1"/>
  <c r="K600" i="2"/>
  <c r="I601" i="2"/>
  <c r="J601" i="2" s="1"/>
  <c r="K601" i="2"/>
  <c r="I602" i="2"/>
  <c r="J602" i="2"/>
  <c r="K602" i="2"/>
  <c r="I603" i="2"/>
  <c r="J603" i="2" s="1"/>
  <c r="K603" i="2"/>
  <c r="I604" i="2"/>
  <c r="J604" i="2" s="1"/>
  <c r="K604" i="2"/>
  <c r="I605" i="2"/>
  <c r="J605" i="2" s="1"/>
  <c r="K605" i="2"/>
  <c r="I606" i="2"/>
  <c r="J606" i="2"/>
  <c r="K606" i="2"/>
  <c r="I607" i="2"/>
  <c r="J607" i="2" s="1"/>
  <c r="K607" i="2"/>
  <c r="I608" i="2"/>
  <c r="J608" i="2" s="1"/>
  <c r="K608" i="2"/>
  <c r="I609" i="2"/>
  <c r="J609" i="2" s="1"/>
  <c r="K609" i="2"/>
  <c r="I610" i="2"/>
  <c r="J610" i="2"/>
  <c r="K610" i="2"/>
  <c r="I611" i="2"/>
  <c r="J611" i="2" s="1"/>
  <c r="K611" i="2"/>
  <c r="I612" i="2"/>
  <c r="J612" i="2" s="1"/>
  <c r="K612" i="2"/>
  <c r="I613" i="2"/>
  <c r="J613" i="2" s="1"/>
  <c r="K613" i="2"/>
  <c r="I614" i="2"/>
  <c r="J614" i="2"/>
  <c r="K614" i="2"/>
  <c r="I615" i="2"/>
  <c r="J615" i="2" s="1"/>
  <c r="K615" i="2"/>
  <c r="I616" i="2"/>
  <c r="J616" i="2" s="1"/>
  <c r="K616" i="2"/>
  <c r="I617" i="2"/>
  <c r="J617" i="2" s="1"/>
  <c r="K617" i="2"/>
  <c r="I618" i="2"/>
  <c r="J618" i="2"/>
  <c r="K618" i="2"/>
  <c r="I619" i="2"/>
  <c r="J619" i="2" s="1"/>
  <c r="K619" i="2"/>
  <c r="I620" i="2"/>
  <c r="J620" i="2" s="1"/>
  <c r="K620" i="2"/>
  <c r="I621" i="2"/>
  <c r="J621" i="2" s="1"/>
  <c r="K621" i="2"/>
  <c r="I622" i="2"/>
  <c r="J622" i="2"/>
  <c r="K622" i="2"/>
  <c r="I623" i="2"/>
  <c r="J623" i="2" s="1"/>
  <c r="K623" i="2"/>
  <c r="I624" i="2"/>
  <c r="J624" i="2" s="1"/>
  <c r="K624" i="2"/>
  <c r="I625" i="2"/>
  <c r="J625" i="2" s="1"/>
  <c r="K625" i="2"/>
  <c r="I626" i="2"/>
  <c r="J626" i="2"/>
  <c r="K626" i="2"/>
  <c r="I627" i="2"/>
  <c r="J627" i="2" s="1"/>
  <c r="K627" i="2"/>
  <c r="I628" i="2"/>
  <c r="J628" i="2" s="1"/>
  <c r="K628" i="2"/>
  <c r="I629" i="2"/>
  <c r="J629" i="2" s="1"/>
  <c r="K629" i="2"/>
  <c r="I630" i="2"/>
  <c r="J630" i="2"/>
  <c r="K630" i="2"/>
  <c r="I631" i="2"/>
  <c r="J631" i="2" s="1"/>
  <c r="K631" i="2"/>
  <c r="I632" i="2"/>
  <c r="J632" i="2" s="1"/>
  <c r="K632" i="2"/>
  <c r="I633" i="2"/>
  <c r="J633" i="2" s="1"/>
  <c r="K633" i="2"/>
  <c r="I634" i="2"/>
  <c r="J634" i="2"/>
  <c r="K634" i="2"/>
  <c r="I635" i="2"/>
  <c r="J635" i="2" s="1"/>
  <c r="K635" i="2"/>
  <c r="I636" i="2"/>
  <c r="J636" i="2" s="1"/>
  <c r="K636" i="2"/>
  <c r="I637" i="2"/>
  <c r="J637" i="2" s="1"/>
  <c r="K637" i="2"/>
  <c r="I638" i="2"/>
  <c r="J638" i="2"/>
  <c r="K638" i="2"/>
  <c r="I639" i="2"/>
  <c r="J639" i="2" s="1"/>
  <c r="K639" i="2"/>
  <c r="I640" i="2"/>
  <c r="J640" i="2" s="1"/>
  <c r="K640" i="2"/>
  <c r="I641" i="2"/>
  <c r="J641" i="2" s="1"/>
  <c r="K641" i="2"/>
  <c r="I642" i="2"/>
  <c r="J642" i="2"/>
  <c r="K642" i="2"/>
  <c r="I643" i="2"/>
  <c r="J643" i="2" s="1"/>
  <c r="K643" i="2"/>
  <c r="I644" i="2"/>
  <c r="J644" i="2" s="1"/>
  <c r="K644" i="2"/>
  <c r="I645" i="2"/>
  <c r="J645" i="2" s="1"/>
  <c r="K645" i="2"/>
  <c r="I646" i="2"/>
  <c r="J646" i="2"/>
  <c r="K646" i="2"/>
  <c r="I647" i="2"/>
  <c r="J647" i="2" s="1"/>
  <c r="K647" i="2"/>
  <c r="I648" i="2"/>
  <c r="J648" i="2" s="1"/>
  <c r="K648" i="2"/>
  <c r="I649" i="2"/>
  <c r="J649" i="2" s="1"/>
  <c r="K649" i="2"/>
  <c r="I650" i="2"/>
  <c r="J650" i="2"/>
  <c r="K650" i="2"/>
  <c r="I651" i="2"/>
  <c r="J651" i="2" s="1"/>
  <c r="K651" i="2"/>
  <c r="I652" i="2"/>
  <c r="J652" i="2" s="1"/>
  <c r="K652" i="2"/>
  <c r="I653" i="2"/>
  <c r="J653" i="2" s="1"/>
  <c r="K653" i="2"/>
  <c r="I654" i="2"/>
  <c r="J654" i="2"/>
  <c r="K654" i="2"/>
  <c r="I655" i="2"/>
  <c r="J655" i="2" s="1"/>
  <c r="K655" i="2"/>
  <c r="I656" i="2"/>
  <c r="J656" i="2" s="1"/>
  <c r="K656" i="2"/>
  <c r="I657" i="2"/>
  <c r="J657" i="2" s="1"/>
  <c r="K657" i="2"/>
  <c r="I658" i="2"/>
  <c r="J658" i="2"/>
  <c r="K658" i="2"/>
  <c r="I659" i="2"/>
  <c r="J659" i="2" s="1"/>
  <c r="K659" i="2"/>
  <c r="I660" i="2"/>
  <c r="J660" i="2" s="1"/>
  <c r="K660" i="2"/>
  <c r="I661" i="2"/>
  <c r="J661" i="2" s="1"/>
  <c r="K661" i="2"/>
  <c r="I662" i="2"/>
  <c r="J662" i="2"/>
  <c r="K662" i="2"/>
  <c r="I663" i="2"/>
  <c r="J663" i="2" s="1"/>
  <c r="K663" i="2"/>
  <c r="I664" i="2"/>
  <c r="J664" i="2" s="1"/>
  <c r="K664" i="2"/>
  <c r="I665" i="2"/>
  <c r="J665" i="2" s="1"/>
  <c r="K665" i="2"/>
  <c r="I666" i="2"/>
  <c r="J666" i="2"/>
  <c r="K666" i="2"/>
  <c r="I667" i="2"/>
  <c r="J667" i="2" s="1"/>
  <c r="K667" i="2"/>
  <c r="I668" i="2"/>
  <c r="J668" i="2" s="1"/>
  <c r="K668" i="2"/>
  <c r="I669" i="2"/>
  <c r="J669" i="2" s="1"/>
  <c r="K669" i="2"/>
  <c r="I670" i="2"/>
  <c r="J670" i="2"/>
  <c r="K670" i="2"/>
  <c r="I671" i="2"/>
  <c r="J671" i="2" s="1"/>
  <c r="K671" i="2"/>
  <c r="I672" i="2"/>
  <c r="J672" i="2" s="1"/>
  <c r="K672" i="2"/>
  <c r="I673" i="2"/>
  <c r="J673" i="2" s="1"/>
  <c r="K673" i="2"/>
  <c r="I674" i="2"/>
  <c r="J674" i="2"/>
  <c r="K674" i="2"/>
  <c r="I675" i="2"/>
  <c r="J675" i="2" s="1"/>
  <c r="K675" i="2"/>
  <c r="I676" i="2"/>
  <c r="J676" i="2" s="1"/>
  <c r="K676" i="2"/>
  <c r="I677" i="2"/>
  <c r="J677" i="2" s="1"/>
  <c r="K677" i="2"/>
  <c r="I678" i="2"/>
  <c r="J678" i="2"/>
  <c r="K678" i="2"/>
  <c r="I679" i="2"/>
  <c r="J679" i="2" s="1"/>
  <c r="K679" i="2"/>
  <c r="I680" i="2"/>
  <c r="J680" i="2" s="1"/>
  <c r="K680" i="2"/>
  <c r="I681" i="2"/>
  <c r="J681" i="2" s="1"/>
  <c r="K681" i="2"/>
  <c r="I682" i="2"/>
  <c r="J682" i="2"/>
  <c r="K682" i="2"/>
  <c r="I683" i="2"/>
  <c r="J683" i="2" s="1"/>
  <c r="K683" i="2"/>
  <c r="I684" i="2"/>
  <c r="J684" i="2" s="1"/>
  <c r="K684" i="2"/>
  <c r="I685" i="2"/>
  <c r="J685" i="2" s="1"/>
  <c r="K685" i="2"/>
  <c r="I686" i="2"/>
  <c r="J686" i="2"/>
  <c r="K686" i="2"/>
  <c r="I687" i="2"/>
  <c r="J687" i="2" s="1"/>
  <c r="K687" i="2"/>
  <c r="I688" i="2"/>
  <c r="J688" i="2" s="1"/>
  <c r="K688" i="2"/>
  <c r="I689" i="2"/>
  <c r="J689" i="2" s="1"/>
  <c r="K689" i="2"/>
  <c r="I690" i="2"/>
  <c r="J690" i="2"/>
  <c r="K690" i="2"/>
  <c r="I691" i="2"/>
  <c r="J691" i="2" s="1"/>
  <c r="K691" i="2"/>
  <c r="I692" i="2"/>
  <c r="J692" i="2" s="1"/>
  <c r="K692" i="2"/>
  <c r="I693" i="2"/>
  <c r="J693" i="2" s="1"/>
  <c r="K693" i="2"/>
  <c r="I694" i="2"/>
  <c r="J694" i="2"/>
  <c r="K694" i="2"/>
  <c r="I695" i="2"/>
  <c r="J695" i="2" s="1"/>
  <c r="K695" i="2"/>
  <c r="I696" i="2"/>
  <c r="J696" i="2" s="1"/>
  <c r="K696" i="2"/>
  <c r="I697" i="2"/>
  <c r="J697" i="2" s="1"/>
  <c r="K697" i="2"/>
  <c r="I698" i="2"/>
  <c r="J698" i="2"/>
  <c r="K698" i="2"/>
  <c r="I699" i="2"/>
  <c r="J699" i="2" s="1"/>
  <c r="K699" i="2"/>
  <c r="I700" i="2"/>
  <c r="J700" i="2" s="1"/>
  <c r="K700" i="2"/>
  <c r="I701" i="2"/>
  <c r="J701" i="2" s="1"/>
  <c r="K701" i="2"/>
  <c r="I702" i="2"/>
  <c r="J702" i="2"/>
  <c r="K702" i="2"/>
  <c r="I703" i="2"/>
  <c r="J703" i="2" s="1"/>
  <c r="K703" i="2"/>
  <c r="I704" i="2"/>
  <c r="J704" i="2" s="1"/>
  <c r="K704" i="2"/>
  <c r="I705" i="2"/>
  <c r="J705" i="2" s="1"/>
  <c r="K705" i="2"/>
  <c r="I706" i="2"/>
  <c r="J706" i="2"/>
  <c r="K706" i="2"/>
  <c r="I707" i="2"/>
  <c r="J707" i="2" s="1"/>
  <c r="K707" i="2"/>
  <c r="I708" i="2"/>
  <c r="J708" i="2" s="1"/>
  <c r="K708" i="2"/>
  <c r="I709" i="2"/>
  <c r="J709" i="2" s="1"/>
  <c r="K709" i="2"/>
  <c r="I710" i="2"/>
  <c r="J710" i="2"/>
  <c r="K710" i="2"/>
  <c r="I711" i="2"/>
  <c r="J711" i="2" s="1"/>
  <c r="K711" i="2"/>
  <c r="I712" i="2"/>
  <c r="J712" i="2" s="1"/>
  <c r="K712" i="2"/>
  <c r="I713" i="2"/>
  <c r="J713" i="2" s="1"/>
  <c r="K713" i="2"/>
  <c r="I714" i="2"/>
  <c r="J714" i="2"/>
  <c r="K714" i="2"/>
  <c r="I715" i="2"/>
  <c r="J715" i="2" s="1"/>
  <c r="K715" i="2"/>
  <c r="I716" i="2"/>
  <c r="J716" i="2" s="1"/>
  <c r="K716" i="2"/>
  <c r="I717" i="2"/>
  <c r="J717" i="2" s="1"/>
  <c r="K717" i="2"/>
  <c r="I718" i="2"/>
  <c r="J718" i="2"/>
  <c r="K718" i="2"/>
  <c r="I719" i="2"/>
  <c r="J719" i="2" s="1"/>
  <c r="K719" i="2"/>
  <c r="I720" i="2"/>
  <c r="J720" i="2" s="1"/>
  <c r="K720" i="2"/>
  <c r="I721" i="2"/>
  <c r="J721" i="2" s="1"/>
  <c r="K721" i="2"/>
  <c r="I722" i="2"/>
  <c r="J722" i="2"/>
  <c r="K722" i="2"/>
  <c r="I723" i="2"/>
  <c r="J723" i="2" s="1"/>
  <c r="K723" i="2"/>
  <c r="I724" i="2"/>
  <c r="J724" i="2" s="1"/>
  <c r="K724" i="2"/>
  <c r="I725" i="2"/>
  <c r="J725" i="2" s="1"/>
  <c r="K725" i="2"/>
  <c r="I726" i="2"/>
  <c r="J726" i="2"/>
  <c r="K726" i="2"/>
  <c r="I727" i="2"/>
  <c r="J727" i="2" s="1"/>
  <c r="K727" i="2"/>
  <c r="I728" i="2"/>
  <c r="J728" i="2" s="1"/>
  <c r="K728" i="2"/>
  <c r="I729" i="2"/>
  <c r="J729" i="2" s="1"/>
  <c r="K729" i="2"/>
  <c r="I730" i="2"/>
  <c r="J730" i="2"/>
  <c r="K730" i="2"/>
  <c r="I731" i="2"/>
  <c r="J731" i="2" s="1"/>
  <c r="K731" i="2"/>
  <c r="I732" i="2"/>
  <c r="J732" i="2" s="1"/>
  <c r="K732" i="2"/>
  <c r="I733" i="2"/>
  <c r="J733" i="2" s="1"/>
  <c r="K733" i="2"/>
  <c r="I734" i="2"/>
  <c r="J734" i="2"/>
  <c r="K734" i="2"/>
  <c r="I735" i="2"/>
  <c r="J735" i="2" s="1"/>
  <c r="K735" i="2"/>
  <c r="I736" i="2"/>
  <c r="J736" i="2" s="1"/>
  <c r="K736" i="2"/>
  <c r="I737" i="2"/>
  <c r="J737" i="2" s="1"/>
  <c r="K737" i="2"/>
  <c r="I738" i="2"/>
  <c r="J738" i="2"/>
  <c r="K738" i="2"/>
  <c r="I739" i="2"/>
  <c r="J739" i="2" s="1"/>
  <c r="K739" i="2"/>
  <c r="I740" i="2"/>
  <c r="J740" i="2" s="1"/>
  <c r="K740" i="2"/>
  <c r="I741" i="2"/>
  <c r="J741" i="2" s="1"/>
  <c r="K741" i="2"/>
  <c r="I742" i="2"/>
  <c r="J742" i="2"/>
  <c r="K742" i="2"/>
  <c r="I743" i="2"/>
  <c r="J743" i="2" s="1"/>
  <c r="K743" i="2"/>
  <c r="I744" i="2"/>
  <c r="J744" i="2" s="1"/>
  <c r="K744" i="2"/>
  <c r="I745" i="2"/>
  <c r="J745" i="2" s="1"/>
  <c r="K745" i="2"/>
  <c r="I746" i="2"/>
  <c r="J746" i="2"/>
  <c r="K746" i="2"/>
  <c r="I747" i="2"/>
  <c r="J747" i="2" s="1"/>
  <c r="K747" i="2"/>
  <c r="I748" i="2"/>
  <c r="J748" i="2" s="1"/>
  <c r="K748" i="2"/>
  <c r="I749" i="2"/>
  <c r="J749" i="2" s="1"/>
  <c r="K749" i="2"/>
  <c r="I750" i="2"/>
  <c r="J750" i="2"/>
  <c r="K750" i="2"/>
  <c r="I751" i="2"/>
  <c r="J751" i="2" s="1"/>
  <c r="K751" i="2"/>
  <c r="K2" i="2" l="1"/>
  <c r="I2" i="2"/>
  <c r="J2" i="2" s="1"/>
  <c r="L335" i="3"/>
  <c r="L2" i="3"/>
  <c r="L1010" i="3"/>
  <c r="L275" i="3"/>
  <c r="L800" i="3"/>
  <c r="L88" i="3"/>
  <c r="L56" i="3"/>
  <c r="L574" i="3"/>
  <c r="L449" i="3"/>
  <c r="L955" i="3"/>
  <c r="L77" i="3"/>
  <c r="L736" i="3"/>
  <c r="L73" i="3"/>
  <c r="L80" i="3"/>
  <c r="L644" i="3"/>
  <c r="L41" i="3"/>
  <c r="L368" i="3"/>
  <c r="L548" i="3"/>
  <c r="L231" i="3"/>
  <c r="L1041" i="3"/>
  <c r="L164" i="3"/>
  <c r="L1042" i="3"/>
  <c r="L876" i="3"/>
  <c r="L993" i="3"/>
  <c r="L881" i="3"/>
  <c r="L568" i="3"/>
  <c r="L28" i="3"/>
  <c r="L499" i="3"/>
  <c r="L603" i="3"/>
  <c r="L490" i="3"/>
  <c r="L491" i="3"/>
  <c r="L100" i="3"/>
  <c r="L931" i="3"/>
  <c r="L906" i="3"/>
  <c r="L737" i="3"/>
  <c r="L165" i="3"/>
  <c r="L896" i="3"/>
  <c r="L454" i="3"/>
  <c r="L156" i="3"/>
  <c r="L226" i="3"/>
  <c r="L728" i="3"/>
  <c r="L525" i="3"/>
  <c r="L717" i="3"/>
  <c r="L160" i="3"/>
  <c r="L994" i="3"/>
  <c r="L289" i="3"/>
  <c r="L3" i="3"/>
  <c r="L1022" i="3"/>
  <c r="L30" i="3"/>
  <c r="L383" i="3"/>
  <c r="L635" i="3"/>
  <c r="L916" i="3"/>
  <c r="L977" i="3"/>
  <c r="L742" i="3"/>
  <c r="L575" i="3"/>
  <c r="L724" i="3"/>
  <c r="L500" i="3"/>
  <c r="L294" i="3"/>
  <c r="L325" i="3"/>
  <c r="L625" i="3"/>
  <c r="L450" i="3"/>
  <c r="L196" i="3"/>
  <c r="L357" i="3"/>
  <c r="L243" i="3"/>
  <c r="L986" i="3"/>
  <c r="L1037" i="3"/>
  <c r="L145" i="3"/>
  <c r="L42" i="3"/>
  <c r="L907" i="3"/>
  <c r="L569" i="3"/>
  <c r="L840" i="3"/>
  <c r="L1043" i="3"/>
  <c r="L23" i="3"/>
  <c r="L308" i="3"/>
  <c r="L258" i="3"/>
  <c r="L81" i="3"/>
  <c r="L128" i="3"/>
  <c r="L816" i="3"/>
  <c r="L43" i="3"/>
  <c r="L604" i="3"/>
  <c r="L826" i="3"/>
  <c r="L917" i="3"/>
  <c r="L960" i="3"/>
  <c r="L62" i="3"/>
  <c r="L316" i="3"/>
  <c r="L1003" i="3"/>
  <c r="L57" i="3"/>
  <c r="L538" i="3"/>
  <c r="L596" i="3"/>
  <c r="L91" i="3"/>
  <c r="L738" i="3"/>
  <c r="L276" i="3"/>
  <c r="L1023" i="3"/>
  <c r="L1053" i="3"/>
  <c r="L70" i="3"/>
  <c r="L172" i="3"/>
  <c r="L687" i="3"/>
  <c r="L372" i="3"/>
  <c r="L300" i="3"/>
  <c r="L101" i="3"/>
  <c r="L794" i="3"/>
  <c r="L417" i="3"/>
  <c r="L795" i="3"/>
  <c r="L827" i="3"/>
  <c r="L1049" i="3"/>
  <c r="L918" i="3"/>
  <c r="L423" i="3"/>
  <c r="L306" i="3"/>
  <c r="L396" i="3"/>
  <c r="L182" i="3"/>
  <c r="L908" i="3"/>
  <c r="L706" i="3"/>
  <c r="L284" i="3"/>
  <c r="L555" i="3"/>
  <c r="L384" i="3"/>
  <c r="L358" i="3"/>
  <c r="L74" i="3"/>
  <c r="L763" i="3"/>
  <c r="L810" i="3"/>
  <c r="L998" i="3"/>
  <c r="L221" i="3"/>
  <c r="L856" i="3"/>
  <c r="L926" i="3"/>
  <c r="L581" i="3"/>
  <c r="L764" i="3"/>
  <c r="L675" i="3"/>
  <c r="L63" i="3"/>
  <c r="L451" i="3"/>
  <c r="L877" i="3"/>
  <c r="L912" i="3"/>
  <c r="L501" i="3"/>
  <c r="L711" i="3"/>
  <c r="L418" i="3"/>
  <c r="L950" i="3"/>
  <c r="L563" i="3"/>
  <c r="L549" i="3"/>
  <c r="L191" i="3"/>
  <c r="L385" i="3"/>
  <c r="L492" i="3"/>
  <c r="L234" i="3"/>
  <c r="L1024" i="3"/>
  <c r="L729" i="3"/>
  <c r="L647" i="3"/>
  <c r="L309" i="3"/>
  <c r="L290" i="3"/>
  <c r="L386" i="3"/>
  <c r="L965" i="3"/>
  <c r="L183" i="3"/>
  <c r="L636" i="3"/>
  <c r="L71" i="3"/>
  <c r="L771" i="3"/>
  <c r="L556" i="3"/>
  <c r="L564" i="3"/>
  <c r="L765" i="3"/>
  <c r="L718" i="3"/>
  <c r="L166" i="3"/>
  <c r="L515" i="3"/>
  <c r="L317" i="3"/>
  <c r="L336" i="3"/>
  <c r="L259" i="3"/>
  <c r="L431" i="3"/>
  <c r="L882" i="3"/>
  <c r="L102" i="3"/>
  <c r="L610" i="3"/>
  <c r="L481" i="3"/>
  <c r="L119" i="3"/>
  <c r="L730" i="3"/>
  <c r="L987" i="3"/>
  <c r="L244" i="3"/>
  <c r="L67" i="3"/>
  <c r="L345" i="3"/>
  <c r="L494" i="3"/>
  <c r="L919" i="3"/>
  <c r="L831" i="3"/>
  <c r="L832" i="3"/>
  <c r="L52" i="3"/>
  <c r="L89" i="3"/>
  <c r="L245" i="3"/>
  <c r="L1030" i="3"/>
  <c r="L806" i="3"/>
  <c r="L988" i="3"/>
  <c r="L913" i="3"/>
  <c r="L772" i="3"/>
  <c r="L277" i="3"/>
  <c r="L652" i="3"/>
  <c r="L267" i="3"/>
  <c r="L438" i="3"/>
  <c r="L397" i="3"/>
  <c r="L17" i="3"/>
  <c r="L272" i="3"/>
  <c r="L246" i="3"/>
  <c r="L1004" i="3"/>
  <c r="L157" i="3"/>
  <c r="L1013" i="3"/>
  <c r="L1025" i="3"/>
  <c r="L653" i="3"/>
  <c r="L318" i="3"/>
  <c r="L951" i="3"/>
  <c r="L833" i="3"/>
  <c r="L961" i="3"/>
  <c r="L260" i="3"/>
  <c r="L530" i="3"/>
  <c r="L310" i="3"/>
  <c r="L755" i="3"/>
  <c r="L206" i="3"/>
  <c r="L1054" i="3"/>
  <c r="L366" i="3"/>
  <c r="L502" i="3"/>
  <c r="L641" i="3"/>
  <c r="L725" i="3"/>
  <c r="L892" i="3"/>
  <c r="L465" i="3"/>
  <c r="L402" i="3"/>
  <c r="L339" i="3"/>
  <c r="L469" i="3"/>
  <c r="L701" i="3"/>
  <c r="L682" i="3"/>
  <c r="L643" i="3"/>
  <c r="L129" i="3"/>
  <c r="L978" i="3"/>
  <c r="L645" i="3"/>
  <c r="L1031" i="3"/>
  <c r="L419" i="3"/>
  <c r="L261" i="3"/>
  <c r="L482" i="3"/>
  <c r="L408" i="3"/>
  <c r="L557" i="3"/>
  <c r="L58" i="3"/>
  <c r="L776" i="3"/>
  <c r="L285" i="3"/>
  <c r="L1005" i="3"/>
  <c r="L189" i="3"/>
  <c r="L24" i="3"/>
  <c r="L340" i="3"/>
  <c r="L756" i="3"/>
  <c r="L803" i="3"/>
  <c r="L801" i="3"/>
  <c r="L979" i="3"/>
  <c r="L565" i="3"/>
  <c r="L379" i="3"/>
  <c r="L197" i="3"/>
  <c r="L250" i="3"/>
  <c r="L432" i="3"/>
  <c r="L295" i="3"/>
  <c r="L503" i="3"/>
  <c r="L786" i="3"/>
  <c r="L319" i="3"/>
  <c r="L683" i="3"/>
  <c r="L749" i="3"/>
  <c r="L897" i="3"/>
  <c r="L934" i="3"/>
  <c r="L442" i="3"/>
  <c r="L337" i="3"/>
  <c r="L1038" i="3"/>
  <c r="L665" i="3"/>
  <c r="L989" i="3"/>
  <c r="L878" i="3"/>
  <c r="L1006" i="3"/>
  <c r="L666" i="3"/>
  <c r="L626" i="3"/>
  <c r="L214" i="3"/>
  <c r="L997" i="3"/>
  <c r="L459" i="3"/>
  <c r="L215" i="3"/>
  <c r="L173" i="3"/>
  <c r="L980" i="3"/>
  <c r="L743" i="3"/>
  <c r="L667" i="3"/>
  <c r="L235" i="3"/>
  <c r="L739" i="3"/>
  <c r="L879" i="3"/>
  <c r="L75" i="3"/>
  <c r="L712" i="3"/>
  <c r="L44" i="3"/>
  <c r="L94" i="3"/>
  <c r="L914" i="3"/>
  <c r="L64" i="3"/>
  <c r="L1039" i="3"/>
  <c r="L7" i="3"/>
  <c r="L558" i="3"/>
  <c r="L174" i="3"/>
  <c r="L858" i="3"/>
  <c r="L301" i="3"/>
  <c r="L82" i="3"/>
  <c r="L966" i="3"/>
  <c r="L192" i="3"/>
  <c r="L13" i="3"/>
  <c r="L278" i="3"/>
  <c r="L691" i="3"/>
  <c r="L620" i="3"/>
  <c r="L484" i="3"/>
  <c r="L76" i="3"/>
  <c r="L848" i="3"/>
  <c r="L868" i="3"/>
  <c r="L910" i="3"/>
  <c r="L841" i="3"/>
  <c r="L657" i="3"/>
  <c r="L900" i="3"/>
  <c r="L661" i="3"/>
  <c r="L25" i="3"/>
  <c r="L8" i="3"/>
  <c r="L303" i="3"/>
  <c r="L757" i="3"/>
  <c r="L559" i="3"/>
  <c r="L18" i="3"/>
  <c r="L26" i="3"/>
  <c r="L719" i="3"/>
  <c r="L981" i="3"/>
  <c r="L359" i="3"/>
  <c r="L731" i="3"/>
  <c r="L369" i="3"/>
  <c r="L27" i="3"/>
  <c r="L688" i="3"/>
  <c r="L952" i="3"/>
  <c r="L920" i="3"/>
  <c r="L585" i="3"/>
  <c r="L227" i="3"/>
  <c r="L137" i="3"/>
  <c r="L125" i="3"/>
  <c r="L713" i="3"/>
  <c r="L193" i="3"/>
  <c r="L311" i="3"/>
  <c r="L247" i="3"/>
  <c r="L849" i="3"/>
  <c r="L714" i="3"/>
  <c r="L332" i="3"/>
  <c r="L460" i="3"/>
  <c r="L346" i="3"/>
  <c r="L531" i="3"/>
  <c r="L103" i="3"/>
  <c r="L485" i="3"/>
  <c r="L544" i="3"/>
  <c r="L627" i="3"/>
  <c r="L777" i="3"/>
  <c r="L320" i="3"/>
  <c r="L953" i="3"/>
  <c r="L291" i="3"/>
  <c r="L387" i="3"/>
  <c r="L935" i="3"/>
  <c r="L104" i="3"/>
  <c r="L898" i="3"/>
  <c r="L893" i="3"/>
  <c r="L1032" i="3"/>
  <c r="L45" i="3"/>
  <c r="L120" i="3"/>
  <c r="L545" i="3"/>
  <c r="L504" i="3"/>
  <c r="L495" i="3"/>
  <c r="L758" i="3"/>
  <c r="L648" i="3"/>
  <c r="L72" i="3"/>
  <c r="L869" i="3"/>
  <c r="L14" i="3"/>
  <c r="L956" i="3"/>
  <c r="L216" i="3"/>
  <c r="L108" i="3"/>
  <c r="L684" i="3"/>
  <c r="L593" i="3"/>
  <c r="L883" i="3"/>
  <c r="L433" i="3"/>
  <c r="L778" i="3"/>
  <c r="L126" i="3"/>
  <c r="L720" i="3"/>
  <c r="L53" i="3"/>
  <c r="L296" i="3"/>
  <c r="L273" i="3"/>
  <c r="L943" i="3"/>
  <c r="L787" i="3"/>
  <c r="L649" i="3"/>
  <c r="L353" i="3"/>
  <c r="L59" i="3"/>
  <c r="L95" i="3"/>
  <c r="L936" i="3"/>
  <c r="L363" i="3"/>
  <c r="L744" i="3"/>
  <c r="L779" i="3"/>
  <c r="L901" i="3"/>
  <c r="L46" i="3"/>
  <c r="L228" i="3"/>
  <c r="L409" i="3"/>
  <c r="L29" i="3"/>
  <c r="L268" i="3"/>
  <c r="L807" i="3"/>
  <c r="L184" i="3"/>
  <c r="L1015" i="3"/>
  <c r="L970" i="3"/>
  <c r="L532" i="3"/>
  <c r="L96" i="3"/>
  <c r="L388" i="3"/>
  <c r="L204" i="3"/>
  <c r="L780" i="3"/>
  <c r="L312" i="3"/>
  <c r="L788" i="3"/>
  <c r="L516" i="3"/>
  <c r="L927" i="3"/>
  <c r="L740" i="3"/>
  <c r="L434" i="3"/>
  <c r="L510" i="3"/>
  <c r="L1026" i="3"/>
  <c r="L1007" i="3"/>
  <c r="L175" i="3"/>
  <c r="L940" i="3"/>
  <c r="L990" i="3"/>
  <c r="L105" i="3"/>
  <c r="L689" i="3"/>
  <c r="L1011" i="3"/>
  <c r="L452" i="3"/>
  <c r="L68" i="3"/>
  <c r="L130" i="3"/>
  <c r="L594" i="3"/>
  <c r="L302" i="3"/>
  <c r="L97" i="3"/>
  <c r="L444" i="3"/>
  <c r="L834" i="3"/>
  <c r="L1044" i="3"/>
  <c r="L842" i="3"/>
  <c r="L817" i="3"/>
  <c r="L533" i="3"/>
  <c r="L1055" i="3"/>
  <c r="L427" i="3"/>
  <c r="L37" i="3"/>
  <c r="L861" i="3"/>
  <c r="L354" i="3"/>
  <c r="L611" i="3"/>
  <c r="L668" i="3"/>
  <c r="L297" i="3"/>
  <c r="L466" i="3"/>
  <c r="L759" i="3"/>
  <c r="L496" i="3"/>
  <c r="L586" i="3"/>
  <c r="L236" i="3"/>
  <c r="L932" i="3"/>
  <c r="L804" i="3"/>
  <c r="L909" i="3"/>
  <c r="L505" i="3"/>
  <c r="L109" i="3"/>
  <c r="L1050" i="3"/>
  <c r="L850" i="3"/>
  <c r="L380" i="3"/>
  <c r="L326" i="3"/>
  <c r="L971" i="3"/>
  <c r="L90" i="3"/>
  <c r="L110" i="3"/>
  <c r="L347" i="3"/>
  <c r="L198" i="3"/>
  <c r="L506" i="3"/>
  <c r="L972" i="3"/>
  <c r="L862" i="3"/>
  <c r="L199" i="3"/>
  <c r="L1008" i="3"/>
  <c r="L517" i="3"/>
  <c r="L420" i="3"/>
  <c r="L470" i="3"/>
  <c r="L138" i="3"/>
  <c r="L121" i="3"/>
  <c r="L9" i="3"/>
  <c r="L403" i="3"/>
  <c r="L601" i="3"/>
  <c r="L471" i="3"/>
  <c r="L1033" i="3"/>
  <c r="L355" i="3"/>
  <c r="L132" i="3"/>
  <c r="L162" i="3"/>
  <c r="L117" i="3"/>
  <c r="L237" i="3"/>
  <c r="L587" i="3"/>
  <c r="L605" i="3"/>
  <c r="L766" i="3"/>
  <c r="L767" i="3"/>
  <c r="L702" i="3"/>
  <c r="L550" i="3"/>
  <c r="L133" i="3"/>
  <c r="L33" i="3"/>
  <c r="L118" i="3"/>
  <c r="L461" i="3"/>
  <c r="L760" i="3"/>
  <c r="L122" i="3"/>
  <c r="L818" i="3"/>
  <c r="L828" i="3"/>
  <c r="L428" i="3"/>
  <c r="L511" i="3"/>
  <c r="L19" i="3"/>
  <c r="L373" i="3"/>
  <c r="L560" i="3"/>
  <c r="L518" i="3"/>
  <c r="L1059" i="3"/>
  <c r="L111" i="3"/>
  <c r="L991" i="3"/>
  <c r="L773" i="3"/>
  <c r="L321" i="3"/>
  <c r="L791" i="3"/>
  <c r="L493" i="3"/>
  <c r="L217" i="3"/>
  <c r="L937" i="3"/>
  <c r="L507" i="3"/>
  <c r="L218" i="3"/>
  <c r="L176" i="3"/>
  <c r="L348" i="3"/>
  <c r="L398" i="3"/>
  <c r="L349" i="3"/>
  <c r="L676" i="3"/>
  <c r="L190" i="3"/>
  <c r="L78" i="3"/>
  <c r="L207" i="3"/>
  <c r="L595" i="3"/>
  <c r="L360" i="3"/>
  <c r="L570" i="3"/>
  <c r="L389" i="3"/>
  <c r="L658" i="3"/>
  <c r="L98" i="3"/>
  <c r="L472" i="3"/>
  <c r="L333" i="3"/>
  <c r="L327" i="3"/>
  <c r="L982" i="3"/>
  <c r="L857" i="3"/>
  <c r="L677" i="3"/>
  <c r="L819" i="3"/>
  <c r="L843" i="3"/>
  <c r="L251" i="3"/>
  <c r="L628" i="3"/>
  <c r="L139" i="3"/>
  <c r="L167" i="3"/>
  <c r="L399" i="3"/>
  <c r="L10" i="3"/>
  <c r="L534" i="3"/>
  <c r="L439" i="3"/>
  <c r="L851" i="3"/>
  <c r="L508" i="3"/>
  <c r="L435" i="3"/>
  <c r="L597" i="3"/>
  <c r="L440" i="3"/>
  <c r="L588" i="3"/>
  <c r="L895" i="3"/>
  <c r="L820" i="3"/>
  <c r="L168" i="3"/>
  <c r="L390" i="3"/>
  <c r="L424" i="3"/>
  <c r="L835" i="3"/>
  <c r="L944" i="3"/>
  <c r="L254" i="3"/>
  <c r="L654" i="3"/>
  <c r="L410" i="3"/>
  <c r="L229" i="3"/>
  <c r="L535" i="3"/>
  <c r="L421" i="3"/>
  <c r="L374" i="3"/>
  <c r="L999" i="3"/>
  <c r="L945" i="3"/>
  <c r="L863" i="3"/>
  <c r="L669" i="3"/>
  <c r="L796" i="3"/>
  <c r="L322" i="3"/>
  <c r="L429" i="3"/>
  <c r="L497" i="3"/>
  <c r="L364" i="3"/>
  <c r="L526" i="3"/>
  <c r="L477" i="3"/>
  <c r="L148" i="3"/>
  <c r="L781" i="3"/>
  <c r="L255" i="3"/>
  <c r="L811" i="3"/>
  <c r="L745" i="3"/>
  <c r="L232" i="3"/>
  <c r="L933" i="3"/>
  <c r="L1045" i="3"/>
  <c r="L750" i="3"/>
  <c r="L34" i="3"/>
  <c r="L995" i="3"/>
  <c r="L637" i="3"/>
  <c r="L967" i="3"/>
  <c r="L269" i="3"/>
  <c r="L598" i="3"/>
  <c r="L375" i="3"/>
  <c r="L946" i="3"/>
  <c r="L83" i="3"/>
  <c r="L551" i="3"/>
  <c r="L921" i="3"/>
  <c r="L685" i="3"/>
  <c r="L177" i="3"/>
  <c r="L864" i="3"/>
  <c r="L400" i="3"/>
  <c r="L313" i="3"/>
  <c r="L334" i="3"/>
  <c r="L902" i="3"/>
  <c r="L200" i="3"/>
  <c r="L975" i="3"/>
  <c r="L576" i="3"/>
  <c r="L498" i="3"/>
  <c r="L92" i="3"/>
  <c r="L606" i="3"/>
  <c r="L829" i="3"/>
  <c r="L655" i="3"/>
  <c r="L805" i="3"/>
  <c r="L539" i="3"/>
  <c r="L726" i="3"/>
  <c r="L692" i="3"/>
  <c r="L947" i="3"/>
  <c r="L571" i="3"/>
  <c r="L746" i="3"/>
  <c r="L49" i="3"/>
  <c r="L473" i="3"/>
  <c r="L957" i="3"/>
  <c r="L732" i="3"/>
  <c r="L821" i="3"/>
  <c r="L870" i="3"/>
  <c r="L112" i="3"/>
  <c r="L140" i="3"/>
  <c r="L1046" i="3"/>
  <c r="L328" i="3"/>
  <c r="L903" i="3"/>
  <c r="L911" i="3"/>
  <c r="L462" i="3"/>
  <c r="L208" i="3"/>
  <c r="L884" i="3"/>
  <c r="L616" i="3"/>
  <c r="L60" i="3"/>
  <c r="L782" i="3"/>
  <c r="L885" i="3"/>
  <c r="L928" i="3"/>
  <c r="L886" i="3"/>
  <c r="L540" i="3"/>
  <c r="L1016" i="3"/>
  <c r="L436" i="3"/>
  <c r="L589" i="3"/>
  <c r="L141" i="3"/>
  <c r="L15" i="3"/>
  <c r="L131" i="3"/>
  <c r="L341" i="3"/>
  <c r="L286" i="3"/>
  <c r="L696" i="3"/>
  <c r="L1014" i="3"/>
  <c r="L704" i="3"/>
  <c r="L768" i="3"/>
  <c r="L802" i="3"/>
  <c r="L941" i="3"/>
  <c r="L797" i="3"/>
  <c r="L287" i="3"/>
  <c r="L607" i="3"/>
  <c r="L486" i="3"/>
  <c r="L527" i="3"/>
  <c r="L642" i="3"/>
  <c r="L1051" i="3"/>
  <c r="L929" i="3"/>
  <c r="L808" i="3"/>
  <c r="L942" i="3"/>
  <c r="L690" i="3"/>
  <c r="L194" i="3"/>
  <c r="L453" i="3"/>
  <c r="L35" i="3"/>
  <c r="L659" i="3"/>
  <c r="L134" i="3"/>
  <c r="L381" i="3"/>
  <c r="L566" i="3"/>
  <c r="L113" i="3"/>
  <c r="L149" i="3"/>
  <c r="L996" i="3"/>
  <c r="L185" i="3"/>
  <c r="L455" i="3"/>
  <c r="L406" i="3"/>
  <c r="L445" i="3"/>
  <c r="L621" i="3"/>
  <c r="L262" i="3"/>
  <c r="L707" i="3"/>
  <c r="L660" i="3"/>
  <c r="L456" i="3"/>
  <c r="L650" i="3"/>
  <c r="L127" i="3"/>
  <c r="L599" i="3"/>
  <c r="L983" i="3"/>
  <c r="L954" i="3"/>
  <c r="L612" i="3"/>
  <c r="L422" i="3"/>
  <c r="L84" i="3"/>
  <c r="L391" i="3"/>
  <c r="L61" i="3"/>
  <c r="L968" i="3"/>
  <c r="L150" i="3"/>
  <c r="L679" i="3"/>
  <c r="L446" i="3"/>
  <c r="L887" i="3"/>
  <c r="L142" i="3"/>
  <c r="L930" i="3"/>
  <c r="L209" i="3"/>
  <c r="L1009" i="3"/>
  <c r="L323" i="3"/>
  <c r="L705" i="3"/>
  <c r="L222" i="3"/>
  <c r="L761" i="3"/>
  <c r="L201" i="3"/>
  <c r="L437" i="3"/>
  <c r="L774" i="3"/>
  <c r="L582" i="3"/>
  <c r="L638" i="3"/>
  <c r="L304" i="3"/>
  <c r="L546" i="3"/>
  <c r="L859" i="3"/>
  <c r="L238" i="3"/>
  <c r="L239" i="3"/>
  <c r="L871" i="3"/>
  <c r="L904" i="3"/>
  <c r="L590" i="3"/>
  <c r="L536" i="3"/>
  <c r="L38" i="3"/>
  <c r="L1000" i="3"/>
  <c r="L844" i="3"/>
  <c r="L252" i="3"/>
  <c r="L613" i="3"/>
  <c r="L812" i="3"/>
  <c r="L583" i="3"/>
  <c r="L519" i="3"/>
  <c r="L11" i="3"/>
  <c r="L962" i="3"/>
  <c r="L274" i="3"/>
  <c r="L263" i="3"/>
  <c r="L365" i="3"/>
  <c r="L1017" i="3"/>
  <c r="L963" i="3"/>
  <c r="L79" i="3"/>
  <c r="L798" i="3"/>
  <c r="L135" i="3"/>
  <c r="L733" i="3"/>
  <c r="L240" i="3"/>
  <c r="L478" i="3"/>
  <c r="L430" i="3"/>
  <c r="L253" i="3"/>
  <c r="L629" i="3"/>
  <c r="L151" i="3"/>
  <c r="L342" i="3"/>
  <c r="L915" i="3"/>
  <c r="L670" i="3"/>
  <c r="L721" i="3"/>
  <c r="L872" i="3"/>
  <c r="L411" i="3"/>
  <c r="L822" i="3"/>
  <c r="L520" i="3"/>
  <c r="L837" i="3"/>
  <c r="L528" i="3"/>
  <c r="L809" i="3"/>
  <c r="L152" i="3"/>
  <c r="L457" i="3"/>
  <c r="L463" i="3"/>
  <c r="L630" i="3"/>
  <c r="L852" i="3"/>
  <c r="L223" i="3"/>
  <c r="L922" i="3"/>
  <c r="L964" i="3"/>
  <c r="L392" i="3"/>
  <c r="L846" i="3"/>
  <c r="L813" i="3"/>
  <c r="L114" i="3"/>
  <c r="L923" i="3"/>
  <c r="L169" i="3"/>
  <c r="L412" i="3"/>
  <c r="L158" i="3"/>
  <c r="L314" i="3"/>
  <c r="L404" i="3"/>
  <c r="L153" i="3"/>
  <c r="L233" i="3"/>
  <c r="L487" i="3"/>
  <c r="L948" i="3"/>
  <c r="L186" i="3"/>
  <c r="L697" i="3"/>
  <c r="L521" i="3"/>
  <c r="L572" i="3"/>
  <c r="L823" i="3"/>
  <c r="L178" i="3"/>
  <c r="L799" i="3"/>
  <c r="L512" i="3"/>
  <c r="L577" i="3"/>
  <c r="L241" i="3"/>
  <c r="L662" i="3"/>
  <c r="L865" i="3"/>
  <c r="L734" i="3"/>
  <c r="L949" i="3"/>
  <c r="L888" i="3"/>
  <c r="L224" i="3"/>
  <c r="L769" i="3"/>
  <c r="L210" i="3"/>
  <c r="L671" i="3"/>
  <c r="L370" i="3"/>
  <c r="L179" i="3"/>
  <c r="L242" i="3"/>
  <c r="L413" i="3"/>
  <c r="L614" i="3"/>
  <c r="L853" i="3"/>
  <c r="L69" i="3"/>
  <c r="L467" i="3"/>
  <c r="L16" i="3"/>
  <c r="L663" i="3"/>
  <c r="L170" i="3"/>
  <c r="L248" i="3"/>
  <c r="L513" i="3"/>
  <c r="L775" i="3"/>
  <c r="L693" i="3"/>
  <c r="L899" i="3"/>
  <c r="L678" i="3"/>
  <c r="L552" i="3"/>
  <c r="L938" i="3"/>
  <c r="L672" i="3"/>
  <c r="L567" i="3"/>
  <c r="L969" i="3"/>
  <c r="L602" i="3"/>
  <c r="L673" i="3"/>
  <c r="L211" i="3"/>
  <c r="L115" i="3"/>
  <c r="L783" i="3"/>
  <c r="L39" i="3"/>
  <c r="L1034" i="3"/>
  <c r="L288" i="3"/>
  <c r="L376" i="3"/>
  <c r="L47" i="3"/>
  <c r="L361" i="3"/>
  <c r="L292" i="3"/>
  <c r="L735" i="3"/>
  <c r="L371" i="3"/>
  <c r="L219" i="3"/>
  <c r="L1060" i="3"/>
  <c r="L631" i="3"/>
  <c r="L784" i="3"/>
  <c r="L1012" i="3"/>
  <c r="L1052" i="3"/>
  <c r="L1047" i="3"/>
  <c r="L680" i="3"/>
  <c r="L751" i="3"/>
  <c r="L698" i="3"/>
  <c r="L146" i="3"/>
  <c r="L792" i="3"/>
  <c r="L154" i="3"/>
  <c r="L350" i="3"/>
  <c r="L1056" i="3"/>
  <c r="L747" i="3"/>
  <c r="L479" i="3"/>
  <c r="L741" i="3"/>
  <c r="L1027" i="3"/>
  <c r="L54" i="3"/>
  <c r="L1035" i="3"/>
  <c r="L984" i="3"/>
  <c r="L600" i="3"/>
  <c r="L748" i="3"/>
  <c r="L279" i="3"/>
  <c r="L578" i="3"/>
  <c r="L136" i="3"/>
  <c r="L1001" i="3"/>
  <c r="L845" i="3"/>
  <c r="L1018" i="3"/>
  <c r="L329" i="3"/>
  <c r="L393" i="3"/>
  <c r="L48" i="3"/>
  <c r="L615" i="3"/>
  <c r="L343" i="3"/>
  <c r="L1328" i="3"/>
  <c r="L20" i="3"/>
  <c r="L1905" i="3"/>
  <c r="L1657" i="3"/>
  <c r="L1820" i="3"/>
  <c r="L1648" i="3"/>
  <c r="L1128" i="3"/>
  <c r="L1927" i="3"/>
  <c r="L1380" i="3"/>
  <c r="L1691" i="3"/>
  <c r="L973" i="3"/>
  <c r="L1390" i="3"/>
  <c r="L1862" i="3"/>
  <c r="L579" i="3"/>
  <c r="L1815" i="3"/>
  <c r="L1541" i="3"/>
  <c r="L1176" i="3"/>
  <c r="L1783" i="3"/>
  <c r="L1561" i="3"/>
  <c r="L1391" i="3"/>
  <c r="L1524" i="3"/>
  <c r="L1062" i="3"/>
  <c r="L838" i="3"/>
  <c r="L1247" i="3"/>
  <c r="L1692" i="3"/>
  <c r="L889" i="3"/>
  <c r="L1436" i="3"/>
  <c r="L1906" i="3"/>
  <c r="L1711" i="3"/>
  <c r="L1870" i="3"/>
  <c r="L1424" i="3"/>
  <c r="L1866" i="3"/>
  <c r="L4" i="3"/>
  <c r="L1513" i="3"/>
  <c r="L1202" i="3"/>
  <c r="L1363" i="3"/>
  <c r="L99" i="3"/>
  <c r="L608" i="3"/>
  <c r="L1873" i="3"/>
  <c r="L1235" i="3"/>
  <c r="L1824" i="3"/>
  <c r="L1772" i="3"/>
  <c r="L894" i="3"/>
  <c r="L1188" i="3"/>
  <c r="L1096" i="3"/>
  <c r="L305" i="3"/>
  <c r="L1099" i="3"/>
  <c r="L1825" i="3"/>
  <c r="L1480" i="3"/>
  <c r="L1892" i="3"/>
  <c r="L1552" i="3"/>
  <c r="L1801" i="3"/>
  <c r="L1130" i="3"/>
  <c r="L1386" i="3"/>
  <c r="L1364" i="3"/>
  <c r="L1117" i="3"/>
  <c r="L1854" i="3"/>
  <c r="L1856" i="3"/>
  <c r="L1789" i="3"/>
  <c r="L264" i="3"/>
  <c r="L483" i="3"/>
  <c r="L1553" i="3"/>
  <c r="L1294" i="3"/>
  <c r="L1767" i="3"/>
  <c r="L1146" i="3"/>
  <c r="L230" i="3"/>
  <c r="L21" i="3"/>
  <c r="L1215" i="3"/>
  <c r="L1703" i="3"/>
  <c r="L708" i="3"/>
  <c r="L1554" i="3"/>
  <c r="L1127" i="3"/>
  <c r="L890" i="3"/>
  <c r="L1669" i="3"/>
  <c r="L1316" i="3"/>
  <c r="L1459" i="3"/>
  <c r="L1633" i="3"/>
  <c r="L1299" i="3"/>
  <c r="L1471" i="3"/>
  <c r="L50" i="3"/>
  <c r="L609" i="3"/>
  <c r="L401" i="3"/>
  <c r="L1889" i="3"/>
  <c r="L1834" i="3"/>
  <c r="L1615" i="3"/>
  <c r="L1850" i="3"/>
  <c r="L824" i="3"/>
  <c r="L1444" i="3"/>
  <c r="L187" i="3"/>
  <c r="L1775" i="3"/>
  <c r="L1244" i="3"/>
  <c r="L1496" i="3"/>
  <c r="L1461" i="3"/>
  <c r="L814" i="3"/>
  <c r="L1301" i="3"/>
  <c r="L699" i="3"/>
  <c r="L212" i="3"/>
  <c r="L1189" i="3"/>
  <c r="L1469" i="3"/>
  <c r="L1509" i="3"/>
  <c r="L1195" i="3"/>
  <c r="L1899" i="3"/>
  <c r="L1682" i="3"/>
  <c r="L1837" i="3"/>
  <c r="L1318" i="3"/>
  <c r="L1527" i="3"/>
  <c r="L1749" i="3"/>
  <c r="L1649" i="3"/>
  <c r="L1838" i="3"/>
  <c r="L1385" i="3"/>
  <c r="L1298" i="3"/>
  <c r="L1769" i="3"/>
  <c r="L1855" i="3"/>
  <c r="L1448" i="3"/>
  <c r="L1322" i="3"/>
  <c r="L1841" i="3"/>
  <c r="L866" i="3"/>
  <c r="L1671" i="3"/>
  <c r="L1806" i="3"/>
  <c r="L1350" i="3"/>
  <c r="L1325" i="3"/>
  <c r="L1124" i="3"/>
  <c r="L1678" i="3"/>
  <c r="L1110" i="3"/>
  <c r="L1781" i="3"/>
  <c r="L1555" i="3"/>
  <c r="L1147" i="3"/>
  <c r="L1696" i="3"/>
  <c r="L1709" i="3"/>
  <c r="L1411" i="3"/>
  <c r="L1360" i="3"/>
  <c r="L1544" i="3"/>
  <c r="L1095" i="3"/>
  <c r="L1139" i="3"/>
  <c r="L1312" i="3"/>
  <c r="L407" i="3"/>
  <c r="L1645" i="3"/>
  <c r="L1160" i="3"/>
  <c r="L1151" i="3"/>
  <c r="L1828" i="3"/>
  <c r="L1510" i="3"/>
  <c r="L1629" i="3"/>
  <c r="L1829" i="3"/>
  <c r="L1144" i="3"/>
  <c r="L1466" i="3"/>
  <c r="L55" i="3"/>
  <c r="L1403" i="3"/>
  <c r="L1894" i="3"/>
  <c r="L1040" i="3"/>
  <c r="L447" i="3"/>
  <c r="L1105" i="3"/>
  <c r="L1653" i="3"/>
  <c r="L1276" i="3"/>
  <c r="L1365" i="3"/>
  <c r="L1465" i="3"/>
  <c r="L1688" i="3"/>
  <c r="L1100" i="3"/>
  <c r="L1616" i="3"/>
  <c r="L1352" i="3"/>
  <c r="L1568" i="3"/>
  <c r="L1639" i="3"/>
  <c r="L1366" i="3"/>
  <c r="L1324" i="3"/>
  <c r="L1727" i="3"/>
  <c r="L85" i="3"/>
  <c r="L488" i="3"/>
  <c r="L1171" i="3"/>
  <c r="L1076" i="3"/>
  <c r="L1272" i="3"/>
  <c r="L1618" i="3"/>
  <c r="L1107" i="3"/>
  <c r="L1187" i="3"/>
  <c r="L1591" i="3"/>
  <c r="L1495" i="3"/>
  <c r="L1243" i="3"/>
  <c r="L1347" i="3"/>
  <c r="L1462" i="3"/>
  <c r="L1425" i="3"/>
  <c r="L1220" i="3"/>
  <c r="L1296" i="3"/>
  <c r="L1672" i="3"/>
  <c r="L1455" i="3"/>
  <c r="L1210" i="3"/>
  <c r="L1118" i="3"/>
  <c r="L1203" i="3"/>
  <c r="L639" i="3"/>
  <c r="L1923" i="3"/>
  <c r="L1705" i="3"/>
  <c r="L1270" i="3"/>
  <c r="L1810" i="3"/>
  <c r="L1399" i="3"/>
  <c r="L1761" i="3"/>
  <c r="L12" i="3"/>
  <c r="L1583" i="3"/>
  <c r="L1813" i="3"/>
  <c r="L1439" i="3"/>
  <c r="L1341" i="3"/>
  <c r="L1282" i="3"/>
  <c r="L280" i="3"/>
  <c r="L1019" i="3"/>
  <c r="L1406" i="3"/>
  <c r="L1233" i="3"/>
  <c r="L1537" i="3"/>
  <c r="L1683" i="3"/>
  <c r="L1375" i="3"/>
  <c r="L1542" i="3"/>
  <c r="L1317" i="3"/>
  <c r="L1689" i="3"/>
  <c r="L265" i="3"/>
  <c r="L1067" i="3"/>
  <c r="L1132" i="3"/>
  <c r="L1450" i="3"/>
  <c r="L715" i="3"/>
  <c r="L1871" i="3"/>
  <c r="L1164" i="3"/>
  <c r="L1308" i="3"/>
  <c r="L1830" i="3"/>
  <c r="L1625" i="3"/>
  <c r="L1361" i="3"/>
  <c r="L664" i="3"/>
  <c r="L155" i="3"/>
  <c r="L1929" i="3"/>
  <c r="L1547" i="3"/>
  <c r="L1525" i="3"/>
  <c r="L1734" i="3"/>
  <c r="L1097" i="3"/>
  <c r="L1636" i="3"/>
  <c r="L867" i="3"/>
  <c r="L1654" i="3"/>
  <c r="L1698" i="3"/>
  <c r="L1082" i="3"/>
  <c r="L1606" i="3"/>
  <c r="L1779" i="3"/>
  <c r="L752" i="3"/>
  <c r="L1546" i="3"/>
  <c r="L522" i="3"/>
  <c r="L1851" i="3"/>
  <c r="L1545" i="3"/>
  <c r="L1569" i="3"/>
  <c r="L202" i="3"/>
  <c r="L1191" i="3"/>
  <c r="L1723" i="3"/>
  <c r="L1313" i="3"/>
  <c r="L171" i="3"/>
  <c r="L1492" i="3"/>
  <c r="L1238" i="3"/>
  <c r="L1664" i="3"/>
  <c r="L716" i="3"/>
  <c r="L474" i="3"/>
  <c r="L1858" i="3"/>
  <c r="L1173" i="3"/>
  <c r="L1208" i="3"/>
  <c r="L1674" i="3"/>
  <c r="L1285" i="3"/>
  <c r="L958" i="3"/>
  <c r="L1066" i="3"/>
  <c r="L722" i="3"/>
  <c r="L1722" i="3"/>
  <c r="L1437" i="3"/>
  <c r="L1823" i="3"/>
  <c r="L1925" i="3"/>
  <c r="L1240" i="3"/>
  <c r="L1426" i="3"/>
  <c r="L1381" i="3"/>
  <c r="L1863" i="3"/>
  <c r="L1138" i="3"/>
  <c r="L1770" i="3"/>
  <c r="L905" i="3"/>
  <c r="L1123" i="3"/>
  <c r="L1864" i="3"/>
  <c r="L1762" i="3"/>
  <c r="L1888" i="3"/>
  <c r="L1358" i="3"/>
  <c r="L1922" i="3"/>
  <c r="L1741" i="3"/>
  <c r="L591" i="3"/>
  <c r="L1367" i="3"/>
  <c r="L1643" i="3"/>
  <c r="L1859" i="3"/>
  <c r="L1319" i="3"/>
  <c r="L382" i="3"/>
  <c r="L1844" i="3"/>
  <c r="L425" i="3"/>
  <c r="L1200" i="3"/>
  <c r="L1521" i="3"/>
  <c r="L815" i="3"/>
  <c r="L344" i="3"/>
  <c r="L694" i="3"/>
  <c r="L1140" i="3"/>
  <c r="L1540" i="3"/>
  <c r="L1549" i="3"/>
  <c r="L1500" i="3"/>
  <c r="L1449" i="3"/>
  <c r="L1644" i="3"/>
  <c r="L1204" i="3"/>
  <c r="L1254" i="3"/>
  <c r="L1511" i="3"/>
  <c r="L1427" i="3"/>
  <c r="L1172" i="3"/>
  <c r="L1329" i="3"/>
  <c r="L1387" i="3"/>
  <c r="L1517" i="3"/>
  <c r="L1302" i="3"/>
  <c r="L537" i="3"/>
  <c r="L1728" i="3"/>
  <c r="L1630" i="3"/>
  <c r="L632" i="3"/>
  <c r="L1802" i="3"/>
  <c r="L1637" i="3"/>
  <c r="L1563" i="3"/>
  <c r="L1287" i="3"/>
  <c r="L1163" i="3"/>
  <c r="L633" i="3"/>
  <c r="L1273" i="3"/>
  <c r="L116" i="3"/>
  <c r="L1918" i="3"/>
  <c r="L1205" i="3"/>
  <c r="L939" i="3"/>
  <c r="L1737" i="3"/>
  <c r="L1895" i="3"/>
  <c r="L1531" i="3"/>
  <c r="L1336" i="3"/>
  <c r="L1773" i="3"/>
  <c r="L1613" i="3"/>
  <c r="L1868" i="3"/>
  <c r="L1234" i="3"/>
  <c r="L464" i="3"/>
  <c r="L1307" i="3"/>
  <c r="L1786" i="3"/>
  <c r="L580" i="3"/>
  <c r="L1108" i="3"/>
  <c r="L1306" i="3"/>
  <c r="L1501" i="3"/>
  <c r="L1269" i="3"/>
  <c r="L1414" i="3"/>
  <c r="L414" i="3"/>
  <c r="L1266" i="3"/>
  <c r="L1816" i="3"/>
  <c r="L1193" i="3"/>
  <c r="L1673" i="3"/>
  <c r="L1218" i="3"/>
  <c r="L1077" i="3"/>
  <c r="L1216" i="3"/>
  <c r="L1712" i="3"/>
  <c r="L924" i="3"/>
  <c r="L405" i="3"/>
  <c r="L1394" i="3"/>
  <c r="L1550" i="3"/>
  <c r="L1916" i="3"/>
  <c r="L1745" i="3"/>
  <c r="L1719" i="3"/>
  <c r="L1345" i="3"/>
  <c r="L1852" i="3"/>
  <c r="L1777" i="3"/>
  <c r="L1057" i="3"/>
  <c r="L1242" i="3"/>
  <c r="L1603" i="3"/>
  <c r="L1893" i="3"/>
  <c r="L1484" i="3"/>
  <c r="L1314" i="3"/>
  <c r="L1338" i="3"/>
  <c r="L1701" i="3"/>
  <c r="L1154" i="3"/>
  <c r="L1710" i="3"/>
  <c r="L1255" i="3"/>
  <c r="L1382" i="3"/>
  <c r="L1419" i="3"/>
  <c r="L1288" i="3"/>
  <c r="L1919" i="3"/>
  <c r="L891" i="3"/>
  <c r="L1751" i="3"/>
  <c r="L1063" i="3"/>
  <c r="L1738" i="3"/>
  <c r="L1518" i="3"/>
  <c r="L762" i="3"/>
  <c r="L1817" i="3"/>
  <c r="L1115" i="3"/>
  <c r="L270" i="3"/>
  <c r="L1565" i="3"/>
  <c r="L1357" i="3"/>
  <c r="L1818" i="3"/>
  <c r="L1245" i="3"/>
  <c r="L1464" i="3"/>
  <c r="L1878" i="3"/>
  <c r="L561" i="3"/>
  <c r="L1640" i="3"/>
  <c r="L1790" i="3"/>
  <c r="L1402" i="3"/>
  <c r="L1797" i="3"/>
  <c r="L686" i="3"/>
  <c r="L1157" i="3"/>
  <c r="L441" i="3"/>
  <c r="L1320" i="3"/>
  <c r="L1225" i="3"/>
  <c r="L1323" i="3"/>
  <c r="L220" i="3"/>
  <c r="L1661" i="3"/>
  <c r="L1814" i="3"/>
  <c r="L1861" i="3"/>
  <c r="L1227" i="3"/>
  <c r="L1528" i="3"/>
  <c r="L1304" i="3"/>
  <c r="L1141" i="3"/>
  <c r="L1562" i="3"/>
  <c r="L1725" i="3"/>
  <c r="L1896" i="3"/>
  <c r="L298" i="3"/>
  <c r="L394" i="3"/>
  <c r="L1595" i="3"/>
  <c r="L1556" i="3"/>
  <c r="L1274" i="3"/>
  <c r="L1236" i="3"/>
  <c r="L1398" i="3"/>
  <c r="L1739" i="3"/>
  <c r="L1677" i="3"/>
  <c r="L1605" i="3"/>
  <c r="L873" i="3"/>
  <c r="L1902" i="3"/>
  <c r="L159" i="3"/>
  <c r="L793" i="3"/>
  <c r="L1796" i="3"/>
  <c r="L1522" i="3"/>
  <c r="L1604" i="3"/>
  <c r="L1716" i="3"/>
  <c r="L1309" i="3"/>
  <c r="L180" i="3"/>
  <c r="L695" i="3"/>
  <c r="L351" i="3"/>
  <c r="L1091" i="3"/>
  <c r="L1713" i="3"/>
  <c r="L1566" i="3"/>
  <c r="L674" i="3"/>
  <c r="L1133" i="3"/>
  <c r="L1326" i="3"/>
  <c r="L1111" i="3"/>
  <c r="L785" i="3"/>
  <c r="L523" i="3"/>
  <c r="L256" i="3"/>
  <c r="L1167" i="3"/>
  <c r="L1891" i="3"/>
  <c r="L1256" i="3"/>
  <c r="L1809" i="3"/>
  <c r="L1529" i="3"/>
  <c r="L1289" i="3"/>
  <c r="L1114" i="3"/>
  <c r="L1911" i="3"/>
  <c r="L1811" i="3"/>
  <c r="L1848" i="3"/>
  <c r="L874" i="3"/>
  <c r="L1748" i="3"/>
  <c r="L1209" i="3"/>
  <c r="L1879" i="3"/>
  <c r="L1491" i="3"/>
  <c r="L1655" i="3"/>
  <c r="L1194" i="3"/>
  <c r="L1036" i="3"/>
  <c r="L1693" i="3"/>
  <c r="L875" i="3"/>
  <c r="L1376" i="3"/>
  <c r="L1401" i="3"/>
  <c r="L1344" i="3"/>
  <c r="L1377" i="3"/>
  <c r="L1827" i="3"/>
  <c r="L1190" i="3"/>
  <c r="L1374" i="3"/>
  <c r="L123" i="3"/>
  <c r="L475" i="3"/>
  <c r="L1890" i="3"/>
  <c r="L1261" i="3"/>
  <c r="L1388" i="3"/>
  <c r="L1332" i="3"/>
  <c r="L1920" i="3"/>
  <c r="L1101" i="3"/>
  <c r="L1072" i="3"/>
  <c r="L1497" i="3"/>
  <c r="L257" i="3"/>
  <c r="L1594" i="3"/>
  <c r="L1853" i="3"/>
  <c r="L1428" i="3"/>
  <c r="L1081" i="3"/>
  <c r="L1559" i="3"/>
  <c r="L1088" i="3"/>
  <c r="L271" i="3"/>
  <c r="L541" i="3"/>
  <c r="L1283" i="3"/>
  <c r="L1211" i="3"/>
  <c r="L1647" i="3"/>
  <c r="L1346" i="3"/>
  <c r="L542" i="3"/>
  <c r="L1607" i="3"/>
  <c r="L1704" i="3"/>
  <c r="L753" i="3"/>
  <c r="L31" i="3"/>
  <c r="L1913" i="3"/>
  <c r="L1456" i="3"/>
  <c r="L1874" i="3"/>
  <c r="L860" i="3"/>
  <c r="L1277" i="3"/>
  <c r="L1576" i="3"/>
  <c r="L1881" i="3"/>
  <c r="L1831" i="3"/>
  <c r="L1826" i="3"/>
  <c r="L1353" i="3"/>
  <c r="L1355" i="3"/>
  <c r="L1573" i="3"/>
  <c r="L1064" i="3"/>
  <c r="L1684" i="3"/>
  <c r="L1914" i="3"/>
  <c r="L1165" i="3"/>
  <c r="L1199" i="3"/>
  <c r="L1161" i="3"/>
  <c r="L1570" i="3"/>
  <c r="L307" i="3"/>
  <c r="L1857" i="3"/>
  <c r="L1702" i="3"/>
  <c r="L468" i="3"/>
  <c r="L1574" i="3"/>
  <c r="L1490" i="3"/>
  <c r="L1086" i="3"/>
  <c r="L1431" i="3"/>
  <c r="L1668" i="3"/>
  <c r="L1577" i="3"/>
  <c r="L1804" i="3"/>
  <c r="L1223" i="3"/>
  <c r="L651" i="3"/>
  <c r="L974" i="3"/>
  <c r="L1434" i="3"/>
  <c r="L1262" i="3"/>
  <c r="L1421" i="3"/>
  <c r="L700" i="3"/>
  <c r="L1663" i="3"/>
  <c r="L1078" i="3"/>
  <c r="L1776" i="3"/>
  <c r="L22" i="3"/>
  <c r="L1685" i="3"/>
  <c r="L124" i="3"/>
  <c r="L1177" i="3"/>
  <c r="L1342" i="3"/>
  <c r="L1600" i="3"/>
  <c r="L1650" i="3"/>
  <c r="L1443" i="3"/>
  <c r="L1295" i="3"/>
  <c r="L1429" i="3"/>
  <c r="L1252" i="3"/>
  <c r="L1759" i="3"/>
  <c r="L1085" i="3"/>
  <c r="L1112" i="3"/>
  <c r="L1337" i="3"/>
  <c r="L1222" i="3"/>
  <c r="L854" i="3"/>
  <c r="L1145" i="3"/>
  <c r="L1028" i="3"/>
  <c r="L1883" i="3"/>
  <c r="L1821" i="3"/>
  <c r="L1659" i="3"/>
  <c r="L1694" i="3"/>
  <c r="L617" i="3"/>
  <c r="L161" i="3"/>
  <c r="L1410" i="3"/>
  <c r="L1585" i="3"/>
  <c r="L1291" i="3"/>
  <c r="L36" i="3"/>
  <c r="L1430" i="3"/>
  <c r="L1460" i="3"/>
  <c r="L1279" i="3"/>
  <c r="L65" i="3"/>
  <c r="L86" i="3"/>
  <c r="L1422" i="3"/>
  <c r="L1658" i="3"/>
  <c r="L1142" i="3"/>
  <c r="L1432" i="3"/>
  <c r="L1162" i="3"/>
  <c r="L87" i="3"/>
  <c r="L1383" i="3"/>
  <c r="L1747" i="3"/>
  <c r="L1623" i="3"/>
  <c r="L1602" i="3"/>
  <c r="L1303" i="3"/>
  <c r="L1742" i="3"/>
  <c r="L1885" i="3"/>
  <c r="L1860" i="3"/>
  <c r="L976" i="3"/>
  <c r="L584" i="3"/>
  <c r="L1867" i="3"/>
  <c r="L514" i="3"/>
  <c r="L1415" i="3"/>
  <c r="L825" i="3"/>
  <c r="L1102" i="3"/>
  <c r="L1048" i="3"/>
  <c r="L1534" i="3"/>
  <c r="L1417" i="3"/>
  <c r="L1119" i="3"/>
  <c r="L1750" i="3"/>
  <c r="L1228" i="3"/>
  <c r="L1134" i="3"/>
  <c r="L1730" i="3"/>
  <c r="L1267" i="3"/>
  <c r="L415" i="3"/>
  <c r="L1248" i="3"/>
  <c r="L1909" i="3"/>
  <c r="L1275" i="3"/>
  <c r="L1335" i="3"/>
  <c r="L1478" i="3"/>
  <c r="L1109" i="3"/>
  <c r="L1621" i="3"/>
  <c r="L1083" i="3"/>
  <c r="L1181" i="3"/>
  <c r="L1609" i="3"/>
  <c r="L1766" i="3"/>
  <c r="L1793" i="3"/>
  <c r="L426" i="3"/>
  <c r="L1207" i="3"/>
  <c r="L1250" i="3"/>
  <c r="L1153" i="3"/>
  <c r="L1752" i="3"/>
  <c r="L1721" i="3"/>
  <c r="L1263" i="3"/>
  <c r="L1239" i="3"/>
  <c r="L622" i="3"/>
  <c r="L1875" i="3"/>
  <c r="L1475" i="3"/>
  <c r="L1065" i="3"/>
  <c r="L1504" i="3"/>
  <c r="L1445" i="3"/>
  <c r="L985" i="3"/>
  <c r="L1608" i="3"/>
  <c r="L1700" i="3"/>
  <c r="L1457" i="3"/>
  <c r="L143" i="3"/>
  <c r="L1903" i="3"/>
  <c r="L1662" i="3"/>
  <c r="L1339" i="3"/>
  <c r="L1887" i="3"/>
  <c r="L1635" i="3"/>
  <c r="L1071" i="3"/>
  <c r="L1310" i="3"/>
  <c r="L1733" i="3"/>
  <c r="L1169" i="3"/>
  <c r="L1774" i="3"/>
  <c r="L1619" i="3"/>
  <c r="L362" i="3"/>
  <c r="L1755" i="3"/>
  <c r="L1794" i="3"/>
  <c r="L1731" i="3"/>
  <c r="L1732" i="3"/>
  <c r="L1278" i="3"/>
  <c r="L1601" i="3"/>
  <c r="L1378" i="3"/>
  <c r="L770" i="3"/>
  <c r="L1551" i="3"/>
  <c r="L1185" i="3"/>
  <c r="L1106" i="3"/>
  <c r="L1120" i="3"/>
  <c r="L1143" i="3"/>
  <c r="L1080" i="3"/>
  <c r="L1435" i="3"/>
  <c r="L1166" i="3"/>
  <c r="L925" i="3"/>
  <c r="L1715" i="3"/>
  <c r="L1333" i="3"/>
  <c r="L1479" i="3"/>
  <c r="L1670" i="3"/>
  <c r="L1706" i="3"/>
  <c r="L1697" i="3"/>
  <c r="L1373" i="3"/>
  <c r="L1451" i="3"/>
  <c r="L1395" i="3"/>
  <c r="L618" i="3"/>
  <c r="L1487" i="3"/>
  <c r="L623" i="3"/>
  <c r="L1135" i="3"/>
  <c r="L1708" i="3"/>
  <c r="L1442" i="3"/>
  <c r="L1760" i="3"/>
  <c r="L1241" i="3"/>
  <c r="L1440" i="3"/>
  <c r="L1758" i="3"/>
  <c r="L1686" i="3"/>
  <c r="L213" i="3"/>
  <c r="L1690" i="3"/>
  <c r="L1651" i="3"/>
  <c r="L1315" i="3"/>
  <c r="L1446" i="3"/>
  <c r="L1073" i="3"/>
  <c r="L1297" i="3"/>
  <c r="L553" i="3"/>
  <c r="L1666" i="3"/>
  <c r="L1768" i="3"/>
  <c r="L1578" i="3"/>
  <c r="L1679" i="3"/>
  <c r="L1113" i="3"/>
  <c r="L1175" i="3"/>
  <c r="L1819" i="3"/>
  <c r="L163" i="3"/>
  <c r="L1327" i="3"/>
  <c r="L1129" i="3"/>
  <c r="L1224" i="3"/>
  <c r="L1807" i="3"/>
  <c r="L1753" i="3"/>
  <c r="L458" i="3"/>
  <c r="L1311" i="3"/>
  <c r="L1656" i="3"/>
  <c r="L1523" i="3"/>
  <c r="L1158" i="3"/>
  <c r="L1714" i="3"/>
  <c r="L1886" i="3"/>
  <c r="L1617" i="3"/>
  <c r="L144" i="3"/>
  <c r="L1795" i="3"/>
  <c r="L1792" i="3"/>
  <c r="L1584" i="3"/>
  <c r="L1822" i="3"/>
  <c r="L1182" i="3"/>
  <c r="L1068" i="3"/>
  <c r="L1407" i="3"/>
  <c r="L1520" i="3"/>
  <c r="L1393" i="3"/>
  <c r="L1029" i="3"/>
  <c r="L1675" i="3"/>
  <c r="L1260" i="3"/>
  <c r="L1174" i="3"/>
  <c r="L1571" i="3"/>
  <c r="L281" i="3"/>
  <c r="L1717" i="3"/>
  <c r="L1843" i="3"/>
  <c r="L1729" i="3"/>
  <c r="L1907" i="3"/>
  <c r="L1098" i="3"/>
  <c r="L1372" i="3"/>
  <c r="L1257" i="3"/>
  <c r="L619" i="3"/>
  <c r="L1103" i="3"/>
  <c r="L1379" i="3"/>
  <c r="L1560" i="3"/>
  <c r="L1507" i="3"/>
  <c r="L367" i="3"/>
  <c r="L1420" i="3"/>
  <c r="L1835" i="3"/>
  <c r="L66" i="3"/>
  <c r="L1232" i="3"/>
  <c r="L1880" i="3"/>
  <c r="L1196" i="3"/>
  <c r="L723" i="3"/>
  <c r="L1258" i="3"/>
  <c r="L1805" i="3"/>
  <c r="L1423" i="3"/>
  <c r="L1094" i="3"/>
  <c r="L1292" i="3"/>
  <c r="L1370" i="3"/>
  <c r="L1910" i="3"/>
  <c r="L315" i="3"/>
  <c r="L1928" i="3"/>
  <c r="L789" i="3"/>
  <c r="L1641" i="3"/>
  <c r="L1152" i="3"/>
  <c r="L489" i="3"/>
  <c r="L225" i="3"/>
  <c r="L1869" i="3"/>
  <c r="L1087" i="3"/>
  <c r="L1842" i="3"/>
  <c r="L1788" i="3"/>
  <c r="L1408" i="3"/>
  <c r="L1280" i="3"/>
  <c r="L1626" i="3"/>
  <c r="L1840" i="3"/>
  <c r="L1246" i="3"/>
  <c r="L1334" i="3"/>
  <c r="L1930" i="3"/>
  <c r="L1676" i="3"/>
  <c r="L443" i="3"/>
  <c r="L1493" i="3"/>
  <c r="L509" i="3"/>
  <c r="L1389" i="3"/>
  <c r="L727" i="3"/>
  <c r="L1557" i="3"/>
  <c r="L1757" i="3"/>
  <c r="L1264" i="3"/>
  <c r="L395" i="3"/>
  <c r="L1505" i="3"/>
  <c r="L1482" i="3"/>
  <c r="L330" i="3"/>
  <c r="L1305" i="3"/>
  <c r="L1588" i="3"/>
  <c r="L1915" i="3"/>
  <c r="L709" i="3"/>
  <c r="L1093" i="3"/>
  <c r="L1170" i="3"/>
  <c r="L1125" i="3"/>
  <c r="L1506" i="3"/>
  <c r="L1197" i="3"/>
  <c r="L1743" i="3"/>
  <c r="L1667" i="3"/>
  <c r="L1624" i="3"/>
  <c r="L1231" i="3"/>
  <c r="L1865" i="3"/>
  <c r="L1503" i="3"/>
  <c r="L147" i="3"/>
  <c r="L1632" i="3"/>
  <c r="L1627" i="3"/>
  <c r="L1226" i="3"/>
  <c r="L1897" i="3"/>
  <c r="L1483" i="3"/>
  <c r="L1476" i="3"/>
  <c r="L790" i="3"/>
  <c r="L1474" i="3"/>
  <c r="L1898" i="3"/>
  <c r="L1020" i="3"/>
  <c r="L1778" i="3"/>
  <c r="L1746" i="3"/>
  <c r="L1832" i="3"/>
  <c r="L1924" i="3"/>
  <c r="L1371" i="3"/>
  <c r="L1441" i="3"/>
  <c r="L1192" i="3"/>
  <c r="L959" i="3"/>
  <c r="L1368" i="3"/>
  <c r="L195" i="3"/>
  <c r="L476" i="3"/>
  <c r="L293" i="3"/>
  <c r="L1089" i="3"/>
  <c r="L1515" i="3"/>
  <c r="L1074" i="3"/>
  <c r="L106" i="3"/>
  <c r="L1418" i="3"/>
  <c r="L1356" i="3"/>
  <c r="L5" i="3"/>
  <c r="L1136" i="3"/>
  <c r="L1477" i="3"/>
  <c r="L331" i="3"/>
  <c r="L836" i="3"/>
  <c r="L1681" i="3"/>
  <c r="L1622" i="3"/>
  <c r="L1592" i="3"/>
  <c r="L524" i="3"/>
  <c r="L448" i="3"/>
  <c r="L1593" i="3"/>
  <c r="L1221" i="3"/>
  <c r="L1744" i="3"/>
  <c r="L1438" i="3"/>
  <c r="L1284" i="3"/>
  <c r="L1926" i="3"/>
  <c r="L1687" i="3"/>
  <c r="L1502" i="3"/>
  <c r="L1084" i="3"/>
  <c r="L1463" i="3"/>
  <c r="L324" i="3"/>
  <c r="L1782" i="3"/>
  <c r="L1259" i="3"/>
  <c r="L1756" i="3"/>
  <c r="L1413" i="3"/>
  <c r="L1290" i="3"/>
  <c r="L1917" i="3"/>
  <c r="L1433" i="3"/>
  <c r="L1612" i="3"/>
  <c r="L1812" i="3"/>
  <c r="L1882" i="3"/>
  <c r="L1351" i="3"/>
  <c r="L1488" i="3"/>
  <c r="L1833" i="3"/>
  <c r="L1092" i="3"/>
  <c r="L1354" i="3"/>
  <c r="L1180" i="3"/>
  <c r="L416" i="3"/>
  <c r="L1265" i="3"/>
  <c r="L1849" i="3"/>
  <c r="L1803" i="3"/>
  <c r="L1646" i="3"/>
  <c r="L181" i="3"/>
  <c r="L1384" i="3"/>
  <c r="L1485" i="3"/>
  <c r="L1847" i="3"/>
  <c r="L1404" i="3"/>
  <c r="L1736" i="3"/>
  <c r="L1486" i="3"/>
  <c r="L1763" i="3"/>
  <c r="L1539" i="3"/>
  <c r="L1268" i="3"/>
  <c r="L1498" i="3"/>
  <c r="L554" i="3"/>
  <c r="L40" i="3"/>
  <c r="L1396" i="3"/>
  <c r="L1589" i="3"/>
  <c r="L1921" i="3"/>
  <c r="L1784" i="3"/>
  <c r="L1780" i="3"/>
  <c r="L1249" i="3"/>
  <c r="L1472" i="3"/>
  <c r="L1572" i="3"/>
  <c r="L1508" i="3"/>
  <c r="L1526" i="3"/>
  <c r="L1155" i="3"/>
  <c r="L1178" i="3"/>
  <c r="L1610" i="3"/>
  <c r="L592" i="3"/>
  <c r="L1359" i="3"/>
  <c r="L338" i="3"/>
  <c r="L1217" i="3"/>
  <c r="L1148" i="3"/>
  <c r="L1564" i="3"/>
  <c r="L1206" i="3"/>
  <c r="L1808" i="3"/>
  <c r="L1149" i="3"/>
  <c r="L1126" i="3"/>
  <c r="L1581" i="3"/>
  <c r="L1642" i="3"/>
  <c r="L1904" i="3"/>
  <c r="L1839" i="3"/>
  <c r="L1575" i="3"/>
  <c r="L1179" i="3"/>
  <c r="L1021" i="3"/>
  <c r="L830" i="3"/>
  <c r="L1405" i="3"/>
  <c r="L1695" i="3"/>
  <c r="L1104" i="3"/>
  <c r="L1846" i="3"/>
  <c r="L299" i="3"/>
  <c r="L1740" i="3"/>
  <c r="L107" i="3"/>
  <c r="L249" i="3"/>
  <c r="L1614" i="3"/>
  <c r="L640" i="3"/>
  <c r="L1286" i="3"/>
  <c r="L1321" i="3"/>
  <c r="L1253" i="3"/>
  <c r="L681" i="3"/>
  <c r="L1447" i="3"/>
  <c r="L1121" i="3"/>
  <c r="L1349" i="3"/>
  <c r="L1631" i="3"/>
  <c r="L839" i="3"/>
  <c r="L1069" i="3"/>
  <c r="L1620" i="3"/>
  <c r="L1611" i="3"/>
  <c r="L1548" i="3"/>
  <c r="L51" i="3"/>
  <c r="L1183" i="3"/>
  <c r="L1293" i="3"/>
  <c r="L1586" i="3"/>
  <c r="L547" i="3"/>
  <c r="L1590" i="3"/>
  <c r="L1409" i="3"/>
  <c r="L1137" i="3"/>
  <c r="L1538" i="3"/>
  <c r="L1519" i="3"/>
  <c r="L1628" i="3"/>
  <c r="L754" i="3"/>
  <c r="L1798" i="3"/>
  <c r="L1771" i="3"/>
  <c r="L1845" i="3"/>
  <c r="L573" i="3"/>
  <c r="L1397" i="3"/>
  <c r="L1652" i="3"/>
  <c r="L1532" i="3"/>
  <c r="L646" i="3"/>
  <c r="L1156" i="3"/>
  <c r="L624" i="3"/>
  <c r="L1720" i="3"/>
  <c r="L1579" i="3"/>
  <c r="L93" i="3"/>
  <c r="L562" i="3"/>
  <c r="L1271" i="3"/>
  <c r="L1281" i="3"/>
  <c r="L188" i="3"/>
  <c r="L1468" i="3"/>
  <c r="L1452" i="3"/>
  <c r="L6" i="3"/>
  <c r="L1764" i="3"/>
  <c r="L480" i="3"/>
  <c r="L1726" i="3"/>
  <c r="L1516" i="3"/>
  <c r="L1912" i="3"/>
  <c r="L1533" i="3"/>
  <c r="L1558" i="3"/>
  <c r="L1186" i="3"/>
  <c r="L1836" i="3"/>
  <c r="L1392" i="3"/>
  <c r="L1473" i="3"/>
  <c r="L1070" i="3"/>
  <c r="L1580" i="3"/>
  <c r="L1596" i="3"/>
  <c r="L1331" i="3"/>
  <c r="L1900" i="3"/>
  <c r="L1219" i="3"/>
  <c r="L1237" i="3"/>
  <c r="L1765" i="3"/>
  <c r="L282" i="3"/>
  <c r="L1754" i="3"/>
  <c r="L1079" i="3"/>
  <c r="L1787" i="3"/>
  <c r="L1330" i="3"/>
  <c r="L1214" i="3"/>
  <c r="L1470" i="3"/>
  <c r="L1699" i="3"/>
  <c r="L1535" i="3"/>
  <c r="L1514" i="3"/>
  <c r="L1348" i="3"/>
  <c r="L1665" i="3"/>
  <c r="L1400" i="3"/>
  <c r="L656" i="3"/>
  <c r="L1251" i="3"/>
  <c r="L205" i="3"/>
  <c r="L1300" i="3"/>
  <c r="L1150" i="3"/>
  <c r="L1467" i="3"/>
  <c r="L1131" i="3"/>
  <c r="L710" i="3"/>
  <c r="L880" i="3"/>
  <c r="L1499" i="3"/>
  <c r="L1791" i="3"/>
  <c r="L1122" i="3"/>
  <c r="L32" i="3"/>
  <c r="L1212" i="3"/>
  <c r="L1343" i="3"/>
  <c r="L1638" i="3"/>
  <c r="L1884" i="3"/>
  <c r="L855" i="3"/>
  <c r="L203" i="3"/>
  <c r="L847" i="3"/>
  <c r="L1872" i="3"/>
  <c r="L1201" i="3"/>
  <c r="L1512" i="3"/>
  <c r="L266" i="3"/>
  <c r="L1707" i="3"/>
  <c r="L1876" i="3"/>
  <c r="L1543" i="3"/>
  <c r="L1530" i="3"/>
  <c r="L1785" i="3"/>
  <c r="L1587" i="3"/>
  <c r="L1184" i="3"/>
  <c r="L1369" i="3"/>
  <c r="L1724" i="3"/>
  <c r="L1489" i="3"/>
  <c r="L1458" i="3"/>
  <c r="L1230" i="3"/>
  <c r="L377" i="3"/>
  <c r="L1718" i="3"/>
  <c r="L1634" i="3"/>
  <c r="L1198" i="3"/>
  <c r="L1416" i="3"/>
  <c r="L1075" i="3"/>
  <c r="L1908" i="3"/>
  <c r="L1002" i="3"/>
  <c r="L1412" i="3"/>
  <c r="L356" i="3"/>
  <c r="L1058" i="3"/>
  <c r="L634" i="3"/>
  <c r="L992" i="3"/>
  <c r="L1597" i="3"/>
  <c r="L1735" i="3"/>
  <c r="L1481" i="3"/>
  <c r="L1800" i="3"/>
  <c r="L283" i="3"/>
  <c r="L1799" i="3"/>
  <c r="L1680" i="3"/>
  <c r="L1877" i="3"/>
  <c r="L1453" i="3"/>
  <c r="L1340" i="3"/>
  <c r="L1567" i="3"/>
  <c r="L1454" i="3"/>
  <c r="L378" i="3"/>
  <c r="L1168" i="3"/>
  <c r="L1598" i="3"/>
  <c r="L352" i="3"/>
  <c r="L1116" i="3"/>
  <c r="L529" i="3"/>
  <c r="L1061" i="3"/>
  <c r="L1660" i="3"/>
  <c r="L1494" i="3"/>
  <c r="L1362" i="3"/>
  <c r="L1901" i="3"/>
  <c r="L1213" i="3"/>
  <c r="L1229" i="3"/>
  <c r="L703" i="3"/>
  <c r="L1599" i="3"/>
  <c r="L1582" i="3"/>
  <c r="L1090" i="3"/>
  <c r="L543" i="3"/>
  <c r="L1159" i="3"/>
  <c r="L1536" i="3"/>
  <c r="K335" i="3"/>
  <c r="K2" i="3"/>
  <c r="K1010" i="3"/>
  <c r="K275" i="3"/>
  <c r="K800" i="3"/>
  <c r="K88" i="3"/>
  <c r="K56" i="3"/>
  <c r="K574" i="3"/>
  <c r="K449" i="3"/>
  <c r="K955" i="3"/>
  <c r="K77" i="3"/>
  <c r="K736" i="3"/>
  <c r="K73" i="3"/>
  <c r="K80" i="3"/>
  <c r="K644" i="3"/>
  <c r="K41" i="3"/>
  <c r="K368" i="3"/>
  <c r="K548" i="3"/>
  <c r="K231" i="3"/>
  <c r="K1041" i="3"/>
  <c r="K164" i="3"/>
  <c r="K1042" i="3"/>
  <c r="K876" i="3"/>
  <c r="K993" i="3"/>
  <c r="K881" i="3"/>
  <c r="K568" i="3"/>
  <c r="K28" i="3"/>
  <c r="K499" i="3"/>
  <c r="K603" i="3"/>
  <c r="K490" i="3"/>
  <c r="K491" i="3"/>
  <c r="K100" i="3"/>
  <c r="K931" i="3"/>
  <c r="K906" i="3"/>
  <c r="K737" i="3"/>
  <c r="K165" i="3"/>
  <c r="K896" i="3"/>
  <c r="K454" i="3"/>
  <c r="K156" i="3"/>
  <c r="K226" i="3"/>
  <c r="K728" i="3"/>
  <c r="K525" i="3"/>
  <c r="K717" i="3"/>
  <c r="K160" i="3"/>
  <c r="K994" i="3"/>
  <c r="K289" i="3"/>
  <c r="K3" i="3"/>
  <c r="K1022" i="3"/>
  <c r="K30" i="3"/>
  <c r="K383" i="3"/>
  <c r="K635" i="3"/>
  <c r="K916" i="3"/>
  <c r="K977" i="3"/>
  <c r="K742" i="3"/>
  <c r="K575" i="3"/>
  <c r="K724" i="3"/>
  <c r="K500" i="3"/>
  <c r="K294" i="3"/>
  <c r="K325" i="3"/>
  <c r="K625" i="3"/>
  <c r="K450" i="3"/>
  <c r="K196" i="3"/>
  <c r="K357" i="3"/>
  <c r="K243" i="3"/>
  <c r="K986" i="3"/>
  <c r="K1037" i="3"/>
  <c r="K145" i="3"/>
  <c r="K42" i="3"/>
  <c r="K907" i="3"/>
  <c r="K569" i="3"/>
  <c r="K840" i="3"/>
  <c r="K1043" i="3"/>
  <c r="K23" i="3"/>
  <c r="K308" i="3"/>
  <c r="K258" i="3"/>
  <c r="K81" i="3"/>
  <c r="K128" i="3"/>
  <c r="K816" i="3"/>
  <c r="K43" i="3"/>
  <c r="K604" i="3"/>
  <c r="K826" i="3"/>
  <c r="K917" i="3"/>
  <c r="K960" i="3"/>
  <c r="K62" i="3"/>
  <c r="K316" i="3"/>
  <c r="K1003" i="3"/>
  <c r="K57" i="3"/>
  <c r="K538" i="3"/>
  <c r="K596" i="3"/>
  <c r="K91" i="3"/>
  <c r="K738" i="3"/>
  <c r="K276" i="3"/>
  <c r="K1023" i="3"/>
  <c r="K1053" i="3"/>
  <c r="K70" i="3"/>
  <c r="K172" i="3"/>
  <c r="K687" i="3"/>
  <c r="K372" i="3"/>
  <c r="K300" i="3"/>
  <c r="K101" i="3"/>
  <c r="K794" i="3"/>
  <c r="K417" i="3"/>
  <c r="K795" i="3"/>
  <c r="K827" i="3"/>
  <c r="K1049" i="3"/>
  <c r="K918" i="3"/>
  <c r="K423" i="3"/>
  <c r="K306" i="3"/>
  <c r="K396" i="3"/>
  <c r="K182" i="3"/>
  <c r="K908" i="3"/>
  <c r="K706" i="3"/>
  <c r="K284" i="3"/>
  <c r="K555" i="3"/>
  <c r="K384" i="3"/>
  <c r="K358" i="3"/>
  <c r="K74" i="3"/>
  <c r="K763" i="3"/>
  <c r="K810" i="3"/>
  <c r="K998" i="3"/>
  <c r="K221" i="3"/>
  <c r="K856" i="3"/>
  <c r="K926" i="3"/>
  <c r="K581" i="3"/>
  <c r="K764" i="3"/>
  <c r="K675" i="3"/>
  <c r="K63" i="3"/>
  <c r="K451" i="3"/>
  <c r="K877" i="3"/>
  <c r="K912" i="3"/>
  <c r="K501" i="3"/>
  <c r="K711" i="3"/>
  <c r="K418" i="3"/>
  <c r="K950" i="3"/>
  <c r="K563" i="3"/>
  <c r="K549" i="3"/>
  <c r="K191" i="3"/>
  <c r="K385" i="3"/>
  <c r="K492" i="3"/>
  <c r="K234" i="3"/>
  <c r="K1024" i="3"/>
  <c r="K729" i="3"/>
  <c r="K647" i="3"/>
  <c r="K309" i="3"/>
  <c r="K290" i="3"/>
  <c r="K386" i="3"/>
  <c r="K965" i="3"/>
  <c r="K183" i="3"/>
  <c r="K636" i="3"/>
  <c r="K71" i="3"/>
  <c r="K771" i="3"/>
  <c r="K556" i="3"/>
  <c r="K564" i="3"/>
  <c r="K765" i="3"/>
  <c r="K718" i="3"/>
  <c r="K166" i="3"/>
  <c r="K515" i="3"/>
  <c r="K317" i="3"/>
  <c r="K336" i="3"/>
  <c r="K259" i="3"/>
  <c r="K431" i="3"/>
  <c r="K882" i="3"/>
  <c r="K102" i="3"/>
  <c r="K610" i="3"/>
  <c r="K481" i="3"/>
  <c r="K119" i="3"/>
  <c r="K730" i="3"/>
  <c r="K987" i="3"/>
  <c r="K244" i="3"/>
  <c r="K67" i="3"/>
  <c r="K345" i="3"/>
  <c r="K494" i="3"/>
  <c r="K919" i="3"/>
  <c r="K831" i="3"/>
  <c r="K832" i="3"/>
  <c r="K52" i="3"/>
  <c r="K89" i="3"/>
  <c r="K245" i="3"/>
  <c r="K1030" i="3"/>
  <c r="K806" i="3"/>
  <c r="K988" i="3"/>
  <c r="K913" i="3"/>
  <c r="K772" i="3"/>
  <c r="K277" i="3"/>
  <c r="K652" i="3"/>
  <c r="K267" i="3"/>
  <c r="K438" i="3"/>
  <c r="K397" i="3"/>
  <c r="K17" i="3"/>
  <c r="K272" i="3"/>
  <c r="K246" i="3"/>
  <c r="K1004" i="3"/>
  <c r="K157" i="3"/>
  <c r="K1013" i="3"/>
  <c r="K1025" i="3"/>
  <c r="K653" i="3"/>
  <c r="K318" i="3"/>
  <c r="K951" i="3"/>
  <c r="K833" i="3"/>
  <c r="K961" i="3"/>
  <c r="K260" i="3"/>
  <c r="K530" i="3"/>
  <c r="K310" i="3"/>
  <c r="K755" i="3"/>
  <c r="K206" i="3"/>
  <c r="K1054" i="3"/>
  <c r="K366" i="3"/>
  <c r="K502" i="3"/>
  <c r="K641" i="3"/>
  <c r="K725" i="3"/>
  <c r="K892" i="3"/>
  <c r="K465" i="3"/>
  <c r="K402" i="3"/>
  <c r="K339" i="3"/>
  <c r="K469" i="3"/>
  <c r="K701" i="3"/>
  <c r="K682" i="3"/>
  <c r="K643" i="3"/>
  <c r="K129" i="3"/>
  <c r="K978" i="3"/>
  <c r="K645" i="3"/>
  <c r="K1031" i="3"/>
  <c r="K419" i="3"/>
  <c r="K261" i="3"/>
  <c r="K482" i="3"/>
  <c r="K408" i="3"/>
  <c r="K557" i="3"/>
  <c r="K58" i="3"/>
  <c r="K776" i="3"/>
  <c r="K285" i="3"/>
  <c r="K1005" i="3"/>
  <c r="K189" i="3"/>
  <c r="K24" i="3"/>
  <c r="K340" i="3"/>
  <c r="K756" i="3"/>
  <c r="K803" i="3"/>
  <c r="K801" i="3"/>
  <c r="K979" i="3"/>
  <c r="K565" i="3"/>
  <c r="K379" i="3"/>
  <c r="K197" i="3"/>
  <c r="K250" i="3"/>
  <c r="K432" i="3"/>
  <c r="K295" i="3"/>
  <c r="K503" i="3"/>
  <c r="K786" i="3"/>
  <c r="K319" i="3"/>
  <c r="K683" i="3"/>
  <c r="K749" i="3"/>
  <c r="K897" i="3"/>
  <c r="K934" i="3"/>
  <c r="K442" i="3"/>
  <c r="K337" i="3"/>
  <c r="K1038" i="3"/>
  <c r="K665" i="3"/>
  <c r="K989" i="3"/>
  <c r="K878" i="3"/>
  <c r="K1006" i="3"/>
  <c r="K666" i="3"/>
  <c r="K626" i="3"/>
  <c r="K214" i="3"/>
  <c r="K997" i="3"/>
  <c r="K459" i="3"/>
  <c r="K215" i="3"/>
  <c r="K173" i="3"/>
  <c r="K980" i="3"/>
  <c r="K743" i="3"/>
  <c r="K667" i="3"/>
  <c r="K235" i="3"/>
  <c r="K739" i="3"/>
  <c r="K879" i="3"/>
  <c r="K75" i="3"/>
  <c r="K712" i="3"/>
  <c r="K44" i="3"/>
  <c r="K94" i="3"/>
  <c r="K914" i="3"/>
  <c r="K64" i="3"/>
  <c r="K1039" i="3"/>
  <c r="K7" i="3"/>
  <c r="K558" i="3"/>
  <c r="K174" i="3"/>
  <c r="K858" i="3"/>
  <c r="K301" i="3"/>
  <c r="K82" i="3"/>
  <c r="K966" i="3"/>
  <c r="K192" i="3"/>
  <c r="K13" i="3"/>
  <c r="K278" i="3"/>
  <c r="K691" i="3"/>
  <c r="K620" i="3"/>
  <c r="K484" i="3"/>
  <c r="K76" i="3"/>
  <c r="K848" i="3"/>
  <c r="K868" i="3"/>
  <c r="K910" i="3"/>
  <c r="K841" i="3"/>
  <c r="K657" i="3"/>
  <c r="K900" i="3"/>
  <c r="K661" i="3"/>
  <c r="K25" i="3"/>
  <c r="K8" i="3"/>
  <c r="K303" i="3"/>
  <c r="K757" i="3"/>
  <c r="K559" i="3"/>
  <c r="K18" i="3"/>
  <c r="K26" i="3"/>
  <c r="K719" i="3"/>
  <c r="K981" i="3"/>
  <c r="K359" i="3"/>
  <c r="K731" i="3"/>
  <c r="K369" i="3"/>
  <c r="K27" i="3"/>
  <c r="K688" i="3"/>
  <c r="K952" i="3"/>
  <c r="K920" i="3"/>
  <c r="K585" i="3"/>
  <c r="K227" i="3"/>
  <c r="K137" i="3"/>
  <c r="K125" i="3"/>
  <c r="K713" i="3"/>
  <c r="K193" i="3"/>
  <c r="K311" i="3"/>
  <c r="K247" i="3"/>
  <c r="K849" i="3"/>
  <c r="K714" i="3"/>
  <c r="K332" i="3"/>
  <c r="K460" i="3"/>
  <c r="K346" i="3"/>
  <c r="K531" i="3"/>
  <c r="K103" i="3"/>
  <c r="K485" i="3"/>
  <c r="K544" i="3"/>
  <c r="K627" i="3"/>
  <c r="K777" i="3"/>
  <c r="K320" i="3"/>
  <c r="K953" i="3"/>
  <c r="K291" i="3"/>
  <c r="K387" i="3"/>
  <c r="K935" i="3"/>
  <c r="K104" i="3"/>
  <c r="K898" i="3"/>
  <c r="K893" i="3"/>
  <c r="K1032" i="3"/>
  <c r="K45" i="3"/>
  <c r="K120" i="3"/>
  <c r="K545" i="3"/>
  <c r="K504" i="3"/>
  <c r="K495" i="3"/>
  <c r="K758" i="3"/>
  <c r="K648" i="3"/>
  <c r="K72" i="3"/>
  <c r="K869" i="3"/>
  <c r="K14" i="3"/>
  <c r="K956" i="3"/>
  <c r="K216" i="3"/>
  <c r="K108" i="3"/>
  <c r="K684" i="3"/>
  <c r="K593" i="3"/>
  <c r="K883" i="3"/>
  <c r="K433" i="3"/>
  <c r="K778" i="3"/>
  <c r="K126" i="3"/>
  <c r="K720" i="3"/>
  <c r="K53" i="3"/>
  <c r="K296" i="3"/>
  <c r="K273" i="3"/>
  <c r="K943" i="3"/>
  <c r="K787" i="3"/>
  <c r="K649" i="3"/>
  <c r="K353" i="3"/>
  <c r="K59" i="3"/>
  <c r="K95" i="3"/>
  <c r="K936" i="3"/>
  <c r="K363" i="3"/>
  <c r="K744" i="3"/>
  <c r="K779" i="3"/>
  <c r="K901" i="3"/>
  <c r="K46" i="3"/>
  <c r="K228" i="3"/>
  <c r="K409" i="3"/>
  <c r="K29" i="3"/>
  <c r="K268" i="3"/>
  <c r="K807" i="3"/>
  <c r="K184" i="3"/>
  <c r="K1015" i="3"/>
  <c r="K970" i="3"/>
  <c r="K532" i="3"/>
  <c r="K96" i="3"/>
  <c r="K388" i="3"/>
  <c r="K204" i="3"/>
  <c r="K780" i="3"/>
  <c r="K312" i="3"/>
  <c r="K788" i="3"/>
  <c r="K516" i="3"/>
  <c r="K927" i="3"/>
  <c r="K740" i="3"/>
  <c r="K434" i="3"/>
  <c r="K510" i="3"/>
  <c r="K1026" i="3"/>
  <c r="K1007" i="3"/>
  <c r="K175" i="3"/>
  <c r="K940" i="3"/>
  <c r="K990" i="3"/>
  <c r="K105" i="3"/>
  <c r="K689" i="3"/>
  <c r="K1011" i="3"/>
  <c r="K452" i="3"/>
  <c r="K68" i="3"/>
  <c r="K130" i="3"/>
  <c r="K594" i="3"/>
  <c r="K302" i="3"/>
  <c r="K97" i="3"/>
  <c r="K444" i="3"/>
  <c r="K834" i="3"/>
  <c r="K1044" i="3"/>
  <c r="K842" i="3"/>
  <c r="K817" i="3"/>
  <c r="K533" i="3"/>
  <c r="K1055" i="3"/>
  <c r="K427" i="3"/>
  <c r="K37" i="3"/>
  <c r="K861" i="3"/>
  <c r="K354" i="3"/>
  <c r="K611" i="3"/>
  <c r="K668" i="3"/>
  <c r="K297" i="3"/>
  <c r="K466" i="3"/>
  <c r="K759" i="3"/>
  <c r="K496" i="3"/>
  <c r="K586" i="3"/>
  <c r="K236" i="3"/>
  <c r="K932" i="3"/>
  <c r="K804" i="3"/>
  <c r="K909" i="3"/>
  <c r="K505" i="3"/>
  <c r="K109" i="3"/>
  <c r="K1050" i="3"/>
  <c r="K850" i="3"/>
  <c r="K380" i="3"/>
  <c r="K326" i="3"/>
  <c r="K971" i="3"/>
  <c r="K90" i="3"/>
  <c r="K110" i="3"/>
  <c r="K347" i="3"/>
  <c r="K198" i="3"/>
  <c r="K506" i="3"/>
  <c r="K972" i="3"/>
  <c r="K862" i="3"/>
  <c r="K199" i="3"/>
  <c r="K1008" i="3"/>
  <c r="K517" i="3"/>
  <c r="K420" i="3"/>
  <c r="K470" i="3"/>
  <c r="K138" i="3"/>
  <c r="K121" i="3"/>
  <c r="K9" i="3"/>
  <c r="K403" i="3"/>
  <c r="K601" i="3"/>
  <c r="K471" i="3"/>
  <c r="K1033" i="3"/>
  <c r="K355" i="3"/>
  <c r="K132" i="3"/>
  <c r="K162" i="3"/>
  <c r="K117" i="3"/>
  <c r="K237" i="3"/>
  <c r="K587" i="3"/>
  <c r="K605" i="3"/>
  <c r="K766" i="3"/>
  <c r="K767" i="3"/>
  <c r="K702" i="3"/>
  <c r="K550" i="3"/>
  <c r="K133" i="3"/>
  <c r="K33" i="3"/>
  <c r="K118" i="3"/>
  <c r="K461" i="3"/>
  <c r="K760" i="3"/>
  <c r="K122" i="3"/>
  <c r="K818" i="3"/>
  <c r="K828" i="3"/>
  <c r="K428" i="3"/>
  <c r="K511" i="3"/>
  <c r="K19" i="3"/>
  <c r="K373" i="3"/>
  <c r="K560" i="3"/>
  <c r="K518" i="3"/>
  <c r="K1059" i="3"/>
  <c r="K111" i="3"/>
  <c r="K991" i="3"/>
  <c r="K773" i="3"/>
  <c r="K321" i="3"/>
  <c r="K791" i="3"/>
  <c r="K493" i="3"/>
  <c r="K217" i="3"/>
  <c r="K937" i="3"/>
  <c r="K507" i="3"/>
  <c r="K218" i="3"/>
  <c r="K176" i="3"/>
  <c r="K348" i="3"/>
  <c r="K398" i="3"/>
  <c r="K349" i="3"/>
  <c r="K676" i="3"/>
  <c r="K190" i="3"/>
  <c r="K78" i="3"/>
  <c r="K207" i="3"/>
  <c r="K595" i="3"/>
  <c r="K360" i="3"/>
  <c r="K570" i="3"/>
  <c r="K389" i="3"/>
  <c r="K658" i="3"/>
  <c r="K98" i="3"/>
  <c r="K472" i="3"/>
  <c r="K333" i="3"/>
  <c r="K327" i="3"/>
  <c r="K982" i="3"/>
  <c r="K857" i="3"/>
  <c r="K677" i="3"/>
  <c r="K819" i="3"/>
  <c r="K843" i="3"/>
  <c r="K251" i="3"/>
  <c r="K628" i="3"/>
  <c r="K139" i="3"/>
  <c r="K167" i="3"/>
  <c r="K399" i="3"/>
  <c r="K10" i="3"/>
  <c r="K534" i="3"/>
  <c r="K439" i="3"/>
  <c r="K851" i="3"/>
  <c r="K508" i="3"/>
  <c r="K435" i="3"/>
  <c r="K597" i="3"/>
  <c r="K440" i="3"/>
  <c r="K588" i="3"/>
  <c r="K895" i="3"/>
  <c r="K820" i="3"/>
  <c r="K168" i="3"/>
  <c r="K390" i="3"/>
  <c r="K424" i="3"/>
  <c r="K835" i="3"/>
  <c r="K944" i="3"/>
  <c r="K254" i="3"/>
  <c r="K654" i="3"/>
  <c r="K410" i="3"/>
  <c r="K229" i="3"/>
  <c r="K535" i="3"/>
  <c r="K421" i="3"/>
  <c r="K374" i="3"/>
  <c r="K999" i="3"/>
  <c r="K945" i="3"/>
  <c r="K863" i="3"/>
  <c r="K669" i="3"/>
  <c r="K796" i="3"/>
  <c r="K322" i="3"/>
  <c r="K429" i="3"/>
  <c r="K497" i="3"/>
  <c r="K364" i="3"/>
  <c r="K526" i="3"/>
  <c r="K477" i="3"/>
  <c r="K148" i="3"/>
  <c r="K781" i="3"/>
  <c r="K255" i="3"/>
  <c r="K811" i="3"/>
  <c r="K745" i="3"/>
  <c r="K232" i="3"/>
  <c r="K933" i="3"/>
  <c r="K1045" i="3"/>
  <c r="K750" i="3"/>
  <c r="K34" i="3"/>
  <c r="K995" i="3"/>
  <c r="K637" i="3"/>
  <c r="K967" i="3"/>
  <c r="K269" i="3"/>
  <c r="K598" i="3"/>
  <c r="K375" i="3"/>
  <c r="K946" i="3"/>
  <c r="K83" i="3"/>
  <c r="K551" i="3"/>
  <c r="K921" i="3"/>
  <c r="K685" i="3"/>
  <c r="K177" i="3"/>
  <c r="K864" i="3"/>
  <c r="K400" i="3"/>
  <c r="K313" i="3"/>
  <c r="K334" i="3"/>
  <c r="K902" i="3"/>
  <c r="K200" i="3"/>
  <c r="K975" i="3"/>
  <c r="K576" i="3"/>
  <c r="K498" i="3"/>
  <c r="K92" i="3"/>
  <c r="K606" i="3"/>
  <c r="K829" i="3"/>
  <c r="K655" i="3"/>
  <c r="K805" i="3"/>
  <c r="K539" i="3"/>
  <c r="K726" i="3"/>
  <c r="K692" i="3"/>
  <c r="K947" i="3"/>
  <c r="K571" i="3"/>
  <c r="K746" i="3"/>
  <c r="K49" i="3"/>
  <c r="K473" i="3"/>
  <c r="K957" i="3"/>
  <c r="K732" i="3"/>
  <c r="K821" i="3"/>
  <c r="K870" i="3"/>
  <c r="K112" i="3"/>
  <c r="K140" i="3"/>
  <c r="K1046" i="3"/>
  <c r="K328" i="3"/>
  <c r="K903" i="3"/>
  <c r="K911" i="3"/>
  <c r="K462" i="3"/>
  <c r="K208" i="3"/>
  <c r="K884" i="3"/>
  <c r="K616" i="3"/>
  <c r="K60" i="3"/>
  <c r="K782" i="3"/>
  <c r="K885" i="3"/>
  <c r="K928" i="3"/>
  <c r="K886" i="3"/>
  <c r="K540" i="3"/>
  <c r="K1016" i="3"/>
  <c r="K436" i="3"/>
  <c r="K589" i="3"/>
  <c r="K141" i="3"/>
  <c r="K15" i="3"/>
  <c r="K131" i="3"/>
  <c r="K341" i="3"/>
  <c r="K286" i="3"/>
  <c r="K696" i="3"/>
  <c r="K1014" i="3"/>
  <c r="K704" i="3"/>
  <c r="K768" i="3"/>
  <c r="K802" i="3"/>
  <c r="K941" i="3"/>
  <c r="K797" i="3"/>
  <c r="K287" i="3"/>
  <c r="K607" i="3"/>
  <c r="K486" i="3"/>
  <c r="K527" i="3"/>
  <c r="K642" i="3"/>
  <c r="K1051" i="3"/>
  <c r="K929" i="3"/>
  <c r="K808" i="3"/>
  <c r="K942" i="3"/>
  <c r="K690" i="3"/>
  <c r="K194" i="3"/>
  <c r="K453" i="3"/>
  <c r="K35" i="3"/>
  <c r="K659" i="3"/>
  <c r="K134" i="3"/>
  <c r="K381" i="3"/>
  <c r="K566" i="3"/>
  <c r="K113" i="3"/>
  <c r="K149" i="3"/>
  <c r="K996" i="3"/>
  <c r="K185" i="3"/>
  <c r="K455" i="3"/>
  <c r="K406" i="3"/>
  <c r="K445" i="3"/>
  <c r="K621" i="3"/>
  <c r="K262" i="3"/>
  <c r="K707" i="3"/>
  <c r="K660" i="3"/>
  <c r="K456" i="3"/>
  <c r="K650" i="3"/>
  <c r="K127" i="3"/>
  <c r="K599" i="3"/>
  <c r="K983" i="3"/>
  <c r="K954" i="3"/>
  <c r="K612" i="3"/>
  <c r="K422" i="3"/>
  <c r="K84" i="3"/>
  <c r="K391" i="3"/>
  <c r="K61" i="3"/>
  <c r="K968" i="3"/>
  <c r="K150" i="3"/>
  <c r="K679" i="3"/>
  <c r="K446" i="3"/>
  <c r="K887" i="3"/>
  <c r="K142" i="3"/>
  <c r="K930" i="3"/>
  <c r="K209" i="3"/>
  <c r="K1009" i="3"/>
  <c r="K323" i="3"/>
  <c r="K705" i="3"/>
  <c r="K222" i="3"/>
  <c r="K761" i="3"/>
  <c r="K201" i="3"/>
  <c r="K437" i="3"/>
  <c r="K774" i="3"/>
  <c r="K582" i="3"/>
  <c r="K638" i="3"/>
  <c r="K304" i="3"/>
  <c r="K546" i="3"/>
  <c r="K859" i="3"/>
  <c r="K238" i="3"/>
  <c r="K239" i="3"/>
  <c r="K871" i="3"/>
  <c r="K904" i="3"/>
  <c r="K590" i="3"/>
  <c r="K536" i="3"/>
  <c r="K38" i="3"/>
  <c r="K1000" i="3"/>
  <c r="K844" i="3"/>
  <c r="K252" i="3"/>
  <c r="K613" i="3"/>
  <c r="K812" i="3"/>
  <c r="K583" i="3"/>
  <c r="K519" i="3"/>
  <c r="K11" i="3"/>
  <c r="K962" i="3"/>
  <c r="K274" i="3"/>
  <c r="K263" i="3"/>
  <c r="K365" i="3"/>
  <c r="K1017" i="3"/>
  <c r="K963" i="3"/>
  <c r="K79" i="3"/>
  <c r="K798" i="3"/>
  <c r="K135" i="3"/>
  <c r="K733" i="3"/>
  <c r="K240" i="3"/>
  <c r="K478" i="3"/>
  <c r="K430" i="3"/>
  <c r="K253" i="3"/>
  <c r="K629" i="3"/>
  <c r="K151" i="3"/>
  <c r="K342" i="3"/>
  <c r="K915" i="3"/>
  <c r="K670" i="3"/>
  <c r="K721" i="3"/>
  <c r="K872" i="3"/>
  <c r="K411" i="3"/>
  <c r="K822" i="3"/>
  <c r="K520" i="3"/>
  <c r="K837" i="3"/>
  <c r="K528" i="3"/>
  <c r="K809" i="3"/>
  <c r="K152" i="3"/>
  <c r="K457" i="3"/>
  <c r="K463" i="3"/>
  <c r="K630" i="3"/>
  <c r="K852" i="3"/>
  <c r="K223" i="3"/>
  <c r="K922" i="3"/>
  <c r="K964" i="3"/>
  <c r="K392" i="3"/>
  <c r="K846" i="3"/>
  <c r="K813" i="3"/>
  <c r="K114" i="3"/>
  <c r="K923" i="3"/>
  <c r="K169" i="3"/>
  <c r="K412" i="3"/>
  <c r="K158" i="3"/>
  <c r="K314" i="3"/>
  <c r="K404" i="3"/>
  <c r="K153" i="3"/>
  <c r="K233" i="3"/>
  <c r="K487" i="3"/>
  <c r="K948" i="3"/>
  <c r="K186" i="3"/>
  <c r="K697" i="3"/>
  <c r="K521" i="3"/>
  <c r="K572" i="3"/>
  <c r="K823" i="3"/>
  <c r="K178" i="3"/>
  <c r="K799" i="3"/>
  <c r="K512" i="3"/>
  <c r="K577" i="3"/>
  <c r="K241" i="3"/>
  <c r="K662" i="3"/>
  <c r="K865" i="3"/>
  <c r="K734" i="3"/>
  <c r="K949" i="3"/>
  <c r="K888" i="3"/>
  <c r="K224" i="3"/>
  <c r="K769" i="3"/>
  <c r="K210" i="3"/>
  <c r="K671" i="3"/>
  <c r="K370" i="3"/>
  <c r="K179" i="3"/>
  <c r="K242" i="3"/>
  <c r="K413" i="3"/>
  <c r="K614" i="3"/>
  <c r="K853" i="3"/>
  <c r="K69" i="3"/>
  <c r="K467" i="3"/>
  <c r="K16" i="3"/>
  <c r="K663" i="3"/>
  <c r="K170" i="3"/>
  <c r="K248" i="3"/>
  <c r="K513" i="3"/>
  <c r="K775" i="3"/>
  <c r="K693" i="3"/>
  <c r="K899" i="3"/>
  <c r="K678" i="3"/>
  <c r="K552" i="3"/>
  <c r="K938" i="3"/>
  <c r="K672" i="3"/>
  <c r="K567" i="3"/>
  <c r="K969" i="3"/>
  <c r="K602" i="3"/>
  <c r="K673" i="3"/>
  <c r="K211" i="3"/>
  <c r="K115" i="3"/>
  <c r="K783" i="3"/>
  <c r="K39" i="3"/>
  <c r="K1034" i="3"/>
  <c r="K288" i="3"/>
  <c r="K376" i="3"/>
  <c r="K47" i="3"/>
  <c r="K361" i="3"/>
  <c r="K292" i="3"/>
  <c r="K735" i="3"/>
  <c r="K371" i="3"/>
  <c r="K219" i="3"/>
  <c r="K1060" i="3"/>
  <c r="K631" i="3"/>
  <c r="K784" i="3"/>
  <c r="K1012" i="3"/>
  <c r="K1052" i="3"/>
  <c r="K1047" i="3"/>
  <c r="K680" i="3"/>
  <c r="K751" i="3"/>
  <c r="K698" i="3"/>
  <c r="K146" i="3"/>
  <c r="K792" i="3"/>
  <c r="K154" i="3"/>
  <c r="K350" i="3"/>
  <c r="K1056" i="3"/>
  <c r="K747" i="3"/>
  <c r="K479" i="3"/>
  <c r="K741" i="3"/>
  <c r="K1027" i="3"/>
  <c r="K54" i="3"/>
  <c r="K1035" i="3"/>
  <c r="K984" i="3"/>
  <c r="K600" i="3"/>
  <c r="K748" i="3"/>
  <c r="K279" i="3"/>
  <c r="K578" i="3"/>
  <c r="K136" i="3"/>
  <c r="K1001" i="3"/>
  <c r="K845" i="3"/>
  <c r="K1018" i="3"/>
  <c r="K329" i="3"/>
  <c r="K393" i="3"/>
  <c r="K48" i="3"/>
  <c r="K615" i="3"/>
  <c r="K343" i="3"/>
  <c r="K1328" i="3"/>
  <c r="K20" i="3"/>
  <c r="K1905" i="3"/>
  <c r="K1657" i="3"/>
  <c r="K1820" i="3"/>
  <c r="K1648" i="3"/>
  <c r="K1128" i="3"/>
  <c r="K1927" i="3"/>
  <c r="K1380" i="3"/>
  <c r="K1691" i="3"/>
  <c r="K973" i="3"/>
  <c r="K1390" i="3"/>
  <c r="K1862" i="3"/>
  <c r="K579" i="3"/>
  <c r="K1815" i="3"/>
  <c r="K1541" i="3"/>
  <c r="K1176" i="3"/>
  <c r="K1783" i="3"/>
  <c r="K1561" i="3"/>
  <c r="K1391" i="3"/>
  <c r="K1524" i="3"/>
  <c r="K1062" i="3"/>
  <c r="K838" i="3"/>
  <c r="K1247" i="3"/>
  <c r="K1692" i="3"/>
  <c r="K889" i="3"/>
  <c r="K1436" i="3"/>
  <c r="K1906" i="3"/>
  <c r="K1711" i="3"/>
  <c r="K1870" i="3"/>
  <c r="K1424" i="3"/>
  <c r="K1866" i="3"/>
  <c r="K4" i="3"/>
  <c r="K1513" i="3"/>
  <c r="K1202" i="3"/>
  <c r="K1363" i="3"/>
  <c r="K99" i="3"/>
  <c r="K608" i="3"/>
  <c r="K1873" i="3"/>
  <c r="K1235" i="3"/>
  <c r="K1824" i="3"/>
  <c r="K1772" i="3"/>
  <c r="K894" i="3"/>
  <c r="K1188" i="3"/>
  <c r="K1096" i="3"/>
  <c r="K305" i="3"/>
  <c r="K1099" i="3"/>
  <c r="K1825" i="3"/>
  <c r="K1480" i="3"/>
  <c r="K1892" i="3"/>
  <c r="K1552" i="3"/>
  <c r="K1801" i="3"/>
  <c r="K1130" i="3"/>
  <c r="K1386" i="3"/>
  <c r="K1364" i="3"/>
  <c r="K1117" i="3"/>
  <c r="K1854" i="3"/>
  <c r="K1856" i="3"/>
  <c r="K1789" i="3"/>
  <c r="K264" i="3"/>
  <c r="K483" i="3"/>
  <c r="K1553" i="3"/>
  <c r="K1294" i="3"/>
  <c r="K1767" i="3"/>
  <c r="K1146" i="3"/>
  <c r="K230" i="3"/>
  <c r="K21" i="3"/>
  <c r="K1215" i="3"/>
  <c r="K1703" i="3"/>
  <c r="K708" i="3"/>
  <c r="K1554" i="3"/>
  <c r="K1127" i="3"/>
  <c r="K890" i="3"/>
  <c r="K1669" i="3"/>
  <c r="K1316" i="3"/>
  <c r="K1459" i="3"/>
  <c r="K1633" i="3"/>
  <c r="K1299" i="3"/>
  <c r="K1471" i="3"/>
  <c r="K50" i="3"/>
  <c r="K609" i="3"/>
  <c r="K401" i="3"/>
  <c r="K1889" i="3"/>
  <c r="K1834" i="3"/>
  <c r="K1615" i="3"/>
  <c r="K1850" i="3"/>
  <c r="K824" i="3"/>
  <c r="K1444" i="3"/>
  <c r="K187" i="3"/>
  <c r="K1775" i="3"/>
  <c r="K1244" i="3"/>
  <c r="K1496" i="3"/>
  <c r="K1461" i="3"/>
  <c r="K814" i="3"/>
  <c r="K1301" i="3"/>
  <c r="K699" i="3"/>
  <c r="K212" i="3"/>
  <c r="K1189" i="3"/>
  <c r="K1469" i="3"/>
  <c r="K1509" i="3"/>
  <c r="K1195" i="3"/>
  <c r="K1899" i="3"/>
  <c r="K1682" i="3"/>
  <c r="K1837" i="3"/>
  <c r="K1318" i="3"/>
  <c r="K1527" i="3"/>
  <c r="K1749" i="3"/>
  <c r="K1649" i="3"/>
  <c r="K1838" i="3"/>
  <c r="K1385" i="3"/>
  <c r="K1298" i="3"/>
  <c r="K1769" i="3"/>
  <c r="K1855" i="3"/>
  <c r="K1448" i="3"/>
  <c r="K1322" i="3"/>
  <c r="K1841" i="3"/>
  <c r="K866" i="3"/>
  <c r="K1671" i="3"/>
  <c r="K1806" i="3"/>
  <c r="K1350" i="3"/>
  <c r="K1325" i="3"/>
  <c r="K1124" i="3"/>
  <c r="K1678" i="3"/>
  <c r="K1110" i="3"/>
  <c r="K1781" i="3"/>
  <c r="K1555" i="3"/>
  <c r="K1147" i="3"/>
  <c r="K1696" i="3"/>
  <c r="K1709" i="3"/>
  <c r="K1411" i="3"/>
  <c r="K1360" i="3"/>
  <c r="K1544" i="3"/>
  <c r="K1095" i="3"/>
  <c r="K1139" i="3"/>
  <c r="K1312" i="3"/>
  <c r="K407" i="3"/>
  <c r="K1645" i="3"/>
  <c r="K1160" i="3"/>
  <c r="K1151" i="3"/>
  <c r="K1828" i="3"/>
  <c r="K1510" i="3"/>
  <c r="K1629" i="3"/>
  <c r="K1829" i="3"/>
  <c r="K1144" i="3"/>
  <c r="K1466" i="3"/>
  <c r="K55" i="3"/>
  <c r="K1403" i="3"/>
  <c r="K1894" i="3"/>
  <c r="K1040" i="3"/>
  <c r="K447" i="3"/>
  <c r="K1105" i="3"/>
  <c r="K1653" i="3"/>
  <c r="K1276" i="3"/>
  <c r="K1365" i="3"/>
  <c r="K1465" i="3"/>
  <c r="K1688" i="3"/>
  <c r="K1100" i="3"/>
  <c r="K1616" i="3"/>
  <c r="K1352" i="3"/>
  <c r="K1568" i="3"/>
  <c r="K1639" i="3"/>
  <c r="K1366" i="3"/>
  <c r="K1324" i="3"/>
  <c r="K1727" i="3"/>
  <c r="K85" i="3"/>
  <c r="K488" i="3"/>
  <c r="K1171" i="3"/>
  <c r="K1076" i="3"/>
  <c r="K1272" i="3"/>
  <c r="K1618" i="3"/>
  <c r="K1107" i="3"/>
  <c r="K1187" i="3"/>
  <c r="K1591" i="3"/>
  <c r="K1495" i="3"/>
  <c r="K1243" i="3"/>
  <c r="K1347" i="3"/>
  <c r="K1462" i="3"/>
  <c r="K1425" i="3"/>
  <c r="K1220" i="3"/>
  <c r="K1296" i="3"/>
  <c r="K1672" i="3"/>
  <c r="K1455" i="3"/>
  <c r="K1210" i="3"/>
  <c r="K1118" i="3"/>
  <c r="K1203" i="3"/>
  <c r="K639" i="3"/>
  <c r="K1923" i="3"/>
  <c r="K1705" i="3"/>
  <c r="K1270" i="3"/>
  <c r="K1810" i="3"/>
  <c r="K1399" i="3"/>
  <c r="K1761" i="3"/>
  <c r="K12" i="3"/>
  <c r="K1583" i="3"/>
  <c r="K1813" i="3"/>
  <c r="K1439" i="3"/>
  <c r="K1341" i="3"/>
  <c r="K1282" i="3"/>
  <c r="K280" i="3"/>
  <c r="K1019" i="3"/>
  <c r="K1406" i="3"/>
  <c r="K1233" i="3"/>
  <c r="K1537" i="3"/>
  <c r="K1683" i="3"/>
  <c r="K1375" i="3"/>
  <c r="K1542" i="3"/>
  <c r="K1317" i="3"/>
  <c r="K1689" i="3"/>
  <c r="K265" i="3"/>
  <c r="K1067" i="3"/>
  <c r="K1132" i="3"/>
  <c r="K1450" i="3"/>
  <c r="K715" i="3"/>
  <c r="K1871" i="3"/>
  <c r="K1164" i="3"/>
  <c r="K1308" i="3"/>
  <c r="K1830" i="3"/>
  <c r="K1625" i="3"/>
  <c r="K1361" i="3"/>
  <c r="K664" i="3"/>
  <c r="K155" i="3"/>
  <c r="K1929" i="3"/>
  <c r="K1547" i="3"/>
  <c r="K1525" i="3"/>
  <c r="K1734" i="3"/>
  <c r="K1097" i="3"/>
  <c r="K1636" i="3"/>
  <c r="K867" i="3"/>
  <c r="K1654" i="3"/>
  <c r="K1698" i="3"/>
  <c r="K1082" i="3"/>
  <c r="K1606" i="3"/>
  <c r="K1779" i="3"/>
  <c r="K752" i="3"/>
  <c r="K1546" i="3"/>
  <c r="K522" i="3"/>
  <c r="K1851" i="3"/>
  <c r="K1545" i="3"/>
  <c r="K1569" i="3"/>
  <c r="K202" i="3"/>
  <c r="K1191" i="3"/>
  <c r="K1723" i="3"/>
  <c r="K1313" i="3"/>
  <c r="K171" i="3"/>
  <c r="K1492" i="3"/>
  <c r="K1238" i="3"/>
  <c r="K1664" i="3"/>
  <c r="K716" i="3"/>
  <c r="K474" i="3"/>
  <c r="K1858" i="3"/>
  <c r="K1173" i="3"/>
  <c r="K1208" i="3"/>
  <c r="K1674" i="3"/>
  <c r="K1285" i="3"/>
  <c r="K958" i="3"/>
  <c r="K1066" i="3"/>
  <c r="K722" i="3"/>
  <c r="K1722" i="3"/>
  <c r="K1437" i="3"/>
  <c r="K1823" i="3"/>
  <c r="K1925" i="3"/>
  <c r="K1240" i="3"/>
  <c r="K1426" i="3"/>
  <c r="K1381" i="3"/>
  <c r="K1863" i="3"/>
  <c r="K1138" i="3"/>
  <c r="K1770" i="3"/>
  <c r="K905" i="3"/>
  <c r="K1123" i="3"/>
  <c r="K1864" i="3"/>
  <c r="K1762" i="3"/>
  <c r="K1888" i="3"/>
  <c r="K1358" i="3"/>
  <c r="K1922" i="3"/>
  <c r="K1741" i="3"/>
  <c r="K591" i="3"/>
  <c r="K1367" i="3"/>
  <c r="K1643" i="3"/>
  <c r="K1859" i="3"/>
  <c r="K1319" i="3"/>
  <c r="K382" i="3"/>
  <c r="K1844" i="3"/>
  <c r="K425" i="3"/>
  <c r="K1200" i="3"/>
  <c r="K1521" i="3"/>
  <c r="K815" i="3"/>
  <c r="K344" i="3"/>
  <c r="K694" i="3"/>
  <c r="K1140" i="3"/>
  <c r="K1540" i="3"/>
  <c r="K1549" i="3"/>
  <c r="K1500" i="3"/>
  <c r="K1449" i="3"/>
  <c r="K1644" i="3"/>
  <c r="K1204" i="3"/>
  <c r="K1254" i="3"/>
  <c r="K1511" i="3"/>
  <c r="K1427" i="3"/>
  <c r="K1172" i="3"/>
  <c r="K1329" i="3"/>
  <c r="K1387" i="3"/>
  <c r="K1517" i="3"/>
  <c r="K1302" i="3"/>
  <c r="K537" i="3"/>
  <c r="K1728" i="3"/>
  <c r="K1630" i="3"/>
  <c r="K632" i="3"/>
  <c r="K1802" i="3"/>
  <c r="K1637" i="3"/>
  <c r="K1563" i="3"/>
  <c r="K1287" i="3"/>
  <c r="K1163" i="3"/>
  <c r="K633" i="3"/>
  <c r="K1273" i="3"/>
  <c r="K116" i="3"/>
  <c r="K1918" i="3"/>
  <c r="K1205" i="3"/>
  <c r="K939" i="3"/>
  <c r="K1737" i="3"/>
  <c r="K1895" i="3"/>
  <c r="K1531" i="3"/>
  <c r="K1336" i="3"/>
  <c r="K1773" i="3"/>
  <c r="K1613" i="3"/>
  <c r="K1868" i="3"/>
  <c r="K1234" i="3"/>
  <c r="K464" i="3"/>
  <c r="K1307" i="3"/>
  <c r="K1786" i="3"/>
  <c r="K580" i="3"/>
  <c r="K1108" i="3"/>
  <c r="K1306" i="3"/>
  <c r="K1501" i="3"/>
  <c r="K1269" i="3"/>
  <c r="K1414" i="3"/>
  <c r="K414" i="3"/>
  <c r="K1266" i="3"/>
  <c r="K1816" i="3"/>
  <c r="K1193" i="3"/>
  <c r="K1673" i="3"/>
  <c r="K1218" i="3"/>
  <c r="K1077" i="3"/>
  <c r="K1216" i="3"/>
  <c r="K1712" i="3"/>
  <c r="K924" i="3"/>
  <c r="K405" i="3"/>
  <c r="K1394" i="3"/>
  <c r="K1550" i="3"/>
  <c r="K1916" i="3"/>
  <c r="K1745" i="3"/>
  <c r="K1719" i="3"/>
  <c r="K1345" i="3"/>
  <c r="K1852" i="3"/>
  <c r="K1777" i="3"/>
  <c r="K1057" i="3"/>
  <c r="K1242" i="3"/>
  <c r="K1603" i="3"/>
  <c r="K1893" i="3"/>
  <c r="K1484" i="3"/>
  <c r="K1314" i="3"/>
  <c r="K1338" i="3"/>
  <c r="K1701" i="3"/>
  <c r="K1154" i="3"/>
  <c r="K1710" i="3"/>
  <c r="K1255" i="3"/>
  <c r="K1382" i="3"/>
  <c r="K1419" i="3"/>
  <c r="K1288" i="3"/>
  <c r="K1919" i="3"/>
  <c r="K891" i="3"/>
  <c r="K1751" i="3"/>
  <c r="K1063" i="3"/>
  <c r="K1738" i="3"/>
  <c r="K1518" i="3"/>
  <c r="K762" i="3"/>
  <c r="K1817" i="3"/>
  <c r="K1115" i="3"/>
  <c r="K270" i="3"/>
  <c r="K1565" i="3"/>
  <c r="K1357" i="3"/>
  <c r="K1818" i="3"/>
  <c r="K1245" i="3"/>
  <c r="K1464" i="3"/>
  <c r="K1878" i="3"/>
  <c r="K561" i="3"/>
  <c r="K1640" i="3"/>
  <c r="K1790" i="3"/>
  <c r="K1402" i="3"/>
  <c r="K1797" i="3"/>
  <c r="K686" i="3"/>
  <c r="K1157" i="3"/>
  <c r="K441" i="3"/>
  <c r="K1320" i="3"/>
  <c r="K1225" i="3"/>
  <c r="K1323" i="3"/>
  <c r="K220" i="3"/>
  <c r="K1661" i="3"/>
  <c r="K1814" i="3"/>
  <c r="K1861" i="3"/>
  <c r="K1227" i="3"/>
  <c r="K1528" i="3"/>
  <c r="K1304" i="3"/>
  <c r="K1141" i="3"/>
  <c r="K1562" i="3"/>
  <c r="K1725" i="3"/>
  <c r="K1896" i="3"/>
  <c r="K298" i="3"/>
  <c r="K394" i="3"/>
  <c r="K1595" i="3"/>
  <c r="K1556" i="3"/>
  <c r="K1274" i="3"/>
  <c r="K1236" i="3"/>
  <c r="K1398" i="3"/>
  <c r="K1739" i="3"/>
  <c r="K1677" i="3"/>
  <c r="K1605" i="3"/>
  <c r="K873" i="3"/>
  <c r="K1902" i="3"/>
  <c r="K159" i="3"/>
  <c r="K793" i="3"/>
  <c r="K1796" i="3"/>
  <c r="K1522" i="3"/>
  <c r="K1604" i="3"/>
  <c r="K1716" i="3"/>
  <c r="K1309" i="3"/>
  <c r="K180" i="3"/>
  <c r="K695" i="3"/>
  <c r="K351" i="3"/>
  <c r="K1091" i="3"/>
  <c r="K1713" i="3"/>
  <c r="K1566" i="3"/>
  <c r="K674" i="3"/>
  <c r="K1133" i="3"/>
  <c r="K1326" i="3"/>
  <c r="K1111" i="3"/>
  <c r="K785" i="3"/>
  <c r="K523" i="3"/>
  <c r="K256" i="3"/>
  <c r="K1167" i="3"/>
  <c r="K1891" i="3"/>
  <c r="K1256" i="3"/>
  <c r="K1809" i="3"/>
  <c r="K1529" i="3"/>
  <c r="K1289" i="3"/>
  <c r="K1114" i="3"/>
  <c r="K1911" i="3"/>
  <c r="K1811" i="3"/>
  <c r="K1848" i="3"/>
  <c r="K874" i="3"/>
  <c r="K1748" i="3"/>
  <c r="K1209" i="3"/>
  <c r="K1879" i="3"/>
  <c r="K1491" i="3"/>
  <c r="K1655" i="3"/>
  <c r="K1194" i="3"/>
  <c r="K1036" i="3"/>
  <c r="K1693" i="3"/>
  <c r="K875" i="3"/>
  <c r="K1376" i="3"/>
  <c r="K1401" i="3"/>
  <c r="K1344" i="3"/>
  <c r="K1377" i="3"/>
  <c r="K1827" i="3"/>
  <c r="K1190" i="3"/>
  <c r="K1374" i="3"/>
  <c r="K123" i="3"/>
  <c r="K475" i="3"/>
  <c r="K1890" i="3"/>
  <c r="K1261" i="3"/>
  <c r="K1388" i="3"/>
  <c r="K1332" i="3"/>
  <c r="K1920" i="3"/>
  <c r="K1101" i="3"/>
  <c r="K1072" i="3"/>
  <c r="K1497" i="3"/>
  <c r="K257" i="3"/>
  <c r="K1594" i="3"/>
  <c r="K1853" i="3"/>
  <c r="K1428" i="3"/>
  <c r="K1081" i="3"/>
  <c r="K1559" i="3"/>
  <c r="K1088" i="3"/>
  <c r="K271" i="3"/>
  <c r="K541" i="3"/>
  <c r="K1283" i="3"/>
  <c r="K1211" i="3"/>
  <c r="K1647" i="3"/>
  <c r="K1346" i="3"/>
  <c r="K542" i="3"/>
  <c r="K1607" i="3"/>
  <c r="K1704" i="3"/>
  <c r="K753" i="3"/>
  <c r="K31" i="3"/>
  <c r="K1913" i="3"/>
  <c r="K1456" i="3"/>
  <c r="K1874" i="3"/>
  <c r="K860" i="3"/>
  <c r="K1277" i="3"/>
  <c r="K1576" i="3"/>
  <c r="K1881" i="3"/>
  <c r="K1831" i="3"/>
  <c r="K1826" i="3"/>
  <c r="K1353" i="3"/>
  <c r="K1355" i="3"/>
  <c r="K1573" i="3"/>
  <c r="K1064" i="3"/>
  <c r="K1684" i="3"/>
  <c r="K1914" i="3"/>
  <c r="K1165" i="3"/>
  <c r="K1199" i="3"/>
  <c r="K1161" i="3"/>
  <c r="K1570" i="3"/>
  <c r="K307" i="3"/>
  <c r="K1857" i="3"/>
  <c r="K1702" i="3"/>
  <c r="K468" i="3"/>
  <c r="K1574" i="3"/>
  <c r="K1490" i="3"/>
  <c r="K1086" i="3"/>
  <c r="K1431" i="3"/>
  <c r="K1668" i="3"/>
  <c r="K1577" i="3"/>
  <c r="K1804" i="3"/>
  <c r="K1223" i="3"/>
  <c r="K651" i="3"/>
  <c r="K974" i="3"/>
  <c r="K1434" i="3"/>
  <c r="K1262" i="3"/>
  <c r="K1421" i="3"/>
  <c r="K700" i="3"/>
  <c r="K1663" i="3"/>
  <c r="K1078" i="3"/>
  <c r="K1776" i="3"/>
  <c r="K22" i="3"/>
  <c r="K1685" i="3"/>
  <c r="K124" i="3"/>
  <c r="K1177" i="3"/>
  <c r="K1342" i="3"/>
  <c r="K1600" i="3"/>
  <c r="K1650" i="3"/>
  <c r="K1443" i="3"/>
  <c r="K1295" i="3"/>
  <c r="K1429" i="3"/>
  <c r="K1252" i="3"/>
  <c r="K1759" i="3"/>
  <c r="K1085" i="3"/>
  <c r="K1112" i="3"/>
  <c r="K1337" i="3"/>
  <c r="K1222" i="3"/>
  <c r="K854" i="3"/>
  <c r="K1145" i="3"/>
  <c r="K1028" i="3"/>
  <c r="K1883" i="3"/>
  <c r="K1821" i="3"/>
  <c r="K1659" i="3"/>
  <c r="K1694" i="3"/>
  <c r="K617" i="3"/>
  <c r="K161" i="3"/>
  <c r="K1410" i="3"/>
  <c r="K1585" i="3"/>
  <c r="K1291" i="3"/>
  <c r="K36" i="3"/>
  <c r="K1430" i="3"/>
  <c r="K1460" i="3"/>
  <c r="K1279" i="3"/>
  <c r="K65" i="3"/>
  <c r="K86" i="3"/>
  <c r="K1422" i="3"/>
  <c r="K1658" i="3"/>
  <c r="K1142" i="3"/>
  <c r="K1432" i="3"/>
  <c r="K1162" i="3"/>
  <c r="K87" i="3"/>
  <c r="K1383" i="3"/>
  <c r="K1747" i="3"/>
  <c r="K1623" i="3"/>
  <c r="K1602" i="3"/>
  <c r="K1303" i="3"/>
  <c r="K1742" i="3"/>
  <c r="K1885" i="3"/>
  <c r="K1860" i="3"/>
  <c r="K976" i="3"/>
  <c r="K584" i="3"/>
  <c r="K1867" i="3"/>
  <c r="K514" i="3"/>
  <c r="K1415" i="3"/>
  <c r="K825" i="3"/>
  <c r="K1102" i="3"/>
  <c r="K1048" i="3"/>
  <c r="K1534" i="3"/>
  <c r="K1417" i="3"/>
  <c r="K1119" i="3"/>
  <c r="K1750" i="3"/>
  <c r="K1228" i="3"/>
  <c r="K1134" i="3"/>
  <c r="K1730" i="3"/>
  <c r="K1267" i="3"/>
  <c r="K415" i="3"/>
  <c r="K1248" i="3"/>
  <c r="K1909" i="3"/>
  <c r="K1275" i="3"/>
  <c r="K1335" i="3"/>
  <c r="K1478" i="3"/>
  <c r="K1109" i="3"/>
  <c r="K1621" i="3"/>
  <c r="K1083" i="3"/>
  <c r="K1181" i="3"/>
  <c r="K1609" i="3"/>
  <c r="K1766" i="3"/>
  <c r="K1793" i="3"/>
  <c r="K426" i="3"/>
  <c r="K1207" i="3"/>
  <c r="K1250" i="3"/>
  <c r="K1153" i="3"/>
  <c r="K1752" i="3"/>
  <c r="K1721" i="3"/>
  <c r="K1263" i="3"/>
  <c r="K1239" i="3"/>
  <c r="K622" i="3"/>
  <c r="K1875" i="3"/>
  <c r="K1475" i="3"/>
  <c r="K1065" i="3"/>
  <c r="K1504" i="3"/>
  <c r="K1445" i="3"/>
  <c r="K985" i="3"/>
  <c r="K1608" i="3"/>
  <c r="K1700" i="3"/>
  <c r="K1457" i="3"/>
  <c r="K143" i="3"/>
  <c r="K1903" i="3"/>
  <c r="K1662" i="3"/>
  <c r="K1339" i="3"/>
  <c r="K1887" i="3"/>
  <c r="K1635" i="3"/>
  <c r="K1071" i="3"/>
  <c r="K1310" i="3"/>
  <c r="K1733" i="3"/>
  <c r="K1169" i="3"/>
  <c r="K1774" i="3"/>
  <c r="K1619" i="3"/>
  <c r="K362" i="3"/>
  <c r="K1755" i="3"/>
  <c r="K1794" i="3"/>
  <c r="K1731" i="3"/>
  <c r="K1732" i="3"/>
  <c r="K1278" i="3"/>
  <c r="K1601" i="3"/>
  <c r="K1378" i="3"/>
  <c r="K770" i="3"/>
  <c r="K1551" i="3"/>
  <c r="K1185" i="3"/>
  <c r="K1106" i="3"/>
  <c r="K1120" i="3"/>
  <c r="K1143" i="3"/>
  <c r="K1080" i="3"/>
  <c r="K1435" i="3"/>
  <c r="K1166" i="3"/>
  <c r="K925" i="3"/>
  <c r="K1715" i="3"/>
  <c r="K1333" i="3"/>
  <c r="K1479" i="3"/>
  <c r="K1670" i="3"/>
  <c r="K1706" i="3"/>
  <c r="K1697" i="3"/>
  <c r="K1373" i="3"/>
  <c r="K1451" i="3"/>
  <c r="K1395" i="3"/>
  <c r="K618" i="3"/>
  <c r="K1487" i="3"/>
  <c r="K623" i="3"/>
  <c r="K1135" i="3"/>
  <c r="K1708" i="3"/>
  <c r="K1442" i="3"/>
  <c r="K1760" i="3"/>
  <c r="K1241" i="3"/>
  <c r="K1440" i="3"/>
  <c r="K1758" i="3"/>
  <c r="K1686" i="3"/>
  <c r="K213" i="3"/>
  <c r="K1690" i="3"/>
  <c r="K1651" i="3"/>
  <c r="K1315" i="3"/>
  <c r="K1446" i="3"/>
  <c r="K1073" i="3"/>
  <c r="K1297" i="3"/>
  <c r="K553" i="3"/>
  <c r="K1666" i="3"/>
  <c r="K1768" i="3"/>
  <c r="K1578" i="3"/>
  <c r="K1679" i="3"/>
  <c r="K1113" i="3"/>
  <c r="K1175" i="3"/>
  <c r="K1819" i="3"/>
  <c r="K163" i="3"/>
  <c r="K1327" i="3"/>
  <c r="K1129" i="3"/>
  <c r="K1224" i="3"/>
  <c r="K1807" i="3"/>
  <c r="K1753" i="3"/>
  <c r="K458" i="3"/>
  <c r="K1311" i="3"/>
  <c r="K1656" i="3"/>
  <c r="K1523" i="3"/>
  <c r="K1158" i="3"/>
  <c r="K1714" i="3"/>
  <c r="K1886" i="3"/>
  <c r="K1617" i="3"/>
  <c r="K144" i="3"/>
  <c r="K1795" i="3"/>
  <c r="K1792" i="3"/>
  <c r="K1584" i="3"/>
  <c r="K1822" i="3"/>
  <c r="K1182" i="3"/>
  <c r="K1068" i="3"/>
  <c r="K1407" i="3"/>
  <c r="K1520" i="3"/>
  <c r="K1393" i="3"/>
  <c r="K1029" i="3"/>
  <c r="K1675" i="3"/>
  <c r="K1260" i="3"/>
  <c r="K1174" i="3"/>
  <c r="K1571" i="3"/>
  <c r="K281" i="3"/>
  <c r="K1717" i="3"/>
  <c r="K1843" i="3"/>
  <c r="K1729" i="3"/>
  <c r="K1907" i="3"/>
  <c r="K1098" i="3"/>
  <c r="K1372" i="3"/>
  <c r="K1257" i="3"/>
  <c r="K619" i="3"/>
  <c r="K1103" i="3"/>
  <c r="K1379" i="3"/>
  <c r="K1560" i="3"/>
  <c r="K1507" i="3"/>
  <c r="K367" i="3"/>
  <c r="K1420" i="3"/>
  <c r="K1835" i="3"/>
  <c r="K66" i="3"/>
  <c r="K1232" i="3"/>
  <c r="K1880" i="3"/>
  <c r="K1196" i="3"/>
  <c r="K723" i="3"/>
  <c r="K1258" i="3"/>
  <c r="K1805" i="3"/>
  <c r="K1423" i="3"/>
  <c r="K1094" i="3"/>
  <c r="K1292" i="3"/>
  <c r="K1370" i="3"/>
  <c r="K1910" i="3"/>
  <c r="K315" i="3"/>
  <c r="K1928" i="3"/>
  <c r="K789" i="3"/>
  <c r="K1641" i="3"/>
  <c r="K1152" i="3"/>
  <c r="K489" i="3"/>
  <c r="K225" i="3"/>
  <c r="K1869" i="3"/>
  <c r="K1087" i="3"/>
  <c r="K1842" i="3"/>
  <c r="K1788" i="3"/>
  <c r="K1408" i="3"/>
  <c r="K1280" i="3"/>
  <c r="K1626" i="3"/>
  <c r="K1840" i="3"/>
  <c r="K1246" i="3"/>
  <c r="K1334" i="3"/>
  <c r="K1930" i="3"/>
  <c r="K1676" i="3"/>
  <c r="K443" i="3"/>
  <c r="K1493" i="3"/>
  <c r="K509" i="3"/>
  <c r="K1389" i="3"/>
  <c r="K727" i="3"/>
  <c r="K1557" i="3"/>
  <c r="K1757" i="3"/>
  <c r="K1264" i="3"/>
  <c r="K395" i="3"/>
  <c r="K1505" i="3"/>
  <c r="K1482" i="3"/>
  <c r="K330" i="3"/>
  <c r="K1305" i="3"/>
  <c r="K1588" i="3"/>
  <c r="K1915" i="3"/>
  <c r="K709" i="3"/>
  <c r="K1093" i="3"/>
  <c r="K1170" i="3"/>
  <c r="K1125" i="3"/>
  <c r="K1506" i="3"/>
  <c r="K1197" i="3"/>
  <c r="K1743" i="3"/>
  <c r="K1667" i="3"/>
  <c r="K1624" i="3"/>
  <c r="K1231" i="3"/>
  <c r="K1865" i="3"/>
  <c r="K1503" i="3"/>
  <c r="K147" i="3"/>
  <c r="K1632" i="3"/>
  <c r="K1627" i="3"/>
  <c r="K1226" i="3"/>
  <c r="K1897" i="3"/>
  <c r="K1483" i="3"/>
  <c r="K1476" i="3"/>
  <c r="K790" i="3"/>
  <c r="K1474" i="3"/>
  <c r="K1898" i="3"/>
  <c r="K1020" i="3"/>
  <c r="K1778" i="3"/>
  <c r="K1746" i="3"/>
  <c r="K1832" i="3"/>
  <c r="K1924" i="3"/>
  <c r="K1371" i="3"/>
  <c r="K1441" i="3"/>
  <c r="K1192" i="3"/>
  <c r="K959" i="3"/>
  <c r="K1368" i="3"/>
  <c r="K195" i="3"/>
  <c r="K476" i="3"/>
  <c r="K293" i="3"/>
  <c r="K1089" i="3"/>
  <c r="K1515" i="3"/>
  <c r="K1074" i="3"/>
  <c r="K106" i="3"/>
  <c r="K1418" i="3"/>
  <c r="K1356" i="3"/>
  <c r="K5" i="3"/>
  <c r="K1136" i="3"/>
  <c r="K1477" i="3"/>
  <c r="K331" i="3"/>
  <c r="K836" i="3"/>
  <c r="K1681" i="3"/>
  <c r="K1622" i="3"/>
  <c r="K1592" i="3"/>
  <c r="K524" i="3"/>
  <c r="K448" i="3"/>
  <c r="K1593" i="3"/>
  <c r="K1221" i="3"/>
  <c r="K1744" i="3"/>
  <c r="K1438" i="3"/>
  <c r="K1284" i="3"/>
  <c r="K1926" i="3"/>
  <c r="K1687" i="3"/>
  <c r="K1502" i="3"/>
  <c r="K1084" i="3"/>
  <c r="K1463" i="3"/>
  <c r="K324" i="3"/>
  <c r="K1782" i="3"/>
  <c r="K1259" i="3"/>
  <c r="K1756" i="3"/>
  <c r="K1413" i="3"/>
  <c r="K1290" i="3"/>
  <c r="K1917" i="3"/>
  <c r="K1433" i="3"/>
  <c r="K1612" i="3"/>
  <c r="K1812" i="3"/>
  <c r="K1882" i="3"/>
  <c r="K1351" i="3"/>
  <c r="K1488" i="3"/>
  <c r="K1833" i="3"/>
  <c r="K1092" i="3"/>
  <c r="K1354" i="3"/>
  <c r="K1180" i="3"/>
  <c r="K416" i="3"/>
  <c r="K1265" i="3"/>
  <c r="K1849" i="3"/>
  <c r="K1803" i="3"/>
  <c r="K1646" i="3"/>
  <c r="K181" i="3"/>
  <c r="K1384" i="3"/>
  <c r="K1485" i="3"/>
  <c r="K1847" i="3"/>
  <c r="K1404" i="3"/>
  <c r="K1736" i="3"/>
  <c r="K1486" i="3"/>
  <c r="K1763" i="3"/>
  <c r="K1539" i="3"/>
  <c r="K1268" i="3"/>
  <c r="K1498" i="3"/>
  <c r="K554" i="3"/>
  <c r="K40" i="3"/>
  <c r="K1396" i="3"/>
  <c r="K1589" i="3"/>
  <c r="K1921" i="3"/>
  <c r="K1784" i="3"/>
  <c r="K1780" i="3"/>
  <c r="K1249" i="3"/>
  <c r="K1472" i="3"/>
  <c r="K1572" i="3"/>
  <c r="K1508" i="3"/>
  <c r="K1526" i="3"/>
  <c r="K1155" i="3"/>
  <c r="K1178" i="3"/>
  <c r="K1610" i="3"/>
  <c r="K592" i="3"/>
  <c r="K1359" i="3"/>
  <c r="K338" i="3"/>
  <c r="K1217" i="3"/>
  <c r="K1148" i="3"/>
  <c r="K1564" i="3"/>
  <c r="K1206" i="3"/>
  <c r="K1808" i="3"/>
  <c r="K1149" i="3"/>
  <c r="K1126" i="3"/>
  <c r="K1581" i="3"/>
  <c r="K1642" i="3"/>
  <c r="K1904" i="3"/>
  <c r="K1839" i="3"/>
  <c r="K1575" i="3"/>
  <c r="K1179" i="3"/>
  <c r="K1021" i="3"/>
  <c r="K830" i="3"/>
  <c r="K1405" i="3"/>
  <c r="K1695" i="3"/>
  <c r="K1104" i="3"/>
  <c r="K1846" i="3"/>
  <c r="K299" i="3"/>
  <c r="K1740" i="3"/>
  <c r="K107" i="3"/>
  <c r="K249" i="3"/>
  <c r="K1614" i="3"/>
  <c r="K640" i="3"/>
  <c r="K1286" i="3"/>
  <c r="K1321" i="3"/>
  <c r="K1253" i="3"/>
  <c r="K681" i="3"/>
  <c r="K1447" i="3"/>
  <c r="K1121" i="3"/>
  <c r="K1349" i="3"/>
  <c r="K1631" i="3"/>
  <c r="K839" i="3"/>
  <c r="K1069" i="3"/>
  <c r="K1620" i="3"/>
  <c r="K1611" i="3"/>
  <c r="K1548" i="3"/>
  <c r="K51" i="3"/>
  <c r="K1183" i="3"/>
  <c r="K1293" i="3"/>
  <c r="K1586" i="3"/>
  <c r="K547" i="3"/>
  <c r="K1590" i="3"/>
  <c r="K1409" i="3"/>
  <c r="K1137" i="3"/>
  <c r="K1538" i="3"/>
  <c r="K1519" i="3"/>
  <c r="K1628" i="3"/>
  <c r="K754" i="3"/>
  <c r="K1798" i="3"/>
  <c r="K1771" i="3"/>
  <c r="K1845" i="3"/>
  <c r="K573" i="3"/>
  <c r="K1397" i="3"/>
  <c r="K1652" i="3"/>
  <c r="K1532" i="3"/>
  <c r="K646" i="3"/>
  <c r="K1156" i="3"/>
  <c r="K624" i="3"/>
  <c r="K1720" i="3"/>
  <c r="K1579" i="3"/>
  <c r="K93" i="3"/>
  <c r="K562" i="3"/>
  <c r="K1271" i="3"/>
  <c r="K1281" i="3"/>
  <c r="K188" i="3"/>
  <c r="K1468" i="3"/>
  <c r="K1452" i="3"/>
  <c r="K6" i="3"/>
  <c r="K1764" i="3"/>
  <c r="K480" i="3"/>
  <c r="K1726" i="3"/>
  <c r="K1516" i="3"/>
  <c r="K1912" i="3"/>
  <c r="K1533" i="3"/>
  <c r="K1558" i="3"/>
  <c r="K1186" i="3"/>
  <c r="K1836" i="3"/>
  <c r="K1392" i="3"/>
  <c r="K1473" i="3"/>
  <c r="K1070" i="3"/>
  <c r="K1580" i="3"/>
  <c r="K1596" i="3"/>
  <c r="K1331" i="3"/>
  <c r="K1900" i="3"/>
  <c r="K1219" i="3"/>
  <c r="K1237" i="3"/>
  <c r="K1765" i="3"/>
  <c r="K282" i="3"/>
  <c r="K1754" i="3"/>
  <c r="K1079" i="3"/>
  <c r="K1787" i="3"/>
  <c r="K1330" i="3"/>
  <c r="K1214" i="3"/>
  <c r="K1470" i="3"/>
  <c r="K1699" i="3"/>
  <c r="K1535" i="3"/>
  <c r="K1514" i="3"/>
  <c r="K1348" i="3"/>
  <c r="K1665" i="3"/>
  <c r="K1400" i="3"/>
  <c r="K656" i="3"/>
  <c r="K1251" i="3"/>
  <c r="K205" i="3"/>
  <c r="K1300" i="3"/>
  <c r="K1150" i="3"/>
  <c r="K1467" i="3"/>
  <c r="K1131" i="3"/>
  <c r="K710" i="3"/>
  <c r="K880" i="3"/>
  <c r="K1499" i="3"/>
  <c r="K1791" i="3"/>
  <c r="K1122" i="3"/>
  <c r="K32" i="3"/>
  <c r="K1212" i="3"/>
  <c r="K1343" i="3"/>
  <c r="K1638" i="3"/>
  <c r="K1884" i="3"/>
  <c r="K855" i="3"/>
  <c r="K203" i="3"/>
  <c r="K847" i="3"/>
  <c r="K1872" i="3"/>
  <c r="K1201" i="3"/>
  <c r="K1512" i="3"/>
  <c r="K266" i="3"/>
  <c r="K1707" i="3"/>
  <c r="K1876" i="3"/>
  <c r="K1543" i="3"/>
  <c r="K1530" i="3"/>
  <c r="K1785" i="3"/>
  <c r="K1587" i="3"/>
  <c r="K1184" i="3"/>
  <c r="K1369" i="3"/>
  <c r="K1724" i="3"/>
  <c r="K1489" i="3"/>
  <c r="K1458" i="3"/>
  <c r="K1230" i="3"/>
  <c r="K377" i="3"/>
  <c r="K1718" i="3"/>
  <c r="K1634" i="3"/>
  <c r="K1198" i="3"/>
  <c r="K1416" i="3"/>
  <c r="K1075" i="3"/>
  <c r="K1908" i="3"/>
  <c r="K1002" i="3"/>
  <c r="K1412" i="3"/>
  <c r="K356" i="3"/>
  <c r="K1058" i="3"/>
  <c r="K634" i="3"/>
  <c r="K992" i="3"/>
  <c r="K1597" i="3"/>
  <c r="K1735" i="3"/>
  <c r="K1481" i="3"/>
  <c r="K1800" i="3"/>
  <c r="K283" i="3"/>
  <c r="K1799" i="3"/>
  <c r="K1680" i="3"/>
  <c r="K1877" i="3"/>
  <c r="K1453" i="3"/>
  <c r="K1340" i="3"/>
  <c r="K1567" i="3"/>
  <c r="K1454" i="3"/>
  <c r="K378" i="3"/>
  <c r="K1168" i="3"/>
  <c r="K1598" i="3"/>
  <c r="K352" i="3"/>
  <c r="K1116" i="3"/>
  <c r="K529" i="3"/>
  <c r="K1061" i="3"/>
  <c r="K1660" i="3"/>
  <c r="K1494" i="3"/>
  <c r="K1362" i="3"/>
  <c r="K1901" i="3"/>
  <c r="K1213" i="3"/>
  <c r="K1229" i="3"/>
  <c r="K703" i="3"/>
  <c r="K1599" i="3"/>
  <c r="K1582" i="3"/>
  <c r="K1090" i="3"/>
  <c r="K543" i="3"/>
  <c r="K1159" i="3"/>
  <c r="K1536" i="3"/>
  <c r="I335" i="3"/>
  <c r="I2" i="3"/>
  <c r="I1010" i="3"/>
  <c r="I275" i="3"/>
  <c r="I800" i="3"/>
  <c r="I88" i="3"/>
  <c r="I56" i="3"/>
  <c r="I574" i="3"/>
  <c r="I449" i="3"/>
  <c r="I955" i="3"/>
  <c r="I77" i="3"/>
  <c r="I736" i="3"/>
  <c r="I73" i="3"/>
  <c r="I80" i="3"/>
  <c r="I644" i="3"/>
  <c r="I41" i="3"/>
  <c r="I368" i="3"/>
  <c r="I548" i="3"/>
  <c r="I231" i="3"/>
  <c r="I1041" i="3"/>
  <c r="I164" i="3"/>
  <c r="I1042" i="3"/>
  <c r="I876" i="3"/>
  <c r="I993" i="3"/>
  <c r="I881" i="3"/>
  <c r="I568" i="3"/>
  <c r="I28" i="3"/>
  <c r="I499" i="3"/>
  <c r="I603" i="3"/>
  <c r="I490" i="3"/>
  <c r="I491" i="3"/>
  <c r="I100" i="3"/>
  <c r="I931" i="3"/>
  <c r="I906" i="3"/>
  <c r="I737" i="3"/>
  <c r="I165" i="3"/>
  <c r="I896" i="3"/>
  <c r="I454" i="3"/>
  <c r="I156" i="3"/>
  <c r="I226" i="3"/>
  <c r="I728" i="3"/>
  <c r="I525" i="3"/>
  <c r="I717" i="3"/>
  <c r="I160" i="3"/>
  <c r="I994" i="3"/>
  <c r="I289" i="3"/>
  <c r="I3" i="3"/>
  <c r="I1022" i="3"/>
  <c r="I30" i="3"/>
  <c r="I383" i="3"/>
  <c r="I635" i="3"/>
  <c r="I916" i="3"/>
  <c r="I977" i="3"/>
  <c r="I742" i="3"/>
  <c r="I575" i="3"/>
  <c r="I724" i="3"/>
  <c r="I500" i="3"/>
  <c r="I294" i="3"/>
  <c r="I325" i="3"/>
  <c r="I625" i="3"/>
  <c r="I450" i="3"/>
  <c r="I196" i="3"/>
  <c r="I357" i="3"/>
  <c r="I243" i="3"/>
  <c r="I986" i="3"/>
  <c r="I1037" i="3"/>
  <c r="I145" i="3"/>
  <c r="I42" i="3"/>
  <c r="I907" i="3"/>
  <c r="I569" i="3"/>
  <c r="I840" i="3"/>
  <c r="I1043" i="3"/>
  <c r="I23" i="3"/>
  <c r="I308" i="3"/>
  <c r="I258" i="3"/>
  <c r="I81" i="3"/>
  <c r="I128" i="3"/>
  <c r="I816" i="3"/>
  <c r="I43" i="3"/>
  <c r="I604" i="3"/>
  <c r="I826" i="3"/>
  <c r="I917" i="3"/>
  <c r="I960" i="3"/>
  <c r="I62" i="3"/>
  <c r="I316" i="3"/>
  <c r="I1003" i="3"/>
  <c r="I57" i="3"/>
  <c r="I538" i="3"/>
  <c r="I596" i="3"/>
  <c r="I91" i="3"/>
  <c r="I738" i="3"/>
  <c r="I276" i="3"/>
  <c r="I1023" i="3"/>
  <c r="I1053" i="3"/>
  <c r="I70" i="3"/>
  <c r="I172" i="3"/>
  <c r="I687" i="3"/>
  <c r="I372" i="3"/>
  <c r="I300" i="3"/>
  <c r="I101" i="3"/>
  <c r="I794" i="3"/>
  <c r="I417" i="3"/>
  <c r="I795" i="3"/>
  <c r="I827" i="3"/>
  <c r="I1049" i="3"/>
  <c r="I918" i="3"/>
  <c r="I423" i="3"/>
  <c r="I306" i="3"/>
  <c r="I396" i="3"/>
  <c r="I182" i="3"/>
  <c r="I908" i="3"/>
  <c r="I706" i="3"/>
  <c r="I284" i="3"/>
  <c r="I555" i="3"/>
  <c r="I384" i="3"/>
  <c r="I358" i="3"/>
  <c r="I74" i="3"/>
  <c r="I763" i="3"/>
  <c r="I810" i="3"/>
  <c r="I998" i="3"/>
  <c r="I221" i="3"/>
  <c r="I856" i="3"/>
  <c r="I926" i="3"/>
  <c r="I581" i="3"/>
  <c r="I764" i="3"/>
  <c r="I675" i="3"/>
  <c r="I63" i="3"/>
  <c r="I451" i="3"/>
  <c r="I877" i="3"/>
  <c r="I912" i="3"/>
  <c r="I501" i="3"/>
  <c r="I711" i="3"/>
  <c r="I418" i="3"/>
  <c r="I950" i="3"/>
  <c r="I563" i="3"/>
  <c r="I549" i="3"/>
  <c r="I191" i="3"/>
  <c r="I385" i="3"/>
  <c r="I492" i="3"/>
  <c r="I234" i="3"/>
  <c r="I1024" i="3"/>
  <c r="I729" i="3"/>
  <c r="I647" i="3"/>
  <c r="I309" i="3"/>
  <c r="I290" i="3"/>
  <c r="I386" i="3"/>
  <c r="I965" i="3"/>
  <c r="I183" i="3"/>
  <c r="I636" i="3"/>
  <c r="I71" i="3"/>
  <c r="I771" i="3"/>
  <c r="I556" i="3"/>
  <c r="I564" i="3"/>
  <c r="I765" i="3"/>
  <c r="I718" i="3"/>
  <c r="I166" i="3"/>
  <c r="I515" i="3"/>
  <c r="I317" i="3"/>
  <c r="I336" i="3"/>
  <c r="I259" i="3"/>
  <c r="I431" i="3"/>
  <c r="I882" i="3"/>
  <c r="I102" i="3"/>
  <c r="I610" i="3"/>
  <c r="I481" i="3"/>
  <c r="I119" i="3"/>
  <c r="I730" i="3"/>
  <c r="I987" i="3"/>
  <c r="I244" i="3"/>
  <c r="I67" i="3"/>
  <c r="I345" i="3"/>
  <c r="I494" i="3"/>
  <c r="I919" i="3"/>
  <c r="I831" i="3"/>
  <c r="I832" i="3"/>
  <c r="I52" i="3"/>
  <c r="I89" i="3"/>
  <c r="I245" i="3"/>
  <c r="I1030" i="3"/>
  <c r="I806" i="3"/>
  <c r="I988" i="3"/>
  <c r="I913" i="3"/>
  <c r="I772" i="3"/>
  <c r="I277" i="3"/>
  <c r="I652" i="3"/>
  <c r="I267" i="3"/>
  <c r="I438" i="3"/>
  <c r="I397" i="3"/>
  <c r="I17" i="3"/>
  <c r="I272" i="3"/>
  <c r="I246" i="3"/>
  <c r="I1004" i="3"/>
  <c r="I157" i="3"/>
  <c r="I1013" i="3"/>
  <c r="I1025" i="3"/>
  <c r="I653" i="3"/>
  <c r="I318" i="3"/>
  <c r="I951" i="3"/>
  <c r="I833" i="3"/>
  <c r="I961" i="3"/>
  <c r="I260" i="3"/>
  <c r="I530" i="3"/>
  <c r="I310" i="3"/>
  <c r="I755" i="3"/>
  <c r="I206" i="3"/>
  <c r="I1054" i="3"/>
  <c r="I366" i="3"/>
  <c r="I502" i="3"/>
  <c r="I641" i="3"/>
  <c r="I725" i="3"/>
  <c r="I892" i="3"/>
  <c r="I465" i="3"/>
  <c r="I402" i="3"/>
  <c r="I339" i="3"/>
  <c r="I469" i="3"/>
  <c r="I701" i="3"/>
  <c r="I682" i="3"/>
  <c r="I643" i="3"/>
  <c r="I129" i="3"/>
  <c r="I978" i="3"/>
  <c r="I645" i="3"/>
  <c r="I1031" i="3"/>
  <c r="I419" i="3"/>
  <c r="I261" i="3"/>
  <c r="I482" i="3"/>
  <c r="I408" i="3"/>
  <c r="I557" i="3"/>
  <c r="I58" i="3"/>
  <c r="I776" i="3"/>
  <c r="I285" i="3"/>
  <c r="I1005" i="3"/>
  <c r="I189" i="3"/>
  <c r="I24" i="3"/>
  <c r="I340" i="3"/>
  <c r="I756" i="3"/>
  <c r="I803" i="3"/>
  <c r="I801" i="3"/>
  <c r="I979" i="3"/>
  <c r="I565" i="3"/>
  <c r="I379" i="3"/>
  <c r="I197" i="3"/>
  <c r="I250" i="3"/>
  <c r="I432" i="3"/>
  <c r="I295" i="3"/>
  <c r="I503" i="3"/>
  <c r="I786" i="3"/>
  <c r="I319" i="3"/>
  <c r="I683" i="3"/>
  <c r="I749" i="3"/>
  <c r="I897" i="3"/>
  <c r="I934" i="3"/>
  <c r="I442" i="3"/>
  <c r="I337" i="3"/>
  <c r="I1038" i="3"/>
  <c r="I665" i="3"/>
  <c r="I989" i="3"/>
  <c r="I878" i="3"/>
  <c r="I1006" i="3"/>
  <c r="I666" i="3"/>
  <c r="I626" i="3"/>
  <c r="I214" i="3"/>
  <c r="I997" i="3"/>
  <c r="I459" i="3"/>
  <c r="I215" i="3"/>
  <c r="I173" i="3"/>
  <c r="I980" i="3"/>
  <c r="I743" i="3"/>
  <c r="I667" i="3"/>
  <c r="I235" i="3"/>
  <c r="I739" i="3"/>
  <c r="I879" i="3"/>
  <c r="I75" i="3"/>
  <c r="I712" i="3"/>
  <c r="I44" i="3"/>
  <c r="I94" i="3"/>
  <c r="I914" i="3"/>
  <c r="I64" i="3"/>
  <c r="I1039" i="3"/>
  <c r="I7" i="3"/>
  <c r="I558" i="3"/>
  <c r="I174" i="3"/>
  <c r="I858" i="3"/>
  <c r="I301" i="3"/>
  <c r="I82" i="3"/>
  <c r="I966" i="3"/>
  <c r="I192" i="3"/>
  <c r="I13" i="3"/>
  <c r="I278" i="3"/>
  <c r="I691" i="3"/>
  <c r="I620" i="3"/>
  <c r="I484" i="3"/>
  <c r="I76" i="3"/>
  <c r="I848" i="3"/>
  <c r="I868" i="3"/>
  <c r="I910" i="3"/>
  <c r="I841" i="3"/>
  <c r="I657" i="3"/>
  <c r="I900" i="3"/>
  <c r="I661" i="3"/>
  <c r="I25" i="3"/>
  <c r="I8" i="3"/>
  <c r="I303" i="3"/>
  <c r="I757" i="3"/>
  <c r="I559" i="3"/>
  <c r="I18" i="3"/>
  <c r="I26" i="3"/>
  <c r="I719" i="3"/>
  <c r="I981" i="3"/>
  <c r="I359" i="3"/>
  <c r="I731" i="3"/>
  <c r="I369" i="3"/>
  <c r="I27" i="3"/>
  <c r="I688" i="3"/>
  <c r="I952" i="3"/>
  <c r="I920" i="3"/>
  <c r="I585" i="3"/>
  <c r="I227" i="3"/>
  <c r="I137" i="3"/>
  <c r="I125" i="3"/>
  <c r="I713" i="3"/>
  <c r="I193" i="3"/>
  <c r="I311" i="3"/>
  <c r="I247" i="3"/>
  <c r="I849" i="3"/>
  <c r="I714" i="3"/>
  <c r="I332" i="3"/>
  <c r="I460" i="3"/>
  <c r="I346" i="3"/>
  <c r="I531" i="3"/>
  <c r="I103" i="3"/>
  <c r="I485" i="3"/>
  <c r="I544" i="3"/>
  <c r="I627" i="3"/>
  <c r="I777" i="3"/>
  <c r="I320" i="3"/>
  <c r="I953" i="3"/>
  <c r="I291" i="3"/>
  <c r="I387" i="3"/>
  <c r="I935" i="3"/>
  <c r="I104" i="3"/>
  <c r="I898" i="3"/>
  <c r="I893" i="3"/>
  <c r="I1032" i="3"/>
  <c r="I45" i="3"/>
  <c r="I120" i="3"/>
  <c r="I545" i="3"/>
  <c r="I504" i="3"/>
  <c r="I495" i="3"/>
  <c r="I758" i="3"/>
  <c r="I648" i="3"/>
  <c r="I72" i="3"/>
  <c r="I869" i="3"/>
  <c r="I14" i="3"/>
  <c r="I956" i="3"/>
  <c r="I216" i="3"/>
  <c r="I108" i="3"/>
  <c r="I684" i="3"/>
  <c r="I593" i="3"/>
  <c r="I883" i="3"/>
  <c r="I433" i="3"/>
  <c r="I778" i="3"/>
  <c r="I126" i="3"/>
  <c r="I720" i="3"/>
  <c r="I53" i="3"/>
  <c r="I296" i="3"/>
  <c r="I273" i="3"/>
  <c r="I943" i="3"/>
  <c r="I787" i="3"/>
  <c r="I649" i="3"/>
  <c r="I353" i="3"/>
  <c r="I59" i="3"/>
  <c r="I95" i="3"/>
  <c r="I936" i="3"/>
  <c r="I363" i="3"/>
  <c r="I744" i="3"/>
  <c r="I779" i="3"/>
  <c r="I901" i="3"/>
  <c r="I46" i="3"/>
  <c r="I228" i="3"/>
  <c r="I409" i="3"/>
  <c r="I29" i="3"/>
  <c r="I268" i="3"/>
  <c r="I807" i="3"/>
  <c r="I184" i="3"/>
  <c r="I1015" i="3"/>
  <c r="I970" i="3"/>
  <c r="I532" i="3"/>
  <c r="I96" i="3"/>
  <c r="I388" i="3"/>
  <c r="I204" i="3"/>
  <c r="I780" i="3"/>
  <c r="I312" i="3"/>
  <c r="I788" i="3"/>
  <c r="I516" i="3"/>
  <c r="I927" i="3"/>
  <c r="I740" i="3"/>
  <c r="I434" i="3"/>
  <c r="I510" i="3"/>
  <c r="I1026" i="3"/>
  <c r="I1007" i="3"/>
  <c r="I175" i="3"/>
  <c r="I940" i="3"/>
  <c r="I990" i="3"/>
  <c r="I105" i="3"/>
  <c r="I689" i="3"/>
  <c r="I1011" i="3"/>
  <c r="I452" i="3"/>
  <c r="I68" i="3"/>
  <c r="I130" i="3"/>
  <c r="I594" i="3"/>
  <c r="I302" i="3"/>
  <c r="I97" i="3"/>
  <c r="I444" i="3"/>
  <c r="I834" i="3"/>
  <c r="I1044" i="3"/>
  <c r="I842" i="3"/>
  <c r="I817" i="3"/>
  <c r="I533" i="3"/>
  <c r="I1055" i="3"/>
  <c r="I427" i="3"/>
  <c r="I37" i="3"/>
  <c r="I861" i="3"/>
  <c r="I354" i="3"/>
  <c r="I611" i="3"/>
  <c r="I668" i="3"/>
  <c r="I297" i="3"/>
  <c r="I466" i="3"/>
  <c r="I759" i="3"/>
  <c r="I496" i="3"/>
  <c r="I586" i="3"/>
  <c r="I236" i="3"/>
  <c r="I932" i="3"/>
  <c r="I804" i="3"/>
  <c r="I909" i="3"/>
  <c r="I505" i="3"/>
  <c r="I109" i="3"/>
  <c r="I1050" i="3"/>
  <c r="I850" i="3"/>
  <c r="I380" i="3"/>
  <c r="I326" i="3"/>
  <c r="I971" i="3"/>
  <c r="I90" i="3"/>
  <c r="I110" i="3"/>
  <c r="I347" i="3"/>
  <c r="I198" i="3"/>
  <c r="I506" i="3"/>
  <c r="I972" i="3"/>
  <c r="I862" i="3"/>
  <c r="I199" i="3"/>
  <c r="I1008" i="3"/>
  <c r="I517" i="3"/>
  <c r="I420" i="3"/>
  <c r="I470" i="3"/>
  <c r="I138" i="3"/>
  <c r="I121" i="3"/>
  <c r="I9" i="3"/>
  <c r="I403" i="3"/>
  <c r="I601" i="3"/>
  <c r="I471" i="3"/>
  <c r="I1033" i="3"/>
  <c r="I355" i="3"/>
  <c r="I132" i="3"/>
  <c r="I162" i="3"/>
  <c r="I117" i="3"/>
  <c r="I237" i="3"/>
  <c r="I587" i="3"/>
  <c r="I605" i="3"/>
  <c r="I766" i="3"/>
  <c r="I767" i="3"/>
  <c r="I702" i="3"/>
  <c r="I550" i="3"/>
  <c r="I133" i="3"/>
  <c r="I33" i="3"/>
  <c r="I118" i="3"/>
  <c r="I461" i="3"/>
  <c r="I760" i="3"/>
  <c r="I122" i="3"/>
  <c r="I818" i="3"/>
  <c r="I828" i="3"/>
  <c r="I428" i="3"/>
  <c r="I511" i="3"/>
  <c r="I19" i="3"/>
  <c r="I373" i="3"/>
  <c r="I560" i="3"/>
  <c r="I518" i="3"/>
  <c r="I1059" i="3"/>
  <c r="I111" i="3"/>
  <c r="I991" i="3"/>
  <c r="I773" i="3"/>
  <c r="I321" i="3"/>
  <c r="I791" i="3"/>
  <c r="I493" i="3"/>
  <c r="I217" i="3"/>
  <c r="I937" i="3"/>
  <c r="I507" i="3"/>
  <c r="I218" i="3"/>
  <c r="I176" i="3"/>
  <c r="I348" i="3"/>
  <c r="I398" i="3"/>
  <c r="I349" i="3"/>
  <c r="I676" i="3"/>
  <c r="I190" i="3"/>
  <c r="I78" i="3"/>
  <c r="I207" i="3"/>
  <c r="I595" i="3"/>
  <c r="I360" i="3"/>
  <c r="I570" i="3"/>
  <c r="I389" i="3"/>
  <c r="I658" i="3"/>
  <c r="I98" i="3"/>
  <c r="I472" i="3"/>
  <c r="I333" i="3"/>
  <c r="I327" i="3"/>
  <c r="I982" i="3"/>
  <c r="I857" i="3"/>
  <c r="I677" i="3"/>
  <c r="I819" i="3"/>
  <c r="I843" i="3"/>
  <c r="I251" i="3"/>
  <c r="I628" i="3"/>
  <c r="I139" i="3"/>
  <c r="I167" i="3"/>
  <c r="I399" i="3"/>
  <c r="I10" i="3"/>
  <c r="I534" i="3"/>
  <c r="I439" i="3"/>
  <c r="I851" i="3"/>
  <c r="I508" i="3"/>
  <c r="I435" i="3"/>
  <c r="I597" i="3"/>
  <c r="I440" i="3"/>
  <c r="I588" i="3"/>
  <c r="I895" i="3"/>
  <c r="I820" i="3"/>
  <c r="I168" i="3"/>
  <c r="I390" i="3"/>
  <c r="I424" i="3"/>
  <c r="I835" i="3"/>
  <c r="I944" i="3"/>
  <c r="I254" i="3"/>
  <c r="I654" i="3"/>
  <c r="I410" i="3"/>
  <c r="I229" i="3"/>
  <c r="I535" i="3"/>
  <c r="I421" i="3"/>
  <c r="I374" i="3"/>
  <c r="I999" i="3"/>
  <c r="I945" i="3"/>
  <c r="I863" i="3"/>
  <c r="I669" i="3"/>
  <c r="I796" i="3"/>
  <c r="I322" i="3"/>
  <c r="I429" i="3"/>
  <c r="I497" i="3"/>
  <c r="I364" i="3"/>
  <c r="I526" i="3"/>
  <c r="I477" i="3"/>
  <c r="I148" i="3"/>
  <c r="I781" i="3"/>
  <c r="I255" i="3"/>
  <c r="I811" i="3"/>
  <c r="I745" i="3"/>
  <c r="I232" i="3"/>
  <c r="I933" i="3"/>
  <c r="I1045" i="3"/>
  <c r="I750" i="3"/>
  <c r="I34" i="3"/>
  <c r="I995" i="3"/>
  <c r="I637" i="3"/>
  <c r="I967" i="3"/>
  <c r="I269" i="3"/>
  <c r="I598" i="3"/>
  <c r="I375" i="3"/>
  <c r="I946" i="3"/>
  <c r="I83" i="3"/>
  <c r="I551" i="3"/>
  <c r="I921" i="3"/>
  <c r="I685" i="3"/>
  <c r="I177" i="3"/>
  <c r="I864" i="3"/>
  <c r="I400" i="3"/>
  <c r="I313" i="3"/>
  <c r="I334" i="3"/>
  <c r="I902" i="3"/>
  <c r="I200" i="3"/>
  <c r="I975" i="3"/>
  <c r="I576" i="3"/>
  <c r="I498" i="3"/>
  <c r="I92" i="3"/>
  <c r="I606" i="3"/>
  <c r="I829" i="3"/>
  <c r="I655" i="3"/>
  <c r="I805" i="3"/>
  <c r="I539" i="3"/>
  <c r="I726" i="3"/>
  <c r="I692" i="3"/>
  <c r="I947" i="3"/>
  <c r="I571" i="3"/>
  <c r="I746" i="3"/>
  <c r="I49" i="3"/>
  <c r="I473" i="3"/>
  <c r="I957" i="3"/>
  <c r="I732" i="3"/>
  <c r="I821" i="3"/>
  <c r="I870" i="3"/>
  <c r="I112" i="3"/>
  <c r="I140" i="3"/>
  <c r="I1046" i="3"/>
  <c r="I328" i="3"/>
  <c r="I903" i="3"/>
  <c r="I911" i="3"/>
  <c r="I462" i="3"/>
  <c r="I208" i="3"/>
  <c r="I884" i="3"/>
  <c r="I616" i="3"/>
  <c r="I60" i="3"/>
  <c r="I782" i="3"/>
  <c r="I885" i="3"/>
  <c r="I928" i="3"/>
  <c r="I886" i="3"/>
  <c r="I540" i="3"/>
  <c r="I1016" i="3"/>
  <c r="I436" i="3"/>
  <c r="I589" i="3"/>
  <c r="I141" i="3"/>
  <c r="I15" i="3"/>
  <c r="I131" i="3"/>
  <c r="I341" i="3"/>
  <c r="I286" i="3"/>
  <c r="I696" i="3"/>
  <c r="I1014" i="3"/>
  <c r="I704" i="3"/>
  <c r="I768" i="3"/>
  <c r="I802" i="3"/>
  <c r="I941" i="3"/>
  <c r="I797" i="3"/>
  <c r="I287" i="3"/>
  <c r="I607" i="3"/>
  <c r="I486" i="3"/>
  <c r="I527" i="3"/>
  <c r="I642" i="3"/>
  <c r="I1051" i="3"/>
  <c r="I929" i="3"/>
  <c r="I808" i="3"/>
  <c r="I942" i="3"/>
  <c r="I690" i="3"/>
  <c r="I194" i="3"/>
  <c r="I453" i="3"/>
  <c r="I35" i="3"/>
  <c r="I659" i="3"/>
  <c r="I134" i="3"/>
  <c r="I381" i="3"/>
  <c r="I566" i="3"/>
  <c r="I113" i="3"/>
  <c r="I149" i="3"/>
  <c r="I996" i="3"/>
  <c r="I185" i="3"/>
  <c r="I455" i="3"/>
  <c r="I406" i="3"/>
  <c r="I445" i="3"/>
  <c r="I621" i="3"/>
  <c r="I262" i="3"/>
  <c r="I707" i="3"/>
  <c r="I660" i="3"/>
  <c r="I456" i="3"/>
  <c r="I650" i="3"/>
  <c r="I127" i="3"/>
  <c r="I599" i="3"/>
  <c r="I983" i="3"/>
  <c r="I954" i="3"/>
  <c r="I612" i="3"/>
  <c r="I422" i="3"/>
  <c r="I84" i="3"/>
  <c r="I391" i="3"/>
  <c r="I61" i="3"/>
  <c r="I968" i="3"/>
  <c r="I150" i="3"/>
  <c r="I679" i="3"/>
  <c r="I446" i="3"/>
  <c r="I887" i="3"/>
  <c r="I142" i="3"/>
  <c r="I930" i="3"/>
  <c r="I209" i="3"/>
  <c r="I1009" i="3"/>
  <c r="I323" i="3"/>
  <c r="I705" i="3"/>
  <c r="I222" i="3"/>
  <c r="I761" i="3"/>
  <c r="I201" i="3"/>
  <c r="I437" i="3"/>
  <c r="I774" i="3"/>
  <c r="I582" i="3"/>
  <c r="I638" i="3"/>
  <c r="I304" i="3"/>
  <c r="I546" i="3"/>
  <c r="I859" i="3"/>
  <c r="I238" i="3"/>
  <c r="I239" i="3"/>
  <c r="I871" i="3"/>
  <c r="I904" i="3"/>
  <c r="I590" i="3"/>
  <c r="I536" i="3"/>
  <c r="I38" i="3"/>
  <c r="I1000" i="3"/>
  <c r="I844" i="3"/>
  <c r="I252" i="3"/>
  <c r="I613" i="3"/>
  <c r="I812" i="3"/>
  <c r="I583" i="3"/>
  <c r="I519" i="3"/>
  <c r="I11" i="3"/>
  <c r="I962" i="3"/>
  <c r="I274" i="3"/>
  <c r="I263" i="3"/>
  <c r="I365" i="3"/>
  <c r="I1017" i="3"/>
  <c r="I963" i="3"/>
  <c r="I79" i="3"/>
  <c r="I798" i="3"/>
  <c r="I135" i="3"/>
  <c r="I733" i="3"/>
  <c r="I240" i="3"/>
  <c r="I478" i="3"/>
  <c r="I430" i="3"/>
  <c r="I253" i="3"/>
  <c r="I629" i="3"/>
  <c r="I151" i="3"/>
  <c r="I342" i="3"/>
  <c r="I915" i="3"/>
  <c r="I670" i="3"/>
  <c r="I721" i="3"/>
  <c r="I872" i="3"/>
  <c r="I411" i="3"/>
  <c r="I822" i="3"/>
  <c r="I520" i="3"/>
  <c r="I837" i="3"/>
  <c r="I528" i="3"/>
  <c r="I809" i="3"/>
  <c r="I152" i="3"/>
  <c r="I457" i="3"/>
  <c r="I463" i="3"/>
  <c r="I630" i="3"/>
  <c r="I852" i="3"/>
  <c r="I223" i="3"/>
  <c r="I922" i="3"/>
  <c r="I964" i="3"/>
  <c r="I392" i="3"/>
  <c r="I846" i="3"/>
  <c r="I813" i="3"/>
  <c r="I114" i="3"/>
  <c r="I923" i="3"/>
  <c r="I169" i="3"/>
  <c r="I412" i="3"/>
  <c r="I158" i="3"/>
  <c r="I314" i="3"/>
  <c r="I404" i="3"/>
  <c r="I153" i="3"/>
  <c r="I233" i="3"/>
  <c r="I487" i="3"/>
  <c r="I948" i="3"/>
  <c r="I186" i="3"/>
  <c r="I697" i="3"/>
  <c r="I521" i="3"/>
  <c r="I572" i="3"/>
  <c r="I823" i="3"/>
  <c r="I178" i="3"/>
  <c r="I799" i="3"/>
  <c r="I512" i="3"/>
  <c r="I577" i="3"/>
  <c r="I241" i="3"/>
  <c r="I662" i="3"/>
  <c r="I865" i="3"/>
  <c r="I734" i="3"/>
  <c r="I949" i="3"/>
  <c r="I888" i="3"/>
  <c r="I224" i="3"/>
  <c r="I769" i="3"/>
  <c r="I210" i="3"/>
  <c r="I671" i="3"/>
  <c r="I370" i="3"/>
  <c r="I179" i="3"/>
  <c r="I242" i="3"/>
  <c r="I413" i="3"/>
  <c r="I614" i="3"/>
  <c r="I853" i="3"/>
  <c r="I69" i="3"/>
  <c r="I467" i="3"/>
  <c r="I16" i="3"/>
  <c r="I663" i="3"/>
  <c r="I170" i="3"/>
  <c r="I248" i="3"/>
  <c r="I513" i="3"/>
  <c r="I775" i="3"/>
  <c r="I693" i="3"/>
  <c r="I899" i="3"/>
  <c r="I678" i="3"/>
  <c r="I552" i="3"/>
  <c r="I938" i="3"/>
  <c r="I672" i="3"/>
  <c r="I567" i="3"/>
  <c r="I969" i="3"/>
  <c r="I602" i="3"/>
  <c r="I673" i="3"/>
  <c r="I211" i="3"/>
  <c r="I115" i="3"/>
  <c r="I783" i="3"/>
  <c r="I39" i="3"/>
  <c r="I1034" i="3"/>
  <c r="I288" i="3"/>
  <c r="I376" i="3"/>
  <c r="I47" i="3"/>
  <c r="I361" i="3"/>
  <c r="I292" i="3"/>
  <c r="I735" i="3"/>
  <c r="I371" i="3"/>
  <c r="I219" i="3"/>
  <c r="I1060" i="3"/>
  <c r="I631" i="3"/>
  <c r="I784" i="3"/>
  <c r="I1012" i="3"/>
  <c r="I1052" i="3"/>
  <c r="I1047" i="3"/>
  <c r="I680" i="3"/>
  <c r="I751" i="3"/>
  <c r="I698" i="3"/>
  <c r="I146" i="3"/>
  <c r="I792" i="3"/>
  <c r="I154" i="3"/>
  <c r="I350" i="3"/>
  <c r="I1056" i="3"/>
  <c r="I747" i="3"/>
  <c r="I479" i="3"/>
  <c r="I741" i="3"/>
  <c r="I1027" i="3"/>
  <c r="I54" i="3"/>
  <c r="I1035" i="3"/>
  <c r="I984" i="3"/>
  <c r="I600" i="3"/>
  <c r="I748" i="3"/>
  <c r="I279" i="3"/>
  <c r="I578" i="3"/>
  <c r="I136" i="3"/>
  <c r="I1001" i="3"/>
  <c r="I845" i="3"/>
  <c r="I1018" i="3"/>
  <c r="I329" i="3"/>
  <c r="I393" i="3"/>
  <c r="I48" i="3"/>
  <c r="I615" i="3"/>
  <c r="I343" i="3"/>
  <c r="I1328" i="3"/>
  <c r="I20" i="3"/>
  <c r="I1905" i="3"/>
  <c r="I1657" i="3"/>
  <c r="I1820" i="3"/>
  <c r="I1648" i="3"/>
  <c r="I1128" i="3"/>
  <c r="I1927" i="3"/>
  <c r="I1380" i="3"/>
  <c r="I1691" i="3"/>
  <c r="I973" i="3"/>
  <c r="I1390" i="3"/>
  <c r="I1862" i="3"/>
  <c r="I579" i="3"/>
  <c r="I1815" i="3"/>
  <c r="I1541" i="3"/>
  <c r="I1176" i="3"/>
  <c r="I1783" i="3"/>
  <c r="I1561" i="3"/>
  <c r="I1391" i="3"/>
  <c r="I1524" i="3"/>
  <c r="I1062" i="3"/>
  <c r="I838" i="3"/>
  <c r="I1247" i="3"/>
  <c r="I1692" i="3"/>
  <c r="I889" i="3"/>
  <c r="I1436" i="3"/>
  <c r="I1906" i="3"/>
  <c r="I1711" i="3"/>
  <c r="I1870" i="3"/>
  <c r="I1424" i="3"/>
  <c r="I1866" i="3"/>
  <c r="I4" i="3"/>
  <c r="I1513" i="3"/>
  <c r="I1202" i="3"/>
  <c r="I1363" i="3"/>
  <c r="I99" i="3"/>
  <c r="I608" i="3"/>
  <c r="I1873" i="3"/>
  <c r="I1235" i="3"/>
  <c r="I1824" i="3"/>
  <c r="I1772" i="3"/>
  <c r="I894" i="3"/>
  <c r="I1188" i="3"/>
  <c r="I1096" i="3"/>
  <c r="I305" i="3"/>
  <c r="I1099" i="3"/>
  <c r="I1825" i="3"/>
  <c r="I1480" i="3"/>
  <c r="I1892" i="3"/>
  <c r="I1552" i="3"/>
  <c r="I1801" i="3"/>
  <c r="I1130" i="3"/>
  <c r="I1386" i="3"/>
  <c r="I1364" i="3"/>
  <c r="I1117" i="3"/>
  <c r="I1854" i="3"/>
  <c r="I1856" i="3"/>
  <c r="I1789" i="3"/>
  <c r="I264" i="3"/>
  <c r="I483" i="3"/>
  <c r="I1553" i="3"/>
  <c r="I1294" i="3"/>
  <c r="I1767" i="3"/>
  <c r="I1146" i="3"/>
  <c r="I230" i="3"/>
  <c r="I21" i="3"/>
  <c r="I1215" i="3"/>
  <c r="I1703" i="3"/>
  <c r="I708" i="3"/>
  <c r="I1554" i="3"/>
  <c r="I1127" i="3"/>
  <c r="I890" i="3"/>
  <c r="I1669" i="3"/>
  <c r="I1316" i="3"/>
  <c r="I1459" i="3"/>
  <c r="I1633" i="3"/>
  <c r="I1299" i="3"/>
  <c r="I1471" i="3"/>
  <c r="I50" i="3"/>
  <c r="I609" i="3"/>
  <c r="I401" i="3"/>
  <c r="I1889" i="3"/>
  <c r="I1834" i="3"/>
  <c r="I1615" i="3"/>
  <c r="I1850" i="3"/>
  <c r="I824" i="3"/>
  <c r="I1444" i="3"/>
  <c r="I187" i="3"/>
  <c r="I1775" i="3"/>
  <c r="I1244" i="3"/>
  <c r="I1496" i="3"/>
  <c r="I1461" i="3"/>
  <c r="I814" i="3"/>
  <c r="I1301" i="3"/>
  <c r="I699" i="3"/>
  <c r="I212" i="3"/>
  <c r="I1189" i="3"/>
  <c r="I1469" i="3"/>
  <c r="I1509" i="3"/>
  <c r="I1195" i="3"/>
  <c r="I1899" i="3"/>
  <c r="I1682" i="3"/>
  <c r="I1837" i="3"/>
  <c r="I1318" i="3"/>
  <c r="I1527" i="3"/>
  <c r="I1749" i="3"/>
  <c r="I1649" i="3"/>
  <c r="I1838" i="3"/>
  <c r="I1385" i="3"/>
  <c r="I1298" i="3"/>
  <c r="I1769" i="3"/>
  <c r="I1855" i="3"/>
  <c r="I1448" i="3"/>
  <c r="I1322" i="3"/>
  <c r="I1841" i="3"/>
  <c r="I866" i="3"/>
  <c r="I1671" i="3"/>
  <c r="I1806" i="3"/>
  <c r="I1350" i="3"/>
  <c r="I1325" i="3"/>
  <c r="I1124" i="3"/>
  <c r="I1678" i="3"/>
  <c r="I1110" i="3"/>
  <c r="I1781" i="3"/>
  <c r="I1555" i="3"/>
  <c r="I1147" i="3"/>
  <c r="I1696" i="3"/>
  <c r="I1709" i="3"/>
  <c r="I1411" i="3"/>
  <c r="I1360" i="3"/>
  <c r="I1544" i="3"/>
  <c r="I1095" i="3"/>
  <c r="I1139" i="3"/>
  <c r="I1312" i="3"/>
  <c r="I407" i="3"/>
  <c r="I1645" i="3"/>
  <c r="I1160" i="3"/>
  <c r="I1151" i="3"/>
  <c r="I1828" i="3"/>
  <c r="I1510" i="3"/>
  <c r="I1629" i="3"/>
  <c r="I1829" i="3"/>
  <c r="I1144" i="3"/>
  <c r="I1466" i="3"/>
  <c r="I55" i="3"/>
  <c r="I1403" i="3"/>
  <c r="I1894" i="3"/>
  <c r="I1040" i="3"/>
  <c r="I447" i="3"/>
  <c r="I1105" i="3"/>
  <c r="I1653" i="3"/>
  <c r="I1276" i="3"/>
  <c r="I1365" i="3"/>
  <c r="I1465" i="3"/>
  <c r="I1688" i="3"/>
  <c r="I1100" i="3"/>
  <c r="I1616" i="3"/>
  <c r="I1352" i="3"/>
  <c r="I1568" i="3"/>
  <c r="I1639" i="3"/>
  <c r="I1366" i="3"/>
  <c r="I1324" i="3"/>
  <c r="I1727" i="3"/>
  <c r="I85" i="3"/>
  <c r="I488" i="3"/>
  <c r="I1171" i="3"/>
  <c r="I1076" i="3"/>
  <c r="I1272" i="3"/>
  <c r="I1618" i="3"/>
  <c r="I1107" i="3"/>
  <c r="I1187" i="3"/>
  <c r="I1591" i="3"/>
  <c r="I1495" i="3"/>
  <c r="I1243" i="3"/>
  <c r="I1347" i="3"/>
  <c r="I1462" i="3"/>
  <c r="I1425" i="3"/>
  <c r="I1220" i="3"/>
  <c r="I1296" i="3"/>
  <c r="I1672" i="3"/>
  <c r="I1455" i="3"/>
  <c r="I1210" i="3"/>
  <c r="I1118" i="3"/>
  <c r="I1203" i="3"/>
  <c r="I639" i="3"/>
  <c r="I1923" i="3"/>
  <c r="I1705" i="3"/>
  <c r="I1270" i="3"/>
  <c r="I1810" i="3"/>
  <c r="I1399" i="3"/>
  <c r="I1761" i="3"/>
  <c r="I12" i="3"/>
  <c r="I1583" i="3"/>
  <c r="I1813" i="3"/>
  <c r="I1439" i="3"/>
  <c r="I1341" i="3"/>
  <c r="I1282" i="3"/>
  <c r="I280" i="3"/>
  <c r="I1019" i="3"/>
  <c r="I1406" i="3"/>
  <c r="I1233" i="3"/>
  <c r="I1537" i="3"/>
  <c r="I1683" i="3"/>
  <c r="I1375" i="3"/>
  <c r="I1542" i="3"/>
  <c r="I1317" i="3"/>
  <c r="I1689" i="3"/>
  <c r="I265" i="3"/>
  <c r="I1067" i="3"/>
  <c r="I1132" i="3"/>
  <c r="I1450" i="3"/>
  <c r="I715" i="3"/>
  <c r="I1871" i="3"/>
  <c r="I1164" i="3"/>
  <c r="I1308" i="3"/>
  <c r="I1830" i="3"/>
  <c r="I1625" i="3"/>
  <c r="I1361" i="3"/>
  <c r="I664" i="3"/>
  <c r="I155" i="3"/>
  <c r="I1929" i="3"/>
  <c r="I1547" i="3"/>
  <c r="I1525" i="3"/>
  <c r="I1734" i="3"/>
  <c r="I1097" i="3"/>
  <c r="I1636" i="3"/>
  <c r="I867" i="3"/>
  <c r="I1654" i="3"/>
  <c r="I1698" i="3"/>
  <c r="I1082" i="3"/>
  <c r="I1606" i="3"/>
  <c r="I1779" i="3"/>
  <c r="I752" i="3"/>
  <c r="I1546" i="3"/>
  <c r="I522" i="3"/>
  <c r="I1851" i="3"/>
  <c r="I1545" i="3"/>
  <c r="I1569" i="3"/>
  <c r="I202" i="3"/>
  <c r="I1191" i="3"/>
  <c r="I1723" i="3"/>
  <c r="I1313" i="3"/>
  <c r="I171" i="3"/>
  <c r="I1492" i="3"/>
  <c r="I1238" i="3"/>
  <c r="I1664" i="3"/>
  <c r="I716" i="3"/>
  <c r="I474" i="3"/>
  <c r="I1858" i="3"/>
  <c r="I1173" i="3"/>
  <c r="I1208" i="3"/>
  <c r="I1674" i="3"/>
  <c r="I1285" i="3"/>
  <c r="I958" i="3"/>
  <c r="I1066" i="3"/>
  <c r="I722" i="3"/>
  <c r="I1722" i="3"/>
  <c r="I1437" i="3"/>
  <c r="I1823" i="3"/>
  <c r="I1925" i="3"/>
  <c r="I1240" i="3"/>
  <c r="I1426" i="3"/>
  <c r="I1381" i="3"/>
  <c r="I1863" i="3"/>
  <c r="I1138" i="3"/>
  <c r="I1770" i="3"/>
  <c r="I905" i="3"/>
  <c r="I1123" i="3"/>
  <c r="I1864" i="3"/>
  <c r="I1762" i="3"/>
  <c r="I1888" i="3"/>
  <c r="I1358" i="3"/>
  <c r="I1922" i="3"/>
  <c r="I1741" i="3"/>
  <c r="I591" i="3"/>
  <c r="I1367" i="3"/>
  <c r="I1643" i="3"/>
  <c r="I1859" i="3"/>
  <c r="I1319" i="3"/>
  <c r="I382" i="3"/>
  <c r="I1844" i="3"/>
  <c r="I425" i="3"/>
  <c r="I1200" i="3"/>
  <c r="I1521" i="3"/>
  <c r="I815" i="3"/>
  <c r="I344" i="3"/>
  <c r="I694" i="3"/>
  <c r="I1140" i="3"/>
  <c r="I1540" i="3"/>
  <c r="I1549" i="3"/>
  <c r="I1500" i="3"/>
  <c r="I1449" i="3"/>
  <c r="I1644" i="3"/>
  <c r="I1204" i="3"/>
  <c r="I1254" i="3"/>
  <c r="I1511" i="3"/>
  <c r="I1427" i="3"/>
  <c r="I1172" i="3"/>
  <c r="I1329" i="3"/>
  <c r="I1387" i="3"/>
  <c r="I1517" i="3"/>
  <c r="I1302" i="3"/>
  <c r="I537" i="3"/>
  <c r="I1728" i="3"/>
  <c r="I1630" i="3"/>
  <c r="I632" i="3"/>
  <c r="I1802" i="3"/>
  <c r="I1637" i="3"/>
  <c r="I1563" i="3"/>
  <c r="I1287" i="3"/>
  <c r="I1163" i="3"/>
  <c r="I633" i="3"/>
  <c r="I1273" i="3"/>
  <c r="I116" i="3"/>
  <c r="I1918" i="3"/>
  <c r="I1205" i="3"/>
  <c r="I939" i="3"/>
  <c r="I1737" i="3"/>
  <c r="I1895" i="3"/>
  <c r="I1531" i="3"/>
  <c r="I1336" i="3"/>
  <c r="I1773" i="3"/>
  <c r="I1613" i="3"/>
  <c r="I1868" i="3"/>
  <c r="I1234" i="3"/>
  <c r="I464" i="3"/>
  <c r="I1307" i="3"/>
  <c r="I1786" i="3"/>
  <c r="I580" i="3"/>
  <c r="I1108" i="3"/>
  <c r="I1306" i="3"/>
  <c r="I1501" i="3"/>
  <c r="I1269" i="3"/>
  <c r="I1414" i="3"/>
  <c r="I414" i="3"/>
  <c r="I1266" i="3"/>
  <c r="I1816" i="3"/>
  <c r="I1193" i="3"/>
  <c r="I1673" i="3"/>
  <c r="I1218" i="3"/>
  <c r="I1077" i="3"/>
  <c r="I1216" i="3"/>
  <c r="I1712" i="3"/>
  <c r="I924" i="3"/>
  <c r="I405" i="3"/>
  <c r="I1394" i="3"/>
  <c r="I1550" i="3"/>
  <c r="I1916" i="3"/>
  <c r="I1745" i="3"/>
  <c r="I1719" i="3"/>
  <c r="I1345" i="3"/>
  <c r="I1852" i="3"/>
  <c r="I1777" i="3"/>
  <c r="I1057" i="3"/>
  <c r="I1242" i="3"/>
  <c r="I1603" i="3"/>
  <c r="I1893" i="3"/>
  <c r="I1484" i="3"/>
  <c r="I1314" i="3"/>
  <c r="I1338" i="3"/>
  <c r="I1701" i="3"/>
  <c r="I1154" i="3"/>
  <c r="I1710" i="3"/>
  <c r="I1255" i="3"/>
  <c r="I1382" i="3"/>
  <c r="I1419" i="3"/>
  <c r="I1288" i="3"/>
  <c r="I1919" i="3"/>
  <c r="I891" i="3"/>
  <c r="I1751" i="3"/>
  <c r="I1063" i="3"/>
  <c r="I1738" i="3"/>
  <c r="I1518" i="3"/>
  <c r="I762" i="3"/>
  <c r="I1817" i="3"/>
  <c r="I1115" i="3"/>
  <c r="I270" i="3"/>
  <c r="I1565" i="3"/>
  <c r="I1357" i="3"/>
  <c r="I1818" i="3"/>
  <c r="I1245" i="3"/>
  <c r="I1464" i="3"/>
  <c r="I1878" i="3"/>
  <c r="I561" i="3"/>
  <c r="I1640" i="3"/>
  <c r="I1790" i="3"/>
  <c r="I1402" i="3"/>
  <c r="I1797" i="3"/>
  <c r="I686" i="3"/>
  <c r="I1157" i="3"/>
  <c r="I441" i="3"/>
  <c r="I1320" i="3"/>
  <c r="I1225" i="3"/>
  <c r="I1323" i="3"/>
  <c r="I220" i="3"/>
  <c r="I1661" i="3"/>
  <c r="I1814" i="3"/>
  <c r="I1861" i="3"/>
  <c r="I1227" i="3"/>
  <c r="I1528" i="3"/>
  <c r="I1304" i="3"/>
  <c r="I1141" i="3"/>
  <c r="I1562" i="3"/>
  <c r="I1725" i="3"/>
  <c r="I1896" i="3"/>
  <c r="I298" i="3"/>
  <c r="I394" i="3"/>
  <c r="I1595" i="3"/>
  <c r="I1556" i="3"/>
  <c r="I1274" i="3"/>
  <c r="I1236" i="3"/>
  <c r="I1398" i="3"/>
  <c r="I1739" i="3"/>
  <c r="I1677" i="3"/>
  <c r="I1605" i="3"/>
  <c r="I873" i="3"/>
  <c r="I1902" i="3"/>
  <c r="I159" i="3"/>
  <c r="I793" i="3"/>
  <c r="I1796" i="3"/>
  <c r="I1522" i="3"/>
  <c r="I1604" i="3"/>
  <c r="I1716" i="3"/>
  <c r="I1309" i="3"/>
  <c r="I180" i="3"/>
  <c r="I695" i="3"/>
  <c r="I351" i="3"/>
  <c r="I1091" i="3"/>
  <c r="I1713" i="3"/>
  <c r="I1566" i="3"/>
  <c r="I674" i="3"/>
  <c r="I1133" i="3"/>
  <c r="I1326" i="3"/>
  <c r="I1111" i="3"/>
  <c r="I785" i="3"/>
  <c r="I523" i="3"/>
  <c r="I256" i="3"/>
  <c r="I1167" i="3"/>
  <c r="I1891" i="3"/>
  <c r="I1256" i="3"/>
  <c r="I1809" i="3"/>
  <c r="I1529" i="3"/>
  <c r="I1289" i="3"/>
  <c r="I1114" i="3"/>
  <c r="I1911" i="3"/>
  <c r="I1811" i="3"/>
  <c r="I1848" i="3"/>
  <c r="I874" i="3"/>
  <c r="I1748" i="3"/>
  <c r="I1209" i="3"/>
  <c r="I1879" i="3"/>
  <c r="I1491" i="3"/>
  <c r="I1655" i="3"/>
  <c r="I1194" i="3"/>
  <c r="I1036" i="3"/>
  <c r="I1693" i="3"/>
  <c r="I875" i="3"/>
  <c r="I1376" i="3"/>
  <c r="I1401" i="3"/>
  <c r="I1344" i="3"/>
  <c r="I1377" i="3"/>
  <c r="I1827" i="3"/>
  <c r="I1190" i="3"/>
  <c r="I1374" i="3"/>
  <c r="I123" i="3"/>
  <c r="I475" i="3"/>
  <c r="I1890" i="3"/>
  <c r="I1261" i="3"/>
  <c r="I1388" i="3"/>
  <c r="I1332" i="3"/>
  <c r="I1920" i="3"/>
  <c r="I1101" i="3"/>
  <c r="I1072" i="3"/>
  <c r="I1497" i="3"/>
  <c r="I257" i="3"/>
  <c r="I1594" i="3"/>
  <c r="I1853" i="3"/>
  <c r="I1428" i="3"/>
  <c r="I1081" i="3"/>
  <c r="I1559" i="3"/>
  <c r="I1088" i="3"/>
  <c r="I271" i="3"/>
  <c r="I541" i="3"/>
  <c r="I1283" i="3"/>
  <c r="I1211" i="3"/>
  <c r="I1647" i="3"/>
  <c r="I1346" i="3"/>
  <c r="I542" i="3"/>
  <c r="I1607" i="3"/>
  <c r="I1704" i="3"/>
  <c r="I753" i="3"/>
  <c r="I31" i="3"/>
  <c r="I1913" i="3"/>
  <c r="I1456" i="3"/>
  <c r="I1874" i="3"/>
  <c r="I860" i="3"/>
  <c r="I1277" i="3"/>
  <c r="I1576" i="3"/>
  <c r="I1881" i="3"/>
  <c r="I1831" i="3"/>
  <c r="I1826" i="3"/>
  <c r="I1353" i="3"/>
  <c r="I1355" i="3"/>
  <c r="I1573" i="3"/>
  <c r="I1064" i="3"/>
  <c r="I1684" i="3"/>
  <c r="I1914" i="3"/>
  <c r="I1165" i="3"/>
  <c r="I1199" i="3"/>
  <c r="I1161" i="3"/>
  <c r="I1570" i="3"/>
  <c r="I307" i="3"/>
  <c r="I1857" i="3"/>
  <c r="I1702" i="3"/>
  <c r="I468" i="3"/>
  <c r="I1574" i="3"/>
  <c r="I1490" i="3"/>
  <c r="I1086" i="3"/>
  <c r="I1431" i="3"/>
  <c r="I1668" i="3"/>
  <c r="I1577" i="3"/>
  <c r="I1804" i="3"/>
  <c r="I1223" i="3"/>
  <c r="I651" i="3"/>
  <c r="I974" i="3"/>
  <c r="I1434" i="3"/>
  <c r="I1262" i="3"/>
  <c r="I1421" i="3"/>
  <c r="I700" i="3"/>
  <c r="I1663" i="3"/>
  <c r="I1078" i="3"/>
  <c r="I1776" i="3"/>
  <c r="I22" i="3"/>
  <c r="I1685" i="3"/>
  <c r="I124" i="3"/>
  <c r="I1177" i="3"/>
  <c r="I1342" i="3"/>
  <c r="I1600" i="3"/>
  <c r="I1650" i="3"/>
  <c r="I1443" i="3"/>
  <c r="I1295" i="3"/>
  <c r="I1429" i="3"/>
  <c r="I1252" i="3"/>
  <c r="I1759" i="3"/>
  <c r="I1085" i="3"/>
  <c r="I1112" i="3"/>
  <c r="I1337" i="3"/>
  <c r="I1222" i="3"/>
  <c r="I854" i="3"/>
  <c r="I1145" i="3"/>
  <c r="I1028" i="3"/>
  <c r="I1883" i="3"/>
  <c r="I1821" i="3"/>
  <c r="I1659" i="3"/>
  <c r="I1694" i="3"/>
  <c r="I617" i="3"/>
  <c r="I161" i="3"/>
  <c r="I1410" i="3"/>
  <c r="I1585" i="3"/>
  <c r="I1291" i="3"/>
  <c r="I36" i="3"/>
  <c r="I1430" i="3"/>
  <c r="I1460" i="3"/>
  <c r="I1279" i="3"/>
  <c r="I65" i="3"/>
  <c r="I86" i="3"/>
  <c r="I1422" i="3"/>
  <c r="I1658" i="3"/>
  <c r="I1142" i="3"/>
  <c r="I1432" i="3"/>
  <c r="I1162" i="3"/>
  <c r="I87" i="3"/>
  <c r="I1383" i="3"/>
  <c r="I1747" i="3"/>
  <c r="I1623" i="3"/>
  <c r="I1602" i="3"/>
  <c r="I1303" i="3"/>
  <c r="I1742" i="3"/>
  <c r="I1885" i="3"/>
  <c r="I1860" i="3"/>
  <c r="I976" i="3"/>
  <c r="I584" i="3"/>
  <c r="I1867" i="3"/>
  <c r="I514" i="3"/>
  <c r="I1415" i="3"/>
  <c r="I825" i="3"/>
  <c r="I1102" i="3"/>
  <c r="I1048" i="3"/>
  <c r="I1534" i="3"/>
  <c r="I1417" i="3"/>
  <c r="I1119" i="3"/>
  <c r="I1750" i="3"/>
  <c r="I1228" i="3"/>
  <c r="I1134" i="3"/>
  <c r="I1730" i="3"/>
  <c r="I1267" i="3"/>
  <c r="I415" i="3"/>
  <c r="I1248" i="3"/>
  <c r="I1909" i="3"/>
  <c r="I1275" i="3"/>
  <c r="I1335" i="3"/>
  <c r="I1478" i="3"/>
  <c r="I1109" i="3"/>
  <c r="I1621" i="3"/>
  <c r="I1083" i="3"/>
  <c r="I1181" i="3"/>
  <c r="I1609" i="3"/>
  <c r="I1766" i="3"/>
  <c r="I1793" i="3"/>
  <c r="I426" i="3"/>
  <c r="I1207" i="3"/>
  <c r="I1250" i="3"/>
  <c r="I1153" i="3"/>
  <c r="I1752" i="3"/>
  <c r="I1721" i="3"/>
  <c r="I1263" i="3"/>
  <c r="I1239" i="3"/>
  <c r="I622" i="3"/>
  <c r="I1875" i="3"/>
  <c r="I1475" i="3"/>
  <c r="I1065" i="3"/>
  <c r="I1504" i="3"/>
  <c r="I1445" i="3"/>
  <c r="I985" i="3"/>
  <c r="I1608" i="3"/>
  <c r="I1700" i="3"/>
  <c r="I1457" i="3"/>
  <c r="I143" i="3"/>
  <c r="I1903" i="3"/>
  <c r="I1662" i="3"/>
  <c r="I1339" i="3"/>
  <c r="I1887" i="3"/>
  <c r="I1635" i="3"/>
  <c r="I1071" i="3"/>
  <c r="I1310" i="3"/>
  <c r="I1733" i="3"/>
  <c r="I1169" i="3"/>
  <c r="I1774" i="3"/>
  <c r="I1619" i="3"/>
  <c r="I362" i="3"/>
  <c r="I1755" i="3"/>
  <c r="I1794" i="3"/>
  <c r="I1731" i="3"/>
  <c r="I1732" i="3"/>
  <c r="I1278" i="3"/>
  <c r="I1601" i="3"/>
  <c r="I1378" i="3"/>
  <c r="I770" i="3"/>
  <c r="I1551" i="3"/>
  <c r="I1185" i="3"/>
  <c r="I1106" i="3"/>
  <c r="I1120" i="3"/>
  <c r="I1143" i="3"/>
  <c r="I1080" i="3"/>
  <c r="I1435" i="3"/>
  <c r="I1166" i="3"/>
  <c r="I925" i="3"/>
  <c r="I1715" i="3"/>
  <c r="I1333" i="3"/>
  <c r="I1479" i="3"/>
  <c r="I1670" i="3"/>
  <c r="I1706" i="3"/>
  <c r="I1697" i="3"/>
  <c r="I1373" i="3"/>
  <c r="I1451" i="3"/>
  <c r="I1395" i="3"/>
  <c r="I618" i="3"/>
  <c r="I1487" i="3"/>
  <c r="I623" i="3"/>
  <c r="I1135" i="3"/>
  <c r="I1708" i="3"/>
  <c r="I1442" i="3"/>
  <c r="I1760" i="3"/>
  <c r="I1241" i="3"/>
  <c r="I1440" i="3"/>
  <c r="I1758" i="3"/>
  <c r="I1686" i="3"/>
  <c r="I213" i="3"/>
  <c r="I1690" i="3"/>
  <c r="I1651" i="3"/>
  <c r="I1315" i="3"/>
  <c r="I1446" i="3"/>
  <c r="I1073" i="3"/>
  <c r="I1297" i="3"/>
  <c r="I553" i="3"/>
  <c r="I1666" i="3"/>
  <c r="I1768" i="3"/>
  <c r="I1578" i="3"/>
  <c r="I1679" i="3"/>
  <c r="I1113" i="3"/>
  <c r="I1175" i="3"/>
  <c r="I1819" i="3"/>
  <c r="I163" i="3"/>
  <c r="I1327" i="3"/>
  <c r="I1129" i="3"/>
  <c r="I1224" i="3"/>
  <c r="I1807" i="3"/>
  <c r="I1753" i="3"/>
  <c r="I458" i="3"/>
  <c r="I1311" i="3"/>
  <c r="I1656" i="3"/>
  <c r="I1523" i="3"/>
  <c r="I1158" i="3"/>
  <c r="I1714" i="3"/>
  <c r="I1886" i="3"/>
  <c r="I1617" i="3"/>
  <c r="I144" i="3"/>
  <c r="I1795" i="3"/>
  <c r="I1792" i="3"/>
  <c r="I1584" i="3"/>
  <c r="I1822" i="3"/>
  <c r="I1182" i="3"/>
  <c r="I1068" i="3"/>
  <c r="I1407" i="3"/>
  <c r="I1520" i="3"/>
  <c r="I1393" i="3"/>
  <c r="I1029" i="3"/>
  <c r="I1675" i="3"/>
  <c r="I1260" i="3"/>
  <c r="I1174" i="3"/>
  <c r="I1571" i="3"/>
  <c r="I281" i="3"/>
  <c r="I1717" i="3"/>
  <c r="I1843" i="3"/>
  <c r="I1729" i="3"/>
  <c r="I1907" i="3"/>
  <c r="I1098" i="3"/>
  <c r="I1372" i="3"/>
  <c r="I1257" i="3"/>
  <c r="I619" i="3"/>
  <c r="I1103" i="3"/>
  <c r="I1379" i="3"/>
  <c r="I1560" i="3"/>
  <c r="I1507" i="3"/>
  <c r="I367" i="3"/>
  <c r="I1420" i="3"/>
  <c r="I1835" i="3"/>
  <c r="I66" i="3"/>
  <c r="I1232" i="3"/>
  <c r="I1880" i="3"/>
  <c r="I1196" i="3"/>
  <c r="I723" i="3"/>
  <c r="I1258" i="3"/>
  <c r="I1805" i="3"/>
  <c r="I1423" i="3"/>
  <c r="I1094" i="3"/>
  <c r="I1292" i="3"/>
  <c r="I1370" i="3"/>
  <c r="I1910" i="3"/>
  <c r="I315" i="3"/>
  <c r="I1928" i="3"/>
  <c r="I789" i="3"/>
  <c r="I1641" i="3"/>
  <c r="I1152" i="3"/>
  <c r="I489" i="3"/>
  <c r="I225" i="3"/>
  <c r="I1869" i="3"/>
  <c r="I1087" i="3"/>
  <c r="I1842" i="3"/>
  <c r="I1788" i="3"/>
  <c r="I1408" i="3"/>
  <c r="I1280" i="3"/>
  <c r="I1626" i="3"/>
  <c r="I1840" i="3"/>
  <c r="I1246" i="3"/>
  <c r="I1334" i="3"/>
  <c r="I1930" i="3"/>
  <c r="I1676" i="3"/>
  <c r="I443" i="3"/>
  <c r="I1493" i="3"/>
  <c r="I509" i="3"/>
  <c r="I1389" i="3"/>
  <c r="I727" i="3"/>
  <c r="I1557" i="3"/>
  <c r="I1757" i="3"/>
  <c r="I1264" i="3"/>
  <c r="I395" i="3"/>
  <c r="I1505" i="3"/>
  <c r="I1482" i="3"/>
  <c r="I330" i="3"/>
  <c r="I1305" i="3"/>
  <c r="I1588" i="3"/>
  <c r="I1915" i="3"/>
  <c r="I709" i="3"/>
  <c r="I1093" i="3"/>
  <c r="I1170" i="3"/>
  <c r="I1125" i="3"/>
  <c r="I1506" i="3"/>
  <c r="I1197" i="3"/>
  <c r="I1743" i="3"/>
  <c r="I1667" i="3"/>
  <c r="I1624" i="3"/>
  <c r="I1231" i="3"/>
  <c r="I1865" i="3"/>
  <c r="I1503" i="3"/>
  <c r="I147" i="3"/>
  <c r="I1632" i="3"/>
  <c r="I1627" i="3"/>
  <c r="I1226" i="3"/>
  <c r="I1897" i="3"/>
  <c r="I1483" i="3"/>
  <c r="I1476" i="3"/>
  <c r="I790" i="3"/>
  <c r="I1474" i="3"/>
  <c r="I1898" i="3"/>
  <c r="I1020" i="3"/>
  <c r="I1778" i="3"/>
  <c r="I1746" i="3"/>
  <c r="I1832" i="3"/>
  <c r="I1924" i="3"/>
  <c r="I1371" i="3"/>
  <c r="I1441" i="3"/>
  <c r="I1192" i="3"/>
  <c r="I959" i="3"/>
  <c r="I1368" i="3"/>
  <c r="I195" i="3"/>
  <c r="I476" i="3"/>
  <c r="I293" i="3"/>
  <c r="I1089" i="3"/>
  <c r="I1515" i="3"/>
  <c r="I1074" i="3"/>
  <c r="I106" i="3"/>
  <c r="I1418" i="3"/>
  <c r="I1356" i="3"/>
  <c r="I5" i="3"/>
  <c r="I1136" i="3"/>
  <c r="I1477" i="3"/>
  <c r="I331" i="3"/>
  <c r="I836" i="3"/>
  <c r="I1681" i="3"/>
  <c r="I1622" i="3"/>
  <c r="I1592" i="3"/>
  <c r="I524" i="3"/>
  <c r="I448" i="3"/>
  <c r="I1593" i="3"/>
  <c r="I1221" i="3"/>
  <c r="I1744" i="3"/>
  <c r="I1438" i="3"/>
  <c r="I1284" i="3"/>
  <c r="I1926" i="3"/>
  <c r="I1687" i="3"/>
  <c r="I1502" i="3"/>
  <c r="I1084" i="3"/>
  <c r="I1463" i="3"/>
  <c r="I324" i="3"/>
  <c r="I1782" i="3"/>
  <c r="I1259" i="3"/>
  <c r="I1756" i="3"/>
  <c r="I1413" i="3"/>
  <c r="I1290" i="3"/>
  <c r="I1917" i="3"/>
  <c r="I1433" i="3"/>
  <c r="I1612" i="3"/>
  <c r="I1812" i="3"/>
  <c r="I1882" i="3"/>
  <c r="I1351" i="3"/>
  <c r="I1488" i="3"/>
  <c r="I1833" i="3"/>
  <c r="I1092" i="3"/>
  <c r="I1354" i="3"/>
  <c r="I1180" i="3"/>
  <c r="I416" i="3"/>
  <c r="I1265" i="3"/>
  <c r="I1849" i="3"/>
  <c r="I1803" i="3"/>
  <c r="I1646" i="3"/>
  <c r="I181" i="3"/>
  <c r="I1384" i="3"/>
  <c r="I1485" i="3"/>
  <c r="I1847" i="3"/>
  <c r="I1404" i="3"/>
  <c r="I1736" i="3"/>
  <c r="I1486" i="3"/>
  <c r="I1763" i="3"/>
  <c r="I1539" i="3"/>
  <c r="I1268" i="3"/>
  <c r="I1498" i="3"/>
  <c r="I554" i="3"/>
  <c r="I40" i="3"/>
  <c r="I1396" i="3"/>
  <c r="I1589" i="3"/>
  <c r="I1921" i="3"/>
  <c r="I1784" i="3"/>
  <c r="I1780" i="3"/>
  <c r="I1249" i="3"/>
  <c r="I1472" i="3"/>
  <c r="I1572" i="3"/>
  <c r="I1508" i="3"/>
  <c r="I1526" i="3"/>
  <c r="I1155" i="3"/>
  <c r="I1178" i="3"/>
  <c r="I1610" i="3"/>
  <c r="I592" i="3"/>
  <c r="I1359" i="3"/>
  <c r="I338" i="3"/>
  <c r="I1217" i="3"/>
  <c r="I1148" i="3"/>
  <c r="I1564" i="3"/>
  <c r="I1206" i="3"/>
  <c r="I1808" i="3"/>
  <c r="I1149" i="3"/>
  <c r="I1126" i="3"/>
  <c r="I1581" i="3"/>
  <c r="I1642" i="3"/>
  <c r="I1904" i="3"/>
  <c r="I1839" i="3"/>
  <c r="I1575" i="3"/>
  <c r="I1179" i="3"/>
  <c r="I1021" i="3"/>
  <c r="I830" i="3"/>
  <c r="I1405" i="3"/>
  <c r="I1695" i="3"/>
  <c r="I1104" i="3"/>
  <c r="I1846" i="3"/>
  <c r="I299" i="3"/>
  <c r="I1740" i="3"/>
  <c r="I107" i="3"/>
  <c r="I249" i="3"/>
  <c r="I1614" i="3"/>
  <c r="I640" i="3"/>
  <c r="I1286" i="3"/>
  <c r="I1321" i="3"/>
  <c r="I1253" i="3"/>
  <c r="I681" i="3"/>
  <c r="I1447" i="3"/>
  <c r="I1121" i="3"/>
  <c r="I1349" i="3"/>
  <c r="I1631" i="3"/>
  <c r="I839" i="3"/>
  <c r="I1069" i="3"/>
  <c r="I1620" i="3"/>
  <c r="I1611" i="3"/>
  <c r="I1548" i="3"/>
  <c r="I51" i="3"/>
  <c r="I1183" i="3"/>
  <c r="I1293" i="3"/>
  <c r="I1586" i="3"/>
  <c r="I547" i="3"/>
  <c r="I1590" i="3"/>
  <c r="I1409" i="3"/>
  <c r="I1137" i="3"/>
  <c r="I1538" i="3"/>
  <c r="I1519" i="3"/>
  <c r="I1628" i="3"/>
  <c r="I754" i="3"/>
  <c r="I1798" i="3"/>
  <c r="I1771" i="3"/>
  <c r="I1845" i="3"/>
  <c r="I573" i="3"/>
  <c r="I1397" i="3"/>
  <c r="I1652" i="3"/>
  <c r="I1532" i="3"/>
  <c r="I646" i="3"/>
  <c r="I1156" i="3"/>
  <c r="I624" i="3"/>
  <c r="I1720" i="3"/>
  <c r="I1579" i="3"/>
  <c r="I93" i="3"/>
  <c r="I562" i="3"/>
  <c r="I1271" i="3"/>
  <c r="I1281" i="3"/>
  <c r="I188" i="3"/>
  <c r="I1468" i="3"/>
  <c r="I1452" i="3"/>
  <c r="I6" i="3"/>
  <c r="I1764" i="3"/>
  <c r="I480" i="3"/>
  <c r="I1726" i="3"/>
  <c r="I1516" i="3"/>
  <c r="I1912" i="3"/>
  <c r="I1533" i="3"/>
  <c r="I1558" i="3"/>
  <c r="I1186" i="3"/>
  <c r="I1836" i="3"/>
  <c r="I1392" i="3"/>
  <c r="I1473" i="3"/>
  <c r="I1070" i="3"/>
  <c r="I1580" i="3"/>
  <c r="I1596" i="3"/>
  <c r="I1331" i="3"/>
  <c r="I1900" i="3"/>
  <c r="I1219" i="3"/>
  <c r="I1237" i="3"/>
  <c r="I1765" i="3"/>
  <c r="I282" i="3"/>
  <c r="I1754" i="3"/>
  <c r="I1079" i="3"/>
  <c r="I1787" i="3"/>
  <c r="I1330" i="3"/>
  <c r="I1214" i="3"/>
  <c r="I1470" i="3"/>
  <c r="I1699" i="3"/>
  <c r="I1535" i="3"/>
  <c r="I1514" i="3"/>
  <c r="I1348" i="3"/>
  <c r="I1665" i="3"/>
  <c r="I1400" i="3"/>
  <c r="I656" i="3"/>
  <c r="I1251" i="3"/>
  <c r="I205" i="3"/>
  <c r="I1300" i="3"/>
  <c r="I1150" i="3"/>
  <c r="I1467" i="3"/>
  <c r="I1131" i="3"/>
  <c r="I710" i="3"/>
  <c r="I880" i="3"/>
  <c r="I1499" i="3"/>
  <c r="I1791" i="3"/>
  <c r="I1122" i="3"/>
  <c r="I32" i="3"/>
  <c r="I1212" i="3"/>
  <c r="I1343" i="3"/>
  <c r="I1638" i="3"/>
  <c r="I1884" i="3"/>
  <c r="I855" i="3"/>
  <c r="I203" i="3"/>
  <c r="I847" i="3"/>
  <c r="I1872" i="3"/>
  <c r="I1201" i="3"/>
  <c r="I1512" i="3"/>
  <c r="I266" i="3"/>
  <c r="I1707" i="3"/>
  <c r="I1876" i="3"/>
  <c r="I1543" i="3"/>
  <c r="I1530" i="3"/>
  <c r="I1785" i="3"/>
  <c r="I1587" i="3"/>
  <c r="I1184" i="3"/>
  <c r="I1369" i="3"/>
  <c r="I1724" i="3"/>
  <c r="I1489" i="3"/>
  <c r="I1458" i="3"/>
  <c r="I1230" i="3"/>
  <c r="I377" i="3"/>
  <c r="I1718" i="3"/>
  <c r="I1634" i="3"/>
  <c r="I1198" i="3"/>
  <c r="I1416" i="3"/>
  <c r="I1075" i="3"/>
  <c r="I1908" i="3"/>
  <c r="I1002" i="3"/>
  <c r="I1412" i="3"/>
  <c r="I356" i="3"/>
  <c r="I1058" i="3"/>
  <c r="I634" i="3"/>
  <c r="I992" i="3"/>
  <c r="I1597" i="3"/>
  <c r="I1735" i="3"/>
  <c r="I1481" i="3"/>
  <c r="I1800" i="3"/>
  <c r="I283" i="3"/>
  <c r="I1799" i="3"/>
  <c r="I1680" i="3"/>
  <c r="I1877" i="3"/>
  <c r="I1453" i="3"/>
  <c r="I1340" i="3"/>
  <c r="I1567" i="3"/>
  <c r="I1454" i="3"/>
  <c r="I378" i="3"/>
  <c r="I1168" i="3"/>
  <c r="I1598" i="3"/>
  <c r="I352" i="3"/>
  <c r="I1116" i="3"/>
  <c r="I529" i="3"/>
  <c r="I1061" i="3"/>
  <c r="I1660" i="3"/>
  <c r="I1494" i="3"/>
  <c r="I1362" i="3"/>
  <c r="I1901" i="3"/>
  <c r="I1213" i="3"/>
  <c r="I1229" i="3"/>
  <c r="I703" i="3"/>
  <c r="I1599" i="3"/>
  <c r="I1582" i="3"/>
  <c r="I1090" i="3"/>
  <c r="I543" i="3"/>
  <c r="I1159" i="3"/>
  <c r="I1536" i="3"/>
  <c r="H335" i="3"/>
  <c r="H2" i="3"/>
  <c r="H1010" i="3"/>
  <c r="H275" i="3"/>
  <c r="H800" i="3"/>
  <c r="H88" i="3"/>
  <c r="H56" i="3"/>
  <c r="H574" i="3"/>
  <c r="H449" i="3"/>
  <c r="H955" i="3"/>
  <c r="H77" i="3"/>
  <c r="H736" i="3"/>
  <c r="H73" i="3"/>
  <c r="H80" i="3"/>
  <c r="H644" i="3"/>
  <c r="H41" i="3"/>
  <c r="H368" i="3"/>
  <c r="H548" i="3"/>
  <c r="H231" i="3"/>
  <c r="H1041" i="3"/>
  <c r="H164" i="3"/>
  <c r="H1042" i="3"/>
  <c r="H876" i="3"/>
  <c r="H993" i="3"/>
  <c r="H881" i="3"/>
  <c r="H568" i="3"/>
  <c r="H28" i="3"/>
  <c r="H499" i="3"/>
  <c r="H603" i="3"/>
  <c r="H490" i="3"/>
  <c r="H491" i="3"/>
  <c r="H100" i="3"/>
  <c r="H931" i="3"/>
  <c r="H906" i="3"/>
  <c r="H737" i="3"/>
  <c r="H165" i="3"/>
  <c r="H896" i="3"/>
  <c r="H454" i="3"/>
  <c r="H156" i="3"/>
  <c r="H226" i="3"/>
  <c r="H728" i="3"/>
  <c r="H525" i="3"/>
  <c r="H717" i="3"/>
  <c r="H160" i="3"/>
  <c r="H994" i="3"/>
  <c r="H289" i="3"/>
  <c r="H3" i="3"/>
  <c r="H1022" i="3"/>
  <c r="H30" i="3"/>
  <c r="H383" i="3"/>
  <c r="H635" i="3"/>
  <c r="H916" i="3"/>
  <c r="H977" i="3"/>
  <c r="H742" i="3"/>
  <c r="H575" i="3"/>
  <c r="H724" i="3"/>
  <c r="H500" i="3"/>
  <c r="H294" i="3"/>
  <c r="H325" i="3"/>
  <c r="H625" i="3"/>
  <c r="H450" i="3"/>
  <c r="H196" i="3"/>
  <c r="H357" i="3"/>
  <c r="H243" i="3"/>
  <c r="H986" i="3"/>
  <c r="H1037" i="3"/>
  <c r="H145" i="3"/>
  <c r="H42" i="3"/>
  <c r="H907" i="3"/>
  <c r="H569" i="3"/>
  <c r="H840" i="3"/>
  <c r="H1043" i="3"/>
  <c r="H23" i="3"/>
  <c r="H308" i="3"/>
  <c r="H258" i="3"/>
  <c r="H81" i="3"/>
  <c r="H128" i="3"/>
  <c r="H816" i="3"/>
  <c r="H43" i="3"/>
  <c r="H604" i="3"/>
  <c r="H826" i="3"/>
  <c r="H917" i="3"/>
  <c r="H960" i="3"/>
  <c r="H62" i="3"/>
  <c r="H316" i="3"/>
  <c r="H1003" i="3"/>
  <c r="H57" i="3"/>
  <c r="H538" i="3"/>
  <c r="H596" i="3"/>
  <c r="H91" i="3"/>
  <c r="H738" i="3"/>
  <c r="H276" i="3"/>
  <c r="H1023" i="3"/>
  <c r="H1053" i="3"/>
  <c r="H70" i="3"/>
  <c r="H172" i="3"/>
  <c r="H687" i="3"/>
  <c r="H372" i="3"/>
  <c r="H300" i="3"/>
  <c r="H101" i="3"/>
  <c r="H794" i="3"/>
  <c r="H417" i="3"/>
  <c r="H795" i="3"/>
  <c r="H827" i="3"/>
  <c r="H1049" i="3"/>
  <c r="H918" i="3"/>
  <c r="H423" i="3"/>
  <c r="H306" i="3"/>
  <c r="H396" i="3"/>
  <c r="H182" i="3"/>
  <c r="H908" i="3"/>
  <c r="H706" i="3"/>
  <c r="H284" i="3"/>
  <c r="H555" i="3"/>
  <c r="H384" i="3"/>
  <c r="H358" i="3"/>
  <c r="H74" i="3"/>
  <c r="H763" i="3"/>
  <c r="H810" i="3"/>
  <c r="H998" i="3"/>
  <c r="H221" i="3"/>
  <c r="H856" i="3"/>
  <c r="H926" i="3"/>
  <c r="H581" i="3"/>
  <c r="H764" i="3"/>
  <c r="H675" i="3"/>
  <c r="H63" i="3"/>
  <c r="H451" i="3"/>
  <c r="H877" i="3"/>
  <c r="H912" i="3"/>
  <c r="H501" i="3"/>
  <c r="H711" i="3"/>
  <c r="H418" i="3"/>
  <c r="H950" i="3"/>
  <c r="H563" i="3"/>
  <c r="H549" i="3"/>
  <c r="H191" i="3"/>
  <c r="H385" i="3"/>
  <c r="H492" i="3"/>
  <c r="H234" i="3"/>
  <c r="H1024" i="3"/>
  <c r="H729" i="3"/>
  <c r="H647" i="3"/>
  <c r="H309" i="3"/>
  <c r="H290" i="3"/>
  <c r="H386" i="3"/>
  <c r="H965" i="3"/>
  <c r="H183" i="3"/>
  <c r="H636" i="3"/>
  <c r="H71" i="3"/>
  <c r="H771" i="3"/>
  <c r="H556" i="3"/>
  <c r="H564" i="3"/>
  <c r="H765" i="3"/>
  <c r="H718" i="3"/>
  <c r="H166" i="3"/>
  <c r="H515" i="3"/>
  <c r="H317" i="3"/>
  <c r="H336" i="3"/>
  <c r="H259" i="3"/>
  <c r="H431" i="3"/>
  <c r="H882" i="3"/>
  <c r="H102" i="3"/>
  <c r="H610" i="3"/>
  <c r="H481" i="3"/>
  <c r="H119" i="3"/>
  <c r="H730" i="3"/>
  <c r="H987" i="3"/>
  <c r="H244" i="3"/>
  <c r="H67" i="3"/>
  <c r="H345" i="3"/>
  <c r="H494" i="3"/>
  <c r="H919" i="3"/>
  <c r="H831" i="3"/>
  <c r="H832" i="3"/>
  <c r="H52" i="3"/>
  <c r="H89" i="3"/>
  <c r="H245" i="3"/>
  <c r="H1030" i="3"/>
  <c r="H806" i="3"/>
  <c r="H988" i="3"/>
  <c r="H913" i="3"/>
  <c r="H772" i="3"/>
  <c r="H277" i="3"/>
  <c r="H652" i="3"/>
  <c r="H267" i="3"/>
  <c r="H438" i="3"/>
  <c r="H397" i="3"/>
  <c r="H17" i="3"/>
  <c r="H272" i="3"/>
  <c r="H246" i="3"/>
  <c r="H1004" i="3"/>
  <c r="H157" i="3"/>
  <c r="H1013" i="3"/>
  <c r="H1025" i="3"/>
  <c r="H653" i="3"/>
  <c r="H318" i="3"/>
  <c r="H951" i="3"/>
  <c r="H833" i="3"/>
  <c r="H961" i="3"/>
  <c r="H260" i="3"/>
  <c r="H530" i="3"/>
  <c r="H310" i="3"/>
  <c r="H755" i="3"/>
  <c r="H206" i="3"/>
  <c r="H1054" i="3"/>
  <c r="H366" i="3"/>
  <c r="H502" i="3"/>
  <c r="H641" i="3"/>
  <c r="H725" i="3"/>
  <c r="H892" i="3"/>
  <c r="H465" i="3"/>
  <c r="H402" i="3"/>
  <c r="H339" i="3"/>
  <c r="H469" i="3"/>
  <c r="H701" i="3"/>
  <c r="H682" i="3"/>
  <c r="H643" i="3"/>
  <c r="H129" i="3"/>
  <c r="H978" i="3"/>
  <c r="H645" i="3"/>
  <c r="H1031" i="3"/>
  <c r="H419" i="3"/>
  <c r="H261" i="3"/>
  <c r="H482" i="3"/>
  <c r="H408" i="3"/>
  <c r="H557" i="3"/>
  <c r="H58" i="3"/>
  <c r="H776" i="3"/>
  <c r="H285" i="3"/>
  <c r="H1005" i="3"/>
  <c r="H189" i="3"/>
  <c r="H24" i="3"/>
  <c r="H340" i="3"/>
  <c r="H756" i="3"/>
  <c r="H803" i="3"/>
  <c r="H801" i="3"/>
  <c r="H979" i="3"/>
  <c r="H565" i="3"/>
  <c r="H379" i="3"/>
  <c r="H197" i="3"/>
  <c r="H250" i="3"/>
  <c r="H432" i="3"/>
  <c r="H295" i="3"/>
  <c r="H503" i="3"/>
  <c r="H786" i="3"/>
  <c r="H319" i="3"/>
  <c r="H683" i="3"/>
  <c r="H749" i="3"/>
  <c r="H897" i="3"/>
  <c r="H934" i="3"/>
  <c r="H442" i="3"/>
  <c r="H337" i="3"/>
  <c r="H1038" i="3"/>
  <c r="H665" i="3"/>
  <c r="H989" i="3"/>
  <c r="H878" i="3"/>
  <c r="H1006" i="3"/>
  <c r="H666" i="3"/>
  <c r="H626" i="3"/>
  <c r="H214" i="3"/>
  <c r="H997" i="3"/>
  <c r="H459" i="3"/>
  <c r="H215" i="3"/>
  <c r="H173" i="3"/>
  <c r="H980" i="3"/>
  <c r="H743" i="3"/>
  <c r="H667" i="3"/>
  <c r="H235" i="3"/>
  <c r="H739" i="3"/>
  <c r="H879" i="3"/>
  <c r="H75" i="3"/>
  <c r="H712" i="3"/>
  <c r="H44" i="3"/>
  <c r="H94" i="3"/>
  <c r="H914" i="3"/>
  <c r="H64" i="3"/>
  <c r="H1039" i="3"/>
  <c r="H7" i="3"/>
  <c r="H558" i="3"/>
  <c r="H174" i="3"/>
  <c r="H858" i="3"/>
  <c r="H301" i="3"/>
  <c r="H82" i="3"/>
  <c r="H966" i="3"/>
  <c r="H192" i="3"/>
  <c r="H13" i="3"/>
  <c r="H278" i="3"/>
  <c r="H691" i="3"/>
  <c r="H620" i="3"/>
  <c r="H484" i="3"/>
  <c r="H76" i="3"/>
  <c r="H848" i="3"/>
  <c r="H868" i="3"/>
  <c r="H910" i="3"/>
  <c r="H841" i="3"/>
  <c r="H657" i="3"/>
  <c r="H900" i="3"/>
  <c r="H661" i="3"/>
  <c r="H25" i="3"/>
  <c r="H8" i="3"/>
  <c r="H303" i="3"/>
  <c r="H757" i="3"/>
  <c r="H559" i="3"/>
  <c r="H18" i="3"/>
  <c r="H26" i="3"/>
  <c r="H719" i="3"/>
  <c r="H981" i="3"/>
  <c r="H359" i="3"/>
  <c r="H731" i="3"/>
  <c r="H369" i="3"/>
  <c r="H27" i="3"/>
  <c r="H688" i="3"/>
  <c r="H952" i="3"/>
  <c r="H920" i="3"/>
  <c r="H585" i="3"/>
  <c r="H227" i="3"/>
  <c r="H137" i="3"/>
  <c r="H125" i="3"/>
  <c r="H713" i="3"/>
  <c r="H193" i="3"/>
  <c r="H311" i="3"/>
  <c r="H247" i="3"/>
  <c r="H849" i="3"/>
  <c r="H714" i="3"/>
  <c r="H332" i="3"/>
  <c r="H460" i="3"/>
  <c r="H346" i="3"/>
  <c r="H531" i="3"/>
  <c r="H103" i="3"/>
  <c r="H485" i="3"/>
  <c r="H544" i="3"/>
  <c r="H627" i="3"/>
  <c r="H777" i="3"/>
  <c r="H320" i="3"/>
  <c r="H953" i="3"/>
  <c r="H291" i="3"/>
  <c r="H387" i="3"/>
  <c r="H935" i="3"/>
  <c r="H104" i="3"/>
  <c r="H898" i="3"/>
  <c r="H893" i="3"/>
  <c r="H1032" i="3"/>
  <c r="H45" i="3"/>
  <c r="H120" i="3"/>
  <c r="H545" i="3"/>
  <c r="H504" i="3"/>
  <c r="H495" i="3"/>
  <c r="H758" i="3"/>
  <c r="H648" i="3"/>
  <c r="H72" i="3"/>
  <c r="H869" i="3"/>
  <c r="H14" i="3"/>
  <c r="H956" i="3"/>
  <c r="H216" i="3"/>
  <c r="H108" i="3"/>
  <c r="H684" i="3"/>
  <c r="H593" i="3"/>
  <c r="H883" i="3"/>
  <c r="H433" i="3"/>
  <c r="H778" i="3"/>
  <c r="H126" i="3"/>
  <c r="H720" i="3"/>
  <c r="H53" i="3"/>
  <c r="H296" i="3"/>
  <c r="H273" i="3"/>
  <c r="H943" i="3"/>
  <c r="H787" i="3"/>
  <c r="H649" i="3"/>
  <c r="H353" i="3"/>
  <c r="H59" i="3"/>
  <c r="H95" i="3"/>
  <c r="H936" i="3"/>
  <c r="H363" i="3"/>
  <c r="H744" i="3"/>
  <c r="H779" i="3"/>
  <c r="H901" i="3"/>
  <c r="H46" i="3"/>
  <c r="H228" i="3"/>
  <c r="H409" i="3"/>
  <c r="H29" i="3"/>
  <c r="H268" i="3"/>
  <c r="H807" i="3"/>
  <c r="H184" i="3"/>
  <c r="H1015" i="3"/>
  <c r="H970" i="3"/>
  <c r="H532" i="3"/>
  <c r="H96" i="3"/>
  <c r="H388" i="3"/>
  <c r="H204" i="3"/>
  <c r="H780" i="3"/>
  <c r="H312" i="3"/>
  <c r="H788" i="3"/>
  <c r="H516" i="3"/>
  <c r="H927" i="3"/>
  <c r="H740" i="3"/>
  <c r="H434" i="3"/>
  <c r="H510" i="3"/>
  <c r="H1026" i="3"/>
  <c r="H1007" i="3"/>
  <c r="H175" i="3"/>
  <c r="H940" i="3"/>
  <c r="H990" i="3"/>
  <c r="H105" i="3"/>
  <c r="H689" i="3"/>
  <c r="H1011" i="3"/>
  <c r="H452" i="3"/>
  <c r="H68" i="3"/>
  <c r="H130" i="3"/>
  <c r="H594" i="3"/>
  <c r="H302" i="3"/>
  <c r="H97" i="3"/>
  <c r="H444" i="3"/>
  <c r="H834" i="3"/>
  <c r="H1044" i="3"/>
  <c r="H842" i="3"/>
  <c r="H817" i="3"/>
  <c r="H533" i="3"/>
  <c r="H1055" i="3"/>
  <c r="H427" i="3"/>
  <c r="H37" i="3"/>
  <c r="H861" i="3"/>
  <c r="H354" i="3"/>
  <c r="H611" i="3"/>
  <c r="H668" i="3"/>
  <c r="H297" i="3"/>
  <c r="H466" i="3"/>
  <c r="H759" i="3"/>
  <c r="H496" i="3"/>
  <c r="H586" i="3"/>
  <c r="H236" i="3"/>
  <c r="H932" i="3"/>
  <c r="H804" i="3"/>
  <c r="H909" i="3"/>
  <c r="H505" i="3"/>
  <c r="H109" i="3"/>
  <c r="H1050" i="3"/>
  <c r="H850" i="3"/>
  <c r="H380" i="3"/>
  <c r="H326" i="3"/>
  <c r="H971" i="3"/>
  <c r="H90" i="3"/>
  <c r="H110" i="3"/>
  <c r="H347" i="3"/>
  <c r="H198" i="3"/>
  <c r="H506" i="3"/>
  <c r="H972" i="3"/>
  <c r="H862" i="3"/>
  <c r="H199" i="3"/>
  <c r="H1008" i="3"/>
  <c r="H517" i="3"/>
  <c r="H420" i="3"/>
  <c r="H470" i="3"/>
  <c r="H138" i="3"/>
  <c r="H121" i="3"/>
  <c r="H9" i="3"/>
  <c r="H403" i="3"/>
  <c r="H601" i="3"/>
  <c r="H471" i="3"/>
  <c r="H1033" i="3"/>
  <c r="H355" i="3"/>
  <c r="H132" i="3"/>
  <c r="H162" i="3"/>
  <c r="H117" i="3"/>
  <c r="H237" i="3"/>
  <c r="H587" i="3"/>
  <c r="H605" i="3"/>
  <c r="H766" i="3"/>
  <c r="H767" i="3"/>
  <c r="H702" i="3"/>
  <c r="H550" i="3"/>
  <c r="H133" i="3"/>
  <c r="H33" i="3"/>
  <c r="H118" i="3"/>
  <c r="H461" i="3"/>
  <c r="H760" i="3"/>
  <c r="H122" i="3"/>
  <c r="H818" i="3"/>
  <c r="H828" i="3"/>
  <c r="H428" i="3"/>
  <c r="H511" i="3"/>
  <c r="H19" i="3"/>
  <c r="H373" i="3"/>
  <c r="H560" i="3"/>
  <c r="H518" i="3"/>
  <c r="H1059" i="3"/>
  <c r="H111" i="3"/>
  <c r="H991" i="3"/>
  <c r="H773" i="3"/>
  <c r="H321" i="3"/>
  <c r="H791" i="3"/>
  <c r="H493" i="3"/>
  <c r="H217" i="3"/>
  <c r="H937" i="3"/>
  <c r="H507" i="3"/>
  <c r="H218" i="3"/>
  <c r="H176" i="3"/>
  <c r="H348" i="3"/>
  <c r="H398" i="3"/>
  <c r="H349" i="3"/>
  <c r="H676" i="3"/>
  <c r="H190" i="3"/>
  <c r="H78" i="3"/>
  <c r="H207" i="3"/>
  <c r="H595" i="3"/>
  <c r="H360" i="3"/>
  <c r="H570" i="3"/>
  <c r="H389" i="3"/>
  <c r="H658" i="3"/>
  <c r="H98" i="3"/>
  <c r="H472" i="3"/>
  <c r="H333" i="3"/>
  <c r="H327" i="3"/>
  <c r="H982" i="3"/>
  <c r="H857" i="3"/>
  <c r="H677" i="3"/>
  <c r="H819" i="3"/>
  <c r="H843" i="3"/>
  <c r="H251" i="3"/>
  <c r="H628" i="3"/>
  <c r="H139" i="3"/>
  <c r="H167" i="3"/>
  <c r="H399" i="3"/>
  <c r="H10" i="3"/>
  <c r="H534" i="3"/>
  <c r="H439" i="3"/>
  <c r="H851" i="3"/>
  <c r="H508" i="3"/>
  <c r="H435" i="3"/>
  <c r="H597" i="3"/>
  <c r="H440" i="3"/>
  <c r="H588" i="3"/>
  <c r="H895" i="3"/>
  <c r="H820" i="3"/>
  <c r="H168" i="3"/>
  <c r="H390" i="3"/>
  <c r="H424" i="3"/>
  <c r="H835" i="3"/>
  <c r="H944" i="3"/>
  <c r="H254" i="3"/>
  <c r="H654" i="3"/>
  <c r="H410" i="3"/>
  <c r="H229" i="3"/>
  <c r="H535" i="3"/>
  <c r="H421" i="3"/>
  <c r="H374" i="3"/>
  <c r="H999" i="3"/>
  <c r="H945" i="3"/>
  <c r="H863" i="3"/>
  <c r="H669" i="3"/>
  <c r="H796" i="3"/>
  <c r="H322" i="3"/>
  <c r="H429" i="3"/>
  <c r="H497" i="3"/>
  <c r="H364" i="3"/>
  <c r="H526" i="3"/>
  <c r="H477" i="3"/>
  <c r="H148" i="3"/>
  <c r="H781" i="3"/>
  <c r="H255" i="3"/>
  <c r="H811" i="3"/>
  <c r="H745" i="3"/>
  <c r="H232" i="3"/>
  <c r="H933" i="3"/>
  <c r="H1045" i="3"/>
  <c r="H750" i="3"/>
  <c r="H34" i="3"/>
  <c r="H995" i="3"/>
  <c r="H637" i="3"/>
  <c r="H967" i="3"/>
  <c r="H269" i="3"/>
  <c r="H598" i="3"/>
  <c r="H375" i="3"/>
  <c r="H946" i="3"/>
  <c r="H83" i="3"/>
  <c r="H551" i="3"/>
  <c r="H921" i="3"/>
  <c r="H685" i="3"/>
  <c r="H177" i="3"/>
  <c r="H864" i="3"/>
  <c r="H400" i="3"/>
  <c r="H313" i="3"/>
  <c r="H334" i="3"/>
  <c r="H902" i="3"/>
  <c r="H200" i="3"/>
  <c r="H975" i="3"/>
  <c r="H576" i="3"/>
  <c r="H498" i="3"/>
  <c r="H92" i="3"/>
  <c r="H606" i="3"/>
  <c r="H829" i="3"/>
  <c r="H655" i="3"/>
  <c r="H805" i="3"/>
  <c r="H539" i="3"/>
  <c r="H726" i="3"/>
  <c r="H692" i="3"/>
  <c r="H947" i="3"/>
  <c r="H571" i="3"/>
  <c r="H746" i="3"/>
  <c r="H49" i="3"/>
  <c r="H473" i="3"/>
  <c r="H957" i="3"/>
  <c r="H732" i="3"/>
  <c r="H821" i="3"/>
  <c r="H870" i="3"/>
  <c r="H112" i="3"/>
  <c r="H140" i="3"/>
  <c r="H1046" i="3"/>
  <c r="H328" i="3"/>
  <c r="H903" i="3"/>
  <c r="H911" i="3"/>
  <c r="H462" i="3"/>
  <c r="H208" i="3"/>
  <c r="H884" i="3"/>
  <c r="H616" i="3"/>
  <c r="H60" i="3"/>
  <c r="H782" i="3"/>
  <c r="H885" i="3"/>
  <c r="H928" i="3"/>
  <c r="H886" i="3"/>
  <c r="H540" i="3"/>
  <c r="H1016" i="3"/>
  <c r="H436" i="3"/>
  <c r="H589" i="3"/>
  <c r="H141" i="3"/>
  <c r="H15" i="3"/>
  <c r="H131" i="3"/>
  <c r="H341" i="3"/>
  <c r="H286" i="3"/>
  <c r="H696" i="3"/>
  <c r="H1014" i="3"/>
  <c r="H704" i="3"/>
  <c r="H768" i="3"/>
  <c r="H802" i="3"/>
  <c r="H941" i="3"/>
  <c r="H797" i="3"/>
  <c r="H287" i="3"/>
  <c r="H607" i="3"/>
  <c r="H486" i="3"/>
  <c r="H527" i="3"/>
  <c r="H642" i="3"/>
  <c r="H1051" i="3"/>
  <c r="H929" i="3"/>
  <c r="H808" i="3"/>
  <c r="H942" i="3"/>
  <c r="H690" i="3"/>
  <c r="H194" i="3"/>
  <c r="H453" i="3"/>
  <c r="H35" i="3"/>
  <c r="H659" i="3"/>
  <c r="H134" i="3"/>
  <c r="H381" i="3"/>
  <c r="H566" i="3"/>
  <c r="H113" i="3"/>
  <c r="H149" i="3"/>
  <c r="H996" i="3"/>
  <c r="H185" i="3"/>
  <c r="H455" i="3"/>
  <c r="H406" i="3"/>
  <c r="H445" i="3"/>
  <c r="H621" i="3"/>
  <c r="H262" i="3"/>
  <c r="H707" i="3"/>
  <c r="H660" i="3"/>
  <c r="H456" i="3"/>
  <c r="H650" i="3"/>
  <c r="H127" i="3"/>
  <c r="H599" i="3"/>
  <c r="H983" i="3"/>
  <c r="H954" i="3"/>
  <c r="H612" i="3"/>
  <c r="H422" i="3"/>
  <c r="H84" i="3"/>
  <c r="H391" i="3"/>
  <c r="H61" i="3"/>
  <c r="H968" i="3"/>
  <c r="H150" i="3"/>
  <c r="H679" i="3"/>
  <c r="H446" i="3"/>
  <c r="H887" i="3"/>
  <c r="H142" i="3"/>
  <c r="H930" i="3"/>
  <c r="H209" i="3"/>
  <c r="H1009" i="3"/>
  <c r="H323" i="3"/>
  <c r="H705" i="3"/>
  <c r="H222" i="3"/>
  <c r="H761" i="3"/>
  <c r="H201" i="3"/>
  <c r="H437" i="3"/>
  <c r="H774" i="3"/>
  <c r="H582" i="3"/>
  <c r="H638" i="3"/>
  <c r="H304" i="3"/>
  <c r="H546" i="3"/>
  <c r="H859" i="3"/>
  <c r="H238" i="3"/>
  <c r="H239" i="3"/>
  <c r="H871" i="3"/>
  <c r="H904" i="3"/>
  <c r="H590" i="3"/>
  <c r="H536" i="3"/>
  <c r="H38" i="3"/>
  <c r="H1000" i="3"/>
  <c r="H844" i="3"/>
  <c r="H252" i="3"/>
  <c r="H613" i="3"/>
  <c r="H812" i="3"/>
  <c r="H583" i="3"/>
  <c r="H519" i="3"/>
  <c r="H11" i="3"/>
  <c r="H962" i="3"/>
  <c r="H274" i="3"/>
  <c r="H263" i="3"/>
  <c r="H365" i="3"/>
  <c r="H1017" i="3"/>
  <c r="H963" i="3"/>
  <c r="H79" i="3"/>
  <c r="H798" i="3"/>
  <c r="H135" i="3"/>
  <c r="H733" i="3"/>
  <c r="H240" i="3"/>
  <c r="H478" i="3"/>
  <c r="H430" i="3"/>
  <c r="H253" i="3"/>
  <c r="H629" i="3"/>
  <c r="H151" i="3"/>
  <c r="H342" i="3"/>
  <c r="H915" i="3"/>
  <c r="H670" i="3"/>
  <c r="H721" i="3"/>
  <c r="H872" i="3"/>
  <c r="H411" i="3"/>
  <c r="H822" i="3"/>
  <c r="H520" i="3"/>
  <c r="H837" i="3"/>
  <c r="H528" i="3"/>
  <c r="H809" i="3"/>
  <c r="H152" i="3"/>
  <c r="H457" i="3"/>
  <c r="H463" i="3"/>
  <c r="H630" i="3"/>
  <c r="H852" i="3"/>
  <c r="H223" i="3"/>
  <c r="H922" i="3"/>
  <c r="H964" i="3"/>
  <c r="H392" i="3"/>
  <c r="H846" i="3"/>
  <c r="H813" i="3"/>
  <c r="H114" i="3"/>
  <c r="H923" i="3"/>
  <c r="H169" i="3"/>
  <c r="H412" i="3"/>
  <c r="H158" i="3"/>
  <c r="H314" i="3"/>
  <c r="H404" i="3"/>
  <c r="H153" i="3"/>
  <c r="H233" i="3"/>
  <c r="H487" i="3"/>
  <c r="H948" i="3"/>
  <c r="H186" i="3"/>
  <c r="H697" i="3"/>
  <c r="H521" i="3"/>
  <c r="H572" i="3"/>
  <c r="H823" i="3"/>
  <c r="H178" i="3"/>
  <c r="H799" i="3"/>
  <c r="H512" i="3"/>
  <c r="H577" i="3"/>
  <c r="H241" i="3"/>
  <c r="H662" i="3"/>
  <c r="H865" i="3"/>
  <c r="H734" i="3"/>
  <c r="H949" i="3"/>
  <c r="H888" i="3"/>
  <c r="H224" i="3"/>
  <c r="H769" i="3"/>
  <c r="H210" i="3"/>
  <c r="H671" i="3"/>
  <c r="H370" i="3"/>
  <c r="H179" i="3"/>
  <c r="H242" i="3"/>
  <c r="H413" i="3"/>
  <c r="H614" i="3"/>
  <c r="H853" i="3"/>
  <c r="H69" i="3"/>
  <c r="H467" i="3"/>
  <c r="H16" i="3"/>
  <c r="H663" i="3"/>
  <c r="H170" i="3"/>
  <c r="H248" i="3"/>
  <c r="H513" i="3"/>
  <c r="H775" i="3"/>
  <c r="H693" i="3"/>
  <c r="H899" i="3"/>
  <c r="H678" i="3"/>
  <c r="H552" i="3"/>
  <c r="H938" i="3"/>
  <c r="H672" i="3"/>
  <c r="H567" i="3"/>
  <c r="H969" i="3"/>
  <c r="H602" i="3"/>
  <c r="H673" i="3"/>
  <c r="H211" i="3"/>
  <c r="H115" i="3"/>
  <c r="H783" i="3"/>
  <c r="H39" i="3"/>
  <c r="H1034" i="3"/>
  <c r="H288" i="3"/>
  <c r="H376" i="3"/>
  <c r="H47" i="3"/>
  <c r="H361" i="3"/>
  <c r="H292" i="3"/>
  <c r="H735" i="3"/>
  <c r="H371" i="3"/>
  <c r="H219" i="3"/>
  <c r="H1060" i="3"/>
  <c r="H631" i="3"/>
  <c r="H784" i="3"/>
  <c r="H1012" i="3"/>
  <c r="H1052" i="3"/>
  <c r="H1047" i="3"/>
  <c r="H680" i="3"/>
  <c r="H751" i="3"/>
  <c r="H698" i="3"/>
  <c r="H146" i="3"/>
  <c r="H792" i="3"/>
  <c r="H154" i="3"/>
  <c r="H350" i="3"/>
  <c r="H1056" i="3"/>
  <c r="H747" i="3"/>
  <c r="H479" i="3"/>
  <c r="H741" i="3"/>
  <c r="H1027" i="3"/>
  <c r="H54" i="3"/>
  <c r="H1035" i="3"/>
  <c r="H984" i="3"/>
  <c r="H600" i="3"/>
  <c r="H748" i="3"/>
  <c r="H279" i="3"/>
  <c r="H578" i="3"/>
  <c r="H136" i="3"/>
  <c r="H1001" i="3"/>
  <c r="H845" i="3"/>
  <c r="H1018" i="3"/>
  <c r="H329" i="3"/>
  <c r="H393" i="3"/>
  <c r="H48" i="3"/>
  <c r="H615" i="3"/>
  <c r="H343" i="3"/>
  <c r="H1328" i="3"/>
  <c r="H20" i="3"/>
  <c r="H1905" i="3"/>
  <c r="H1657" i="3"/>
  <c r="H1820" i="3"/>
  <c r="H1648" i="3"/>
  <c r="H1128" i="3"/>
  <c r="H1927" i="3"/>
  <c r="H1380" i="3"/>
  <c r="H1691" i="3"/>
  <c r="H973" i="3"/>
  <c r="H1390" i="3"/>
  <c r="H1862" i="3"/>
  <c r="H579" i="3"/>
  <c r="H1815" i="3"/>
  <c r="H1541" i="3"/>
  <c r="H1176" i="3"/>
  <c r="H1783" i="3"/>
  <c r="H1561" i="3"/>
  <c r="H1391" i="3"/>
  <c r="H1524" i="3"/>
  <c r="H1062" i="3"/>
  <c r="H838" i="3"/>
  <c r="H1247" i="3"/>
  <c r="H1692" i="3"/>
  <c r="H889" i="3"/>
  <c r="H1436" i="3"/>
  <c r="H1906" i="3"/>
  <c r="H1711" i="3"/>
  <c r="H1870" i="3"/>
  <c r="H1424" i="3"/>
  <c r="H1866" i="3"/>
  <c r="H4" i="3"/>
  <c r="H1513" i="3"/>
  <c r="H1202" i="3"/>
  <c r="H1363" i="3"/>
  <c r="H99" i="3"/>
  <c r="H608" i="3"/>
  <c r="H1873" i="3"/>
  <c r="H1235" i="3"/>
  <c r="H1824" i="3"/>
  <c r="H1772" i="3"/>
  <c r="H894" i="3"/>
  <c r="H1188" i="3"/>
  <c r="H1096" i="3"/>
  <c r="H305" i="3"/>
  <c r="H1099" i="3"/>
  <c r="H1825" i="3"/>
  <c r="H1480" i="3"/>
  <c r="H1892" i="3"/>
  <c r="H1552" i="3"/>
  <c r="H1801" i="3"/>
  <c r="H1130" i="3"/>
  <c r="H1386" i="3"/>
  <c r="H1364" i="3"/>
  <c r="H1117" i="3"/>
  <c r="H1854" i="3"/>
  <c r="H1856" i="3"/>
  <c r="H1789" i="3"/>
  <c r="H264" i="3"/>
  <c r="H483" i="3"/>
  <c r="H1553" i="3"/>
  <c r="H1294" i="3"/>
  <c r="H1767" i="3"/>
  <c r="H1146" i="3"/>
  <c r="H230" i="3"/>
  <c r="H21" i="3"/>
  <c r="H1215" i="3"/>
  <c r="H1703" i="3"/>
  <c r="H708" i="3"/>
  <c r="H1554" i="3"/>
  <c r="H1127" i="3"/>
  <c r="H890" i="3"/>
  <c r="H1669" i="3"/>
  <c r="H1316" i="3"/>
  <c r="H1459" i="3"/>
  <c r="H1633" i="3"/>
  <c r="H1299" i="3"/>
  <c r="H1471" i="3"/>
  <c r="H50" i="3"/>
  <c r="H609" i="3"/>
  <c r="H401" i="3"/>
  <c r="H1889" i="3"/>
  <c r="H1834" i="3"/>
  <c r="H1615" i="3"/>
  <c r="H1850" i="3"/>
  <c r="H824" i="3"/>
  <c r="H1444" i="3"/>
  <c r="H187" i="3"/>
  <c r="H1775" i="3"/>
  <c r="H1244" i="3"/>
  <c r="H1496" i="3"/>
  <c r="H1461" i="3"/>
  <c r="H814" i="3"/>
  <c r="H1301" i="3"/>
  <c r="H699" i="3"/>
  <c r="H212" i="3"/>
  <c r="H1189" i="3"/>
  <c r="H1469" i="3"/>
  <c r="H1509" i="3"/>
  <c r="H1195" i="3"/>
  <c r="H1899" i="3"/>
  <c r="H1682" i="3"/>
  <c r="H1837" i="3"/>
  <c r="H1318" i="3"/>
  <c r="H1527" i="3"/>
  <c r="H1749" i="3"/>
  <c r="H1649" i="3"/>
  <c r="H1838" i="3"/>
  <c r="H1385" i="3"/>
  <c r="H1298" i="3"/>
  <c r="H1769" i="3"/>
  <c r="H1855" i="3"/>
  <c r="H1448" i="3"/>
  <c r="H1322" i="3"/>
  <c r="H1841" i="3"/>
  <c r="H866" i="3"/>
  <c r="H1671" i="3"/>
  <c r="H1806" i="3"/>
  <c r="H1350" i="3"/>
  <c r="H1325" i="3"/>
  <c r="H1124" i="3"/>
  <c r="H1678" i="3"/>
  <c r="H1110" i="3"/>
  <c r="H1781" i="3"/>
  <c r="H1555" i="3"/>
  <c r="H1147" i="3"/>
  <c r="H1696" i="3"/>
  <c r="H1709" i="3"/>
  <c r="H1411" i="3"/>
  <c r="H1360" i="3"/>
  <c r="H1544" i="3"/>
  <c r="H1095" i="3"/>
  <c r="H1139" i="3"/>
  <c r="H1312" i="3"/>
  <c r="H407" i="3"/>
  <c r="H1645" i="3"/>
  <c r="H1160" i="3"/>
  <c r="H1151" i="3"/>
  <c r="H1828" i="3"/>
  <c r="H1510" i="3"/>
  <c r="H1629" i="3"/>
  <c r="H1829" i="3"/>
  <c r="H1144" i="3"/>
  <c r="H1466" i="3"/>
  <c r="H55" i="3"/>
  <c r="H1403" i="3"/>
  <c r="H1894" i="3"/>
  <c r="H1040" i="3"/>
  <c r="H447" i="3"/>
  <c r="H1105" i="3"/>
  <c r="H1653" i="3"/>
  <c r="H1276" i="3"/>
  <c r="H1365" i="3"/>
  <c r="H1465" i="3"/>
  <c r="H1688" i="3"/>
  <c r="H1100" i="3"/>
  <c r="H1616" i="3"/>
  <c r="H1352" i="3"/>
  <c r="H1568" i="3"/>
  <c r="H1639" i="3"/>
  <c r="H1366" i="3"/>
  <c r="H1324" i="3"/>
  <c r="H1727" i="3"/>
  <c r="H85" i="3"/>
  <c r="H488" i="3"/>
  <c r="H1171" i="3"/>
  <c r="H1076" i="3"/>
  <c r="H1272" i="3"/>
  <c r="H1618" i="3"/>
  <c r="H1107" i="3"/>
  <c r="H1187" i="3"/>
  <c r="H1591" i="3"/>
  <c r="H1495" i="3"/>
  <c r="H1243" i="3"/>
  <c r="H1347" i="3"/>
  <c r="H1462" i="3"/>
  <c r="H1425" i="3"/>
  <c r="H1220" i="3"/>
  <c r="H1296" i="3"/>
  <c r="H1672" i="3"/>
  <c r="H1455" i="3"/>
  <c r="H1210" i="3"/>
  <c r="H1118" i="3"/>
  <c r="H1203" i="3"/>
  <c r="H639" i="3"/>
  <c r="H1923" i="3"/>
  <c r="H1705" i="3"/>
  <c r="H1270" i="3"/>
  <c r="H1810" i="3"/>
  <c r="H1399" i="3"/>
  <c r="H1761" i="3"/>
  <c r="H12" i="3"/>
  <c r="H1583" i="3"/>
  <c r="H1813" i="3"/>
  <c r="H1439" i="3"/>
  <c r="H1341" i="3"/>
  <c r="H1282" i="3"/>
  <c r="H280" i="3"/>
  <c r="H1019" i="3"/>
  <c r="H1406" i="3"/>
  <c r="H1233" i="3"/>
  <c r="H1537" i="3"/>
  <c r="H1683" i="3"/>
  <c r="H1375" i="3"/>
  <c r="H1542" i="3"/>
  <c r="H1317" i="3"/>
  <c r="H1689" i="3"/>
  <c r="H265" i="3"/>
  <c r="H1067" i="3"/>
  <c r="H1132" i="3"/>
  <c r="H1450" i="3"/>
  <c r="H715" i="3"/>
  <c r="H1871" i="3"/>
  <c r="H1164" i="3"/>
  <c r="H1308" i="3"/>
  <c r="H1830" i="3"/>
  <c r="H1625" i="3"/>
  <c r="H1361" i="3"/>
  <c r="H664" i="3"/>
  <c r="H155" i="3"/>
  <c r="H1929" i="3"/>
  <c r="H1547" i="3"/>
  <c r="H1525" i="3"/>
  <c r="H1734" i="3"/>
  <c r="H1097" i="3"/>
  <c r="H1636" i="3"/>
  <c r="H867" i="3"/>
  <c r="H1654" i="3"/>
  <c r="H1698" i="3"/>
  <c r="H1082" i="3"/>
  <c r="H1606" i="3"/>
  <c r="H1779" i="3"/>
  <c r="H752" i="3"/>
  <c r="H1546" i="3"/>
  <c r="H522" i="3"/>
  <c r="H1851" i="3"/>
  <c r="H1545" i="3"/>
  <c r="H1569" i="3"/>
  <c r="H202" i="3"/>
  <c r="H1191" i="3"/>
  <c r="H1723" i="3"/>
  <c r="H1313" i="3"/>
  <c r="H171" i="3"/>
  <c r="H1492" i="3"/>
  <c r="H1238" i="3"/>
  <c r="H1664" i="3"/>
  <c r="H716" i="3"/>
  <c r="H474" i="3"/>
  <c r="H1858" i="3"/>
  <c r="H1173" i="3"/>
  <c r="H1208" i="3"/>
  <c r="H1674" i="3"/>
  <c r="H1285" i="3"/>
  <c r="H958" i="3"/>
  <c r="H1066" i="3"/>
  <c r="H722" i="3"/>
  <c r="H1722" i="3"/>
  <c r="H1437" i="3"/>
  <c r="H1823" i="3"/>
  <c r="H1925" i="3"/>
  <c r="H1240" i="3"/>
  <c r="H1426" i="3"/>
  <c r="H1381" i="3"/>
  <c r="H1863" i="3"/>
  <c r="H1138" i="3"/>
  <c r="H1770" i="3"/>
  <c r="H905" i="3"/>
  <c r="H1123" i="3"/>
  <c r="H1864" i="3"/>
  <c r="H1762" i="3"/>
  <c r="H1888" i="3"/>
  <c r="H1358" i="3"/>
  <c r="H1922" i="3"/>
  <c r="H1741" i="3"/>
  <c r="H591" i="3"/>
  <c r="H1367" i="3"/>
  <c r="H1643" i="3"/>
  <c r="H1859" i="3"/>
  <c r="H1319" i="3"/>
  <c r="H382" i="3"/>
  <c r="H1844" i="3"/>
  <c r="H425" i="3"/>
  <c r="H1200" i="3"/>
  <c r="H1521" i="3"/>
  <c r="H815" i="3"/>
  <c r="H344" i="3"/>
  <c r="H694" i="3"/>
  <c r="H1140" i="3"/>
  <c r="H1540" i="3"/>
  <c r="H1549" i="3"/>
  <c r="H1500" i="3"/>
  <c r="H1449" i="3"/>
  <c r="H1644" i="3"/>
  <c r="H1204" i="3"/>
  <c r="H1254" i="3"/>
  <c r="H1511" i="3"/>
  <c r="H1427" i="3"/>
  <c r="H1172" i="3"/>
  <c r="H1329" i="3"/>
  <c r="H1387" i="3"/>
  <c r="H1517" i="3"/>
  <c r="H1302" i="3"/>
  <c r="H537" i="3"/>
  <c r="H1728" i="3"/>
  <c r="H1630" i="3"/>
  <c r="H632" i="3"/>
  <c r="H1802" i="3"/>
  <c r="H1637" i="3"/>
  <c r="H1563" i="3"/>
  <c r="H1287" i="3"/>
  <c r="H1163" i="3"/>
  <c r="H633" i="3"/>
  <c r="H1273" i="3"/>
  <c r="H116" i="3"/>
  <c r="H1918" i="3"/>
  <c r="H1205" i="3"/>
  <c r="H939" i="3"/>
  <c r="H1737" i="3"/>
  <c r="H1895" i="3"/>
  <c r="H1531" i="3"/>
  <c r="H1336" i="3"/>
  <c r="H1773" i="3"/>
  <c r="H1613" i="3"/>
  <c r="H1868" i="3"/>
  <c r="H1234" i="3"/>
  <c r="H464" i="3"/>
  <c r="H1307" i="3"/>
  <c r="H1786" i="3"/>
  <c r="H580" i="3"/>
  <c r="H1108" i="3"/>
  <c r="H1306" i="3"/>
  <c r="H1501" i="3"/>
  <c r="H1269" i="3"/>
  <c r="H1414" i="3"/>
  <c r="H414" i="3"/>
  <c r="H1266" i="3"/>
  <c r="H1816" i="3"/>
  <c r="H1193" i="3"/>
  <c r="H1673" i="3"/>
  <c r="H1218" i="3"/>
  <c r="H1077" i="3"/>
  <c r="H1216" i="3"/>
  <c r="H1712" i="3"/>
  <c r="H924" i="3"/>
  <c r="H405" i="3"/>
  <c r="H1394" i="3"/>
  <c r="H1550" i="3"/>
  <c r="H1916" i="3"/>
  <c r="H1745" i="3"/>
  <c r="H1719" i="3"/>
  <c r="H1345" i="3"/>
  <c r="H1852" i="3"/>
  <c r="H1777" i="3"/>
  <c r="H1057" i="3"/>
  <c r="H1242" i="3"/>
  <c r="H1603" i="3"/>
  <c r="H1893" i="3"/>
  <c r="H1484" i="3"/>
  <c r="H1314" i="3"/>
  <c r="H1338" i="3"/>
  <c r="H1701" i="3"/>
  <c r="H1154" i="3"/>
  <c r="H1710" i="3"/>
  <c r="H1255" i="3"/>
  <c r="H1382" i="3"/>
  <c r="H1419" i="3"/>
  <c r="H1288" i="3"/>
  <c r="H1919" i="3"/>
  <c r="H891" i="3"/>
  <c r="H1751" i="3"/>
  <c r="H1063" i="3"/>
  <c r="H1738" i="3"/>
  <c r="H1518" i="3"/>
  <c r="H762" i="3"/>
  <c r="H1817" i="3"/>
  <c r="H1115" i="3"/>
  <c r="H270" i="3"/>
  <c r="H1565" i="3"/>
  <c r="H1357" i="3"/>
  <c r="H1818" i="3"/>
  <c r="H1245" i="3"/>
  <c r="H1464" i="3"/>
  <c r="H1878" i="3"/>
  <c r="H561" i="3"/>
  <c r="H1640" i="3"/>
  <c r="H1790" i="3"/>
  <c r="H1402" i="3"/>
  <c r="H1797" i="3"/>
  <c r="H686" i="3"/>
  <c r="H1157" i="3"/>
  <c r="H441" i="3"/>
  <c r="H1320" i="3"/>
  <c r="H1225" i="3"/>
  <c r="H1323" i="3"/>
  <c r="H220" i="3"/>
  <c r="H1661" i="3"/>
  <c r="H1814" i="3"/>
  <c r="H1861" i="3"/>
  <c r="H1227" i="3"/>
  <c r="H1528" i="3"/>
  <c r="H1304" i="3"/>
  <c r="H1141" i="3"/>
  <c r="H1562" i="3"/>
  <c r="H1725" i="3"/>
  <c r="H1896" i="3"/>
  <c r="H298" i="3"/>
  <c r="H394" i="3"/>
  <c r="H1595" i="3"/>
  <c r="H1556" i="3"/>
  <c r="H1274" i="3"/>
  <c r="H1236" i="3"/>
  <c r="H1398" i="3"/>
  <c r="H1739" i="3"/>
  <c r="H1677" i="3"/>
  <c r="H1605" i="3"/>
  <c r="H873" i="3"/>
  <c r="H1902" i="3"/>
  <c r="H159" i="3"/>
  <c r="H793" i="3"/>
  <c r="H1796" i="3"/>
  <c r="H1522" i="3"/>
  <c r="H1604" i="3"/>
  <c r="H1716" i="3"/>
  <c r="H1309" i="3"/>
  <c r="H180" i="3"/>
  <c r="H695" i="3"/>
  <c r="H351" i="3"/>
  <c r="H1091" i="3"/>
  <c r="H1713" i="3"/>
  <c r="H1566" i="3"/>
  <c r="H674" i="3"/>
  <c r="H1133" i="3"/>
  <c r="H1326" i="3"/>
  <c r="H1111" i="3"/>
  <c r="H785" i="3"/>
  <c r="H523" i="3"/>
  <c r="H256" i="3"/>
  <c r="H1167" i="3"/>
  <c r="H1891" i="3"/>
  <c r="H1256" i="3"/>
  <c r="H1809" i="3"/>
  <c r="H1529" i="3"/>
  <c r="H1289" i="3"/>
  <c r="H1114" i="3"/>
  <c r="H1911" i="3"/>
  <c r="H1811" i="3"/>
  <c r="H1848" i="3"/>
  <c r="H874" i="3"/>
  <c r="H1748" i="3"/>
  <c r="H1209" i="3"/>
  <c r="H1879" i="3"/>
  <c r="H1491" i="3"/>
  <c r="H1655" i="3"/>
  <c r="H1194" i="3"/>
  <c r="H1036" i="3"/>
  <c r="H1693" i="3"/>
  <c r="H875" i="3"/>
  <c r="H1376" i="3"/>
  <c r="H1401" i="3"/>
  <c r="H1344" i="3"/>
  <c r="H1377" i="3"/>
  <c r="H1827" i="3"/>
  <c r="H1190" i="3"/>
  <c r="H1374" i="3"/>
  <c r="H123" i="3"/>
  <c r="H475" i="3"/>
  <c r="H1890" i="3"/>
  <c r="H1261" i="3"/>
  <c r="H1388" i="3"/>
  <c r="H1332" i="3"/>
  <c r="H1920" i="3"/>
  <c r="H1101" i="3"/>
  <c r="H1072" i="3"/>
  <c r="H1497" i="3"/>
  <c r="H257" i="3"/>
  <c r="H1594" i="3"/>
  <c r="H1853" i="3"/>
  <c r="H1428" i="3"/>
  <c r="H1081" i="3"/>
  <c r="H1559" i="3"/>
  <c r="H1088" i="3"/>
  <c r="H271" i="3"/>
  <c r="H541" i="3"/>
  <c r="H1283" i="3"/>
  <c r="H1211" i="3"/>
  <c r="H1647" i="3"/>
  <c r="H1346" i="3"/>
  <c r="H542" i="3"/>
  <c r="H1607" i="3"/>
  <c r="H1704" i="3"/>
  <c r="H753" i="3"/>
  <c r="H31" i="3"/>
  <c r="H1913" i="3"/>
  <c r="H1456" i="3"/>
  <c r="H1874" i="3"/>
  <c r="H860" i="3"/>
  <c r="H1277" i="3"/>
  <c r="H1576" i="3"/>
  <c r="H1881" i="3"/>
  <c r="H1831" i="3"/>
  <c r="H1826" i="3"/>
  <c r="H1353" i="3"/>
  <c r="H1355" i="3"/>
  <c r="H1573" i="3"/>
  <c r="H1064" i="3"/>
  <c r="H1684" i="3"/>
  <c r="H1914" i="3"/>
  <c r="H1165" i="3"/>
  <c r="H1199" i="3"/>
  <c r="H1161" i="3"/>
  <c r="H1570" i="3"/>
  <c r="H307" i="3"/>
  <c r="H1857" i="3"/>
  <c r="H1702" i="3"/>
  <c r="H468" i="3"/>
  <c r="H1574" i="3"/>
  <c r="H1490" i="3"/>
  <c r="H1086" i="3"/>
  <c r="H1431" i="3"/>
  <c r="H1668" i="3"/>
  <c r="H1577" i="3"/>
  <c r="H1804" i="3"/>
  <c r="H1223" i="3"/>
  <c r="H651" i="3"/>
  <c r="H974" i="3"/>
  <c r="H1434" i="3"/>
  <c r="H1262" i="3"/>
  <c r="H1421" i="3"/>
  <c r="H700" i="3"/>
  <c r="H1663" i="3"/>
  <c r="H1078" i="3"/>
  <c r="H1776" i="3"/>
  <c r="H22" i="3"/>
  <c r="H1685" i="3"/>
  <c r="H124" i="3"/>
  <c r="H1177" i="3"/>
  <c r="H1342" i="3"/>
  <c r="H1600" i="3"/>
  <c r="H1650" i="3"/>
  <c r="H1443" i="3"/>
  <c r="H1295" i="3"/>
  <c r="H1429" i="3"/>
  <c r="H1252" i="3"/>
  <c r="H1759" i="3"/>
  <c r="H1085" i="3"/>
  <c r="H1112" i="3"/>
  <c r="H1337" i="3"/>
  <c r="H1222" i="3"/>
  <c r="H854" i="3"/>
  <c r="H1145" i="3"/>
  <c r="H1028" i="3"/>
  <c r="H1883" i="3"/>
  <c r="H1821" i="3"/>
  <c r="H1659" i="3"/>
  <c r="H1694" i="3"/>
  <c r="H617" i="3"/>
  <c r="H161" i="3"/>
  <c r="H1410" i="3"/>
  <c r="H1585" i="3"/>
  <c r="H1291" i="3"/>
  <c r="H36" i="3"/>
  <c r="H1430" i="3"/>
  <c r="H1460" i="3"/>
  <c r="H1279" i="3"/>
  <c r="H65" i="3"/>
  <c r="H86" i="3"/>
  <c r="H1422" i="3"/>
  <c r="H1658" i="3"/>
  <c r="H1142" i="3"/>
  <c r="H1432" i="3"/>
  <c r="H1162" i="3"/>
  <c r="H87" i="3"/>
  <c r="H1383" i="3"/>
  <c r="H1747" i="3"/>
  <c r="H1623" i="3"/>
  <c r="H1602" i="3"/>
  <c r="H1303" i="3"/>
  <c r="H1742" i="3"/>
  <c r="H1885" i="3"/>
  <c r="H1860" i="3"/>
  <c r="H976" i="3"/>
  <c r="H584" i="3"/>
  <c r="H1867" i="3"/>
  <c r="H514" i="3"/>
  <c r="H1415" i="3"/>
  <c r="H825" i="3"/>
  <c r="H1102" i="3"/>
  <c r="H1048" i="3"/>
  <c r="H1534" i="3"/>
  <c r="H1417" i="3"/>
  <c r="H1119" i="3"/>
  <c r="H1750" i="3"/>
  <c r="H1228" i="3"/>
  <c r="H1134" i="3"/>
  <c r="H1730" i="3"/>
  <c r="H1267" i="3"/>
  <c r="H415" i="3"/>
  <c r="H1248" i="3"/>
  <c r="H1909" i="3"/>
  <c r="H1275" i="3"/>
  <c r="H1335" i="3"/>
  <c r="H1478" i="3"/>
  <c r="H1109" i="3"/>
  <c r="H1621" i="3"/>
  <c r="H1083" i="3"/>
  <c r="H1181" i="3"/>
  <c r="H1609" i="3"/>
  <c r="H1766" i="3"/>
  <c r="H1793" i="3"/>
  <c r="H426" i="3"/>
  <c r="H1207" i="3"/>
  <c r="H1250" i="3"/>
  <c r="H1153" i="3"/>
  <c r="H1752" i="3"/>
  <c r="H1721" i="3"/>
  <c r="H1263" i="3"/>
  <c r="H1239" i="3"/>
  <c r="H622" i="3"/>
  <c r="H1875" i="3"/>
  <c r="H1475" i="3"/>
  <c r="H1065" i="3"/>
  <c r="H1504" i="3"/>
  <c r="H1445" i="3"/>
  <c r="H985" i="3"/>
  <c r="H1608" i="3"/>
  <c r="H1700" i="3"/>
  <c r="H1457" i="3"/>
  <c r="H143" i="3"/>
  <c r="H1903" i="3"/>
  <c r="H1662" i="3"/>
  <c r="H1339" i="3"/>
  <c r="H1887" i="3"/>
  <c r="H1635" i="3"/>
  <c r="H1071" i="3"/>
  <c r="H1310" i="3"/>
  <c r="H1733" i="3"/>
  <c r="H1169" i="3"/>
  <c r="H1774" i="3"/>
  <c r="H1619" i="3"/>
  <c r="H362" i="3"/>
  <c r="H1755" i="3"/>
  <c r="H1794" i="3"/>
  <c r="H1731" i="3"/>
  <c r="H1732" i="3"/>
  <c r="H1278" i="3"/>
  <c r="H1601" i="3"/>
  <c r="H1378" i="3"/>
  <c r="H770" i="3"/>
  <c r="H1551" i="3"/>
  <c r="H1185" i="3"/>
  <c r="H1106" i="3"/>
  <c r="H1120" i="3"/>
  <c r="H1143" i="3"/>
  <c r="H1080" i="3"/>
  <c r="H1435" i="3"/>
  <c r="H1166" i="3"/>
  <c r="H925" i="3"/>
  <c r="H1715" i="3"/>
  <c r="H1333" i="3"/>
  <c r="H1479" i="3"/>
  <c r="H1670" i="3"/>
  <c r="H1706" i="3"/>
  <c r="H1697" i="3"/>
  <c r="H1373" i="3"/>
  <c r="H1451" i="3"/>
  <c r="H1395" i="3"/>
  <c r="H618" i="3"/>
  <c r="H1487" i="3"/>
  <c r="H623" i="3"/>
  <c r="H1135" i="3"/>
  <c r="H1708" i="3"/>
  <c r="H1442" i="3"/>
  <c r="H1760" i="3"/>
  <c r="H1241" i="3"/>
  <c r="H1440" i="3"/>
  <c r="H1758" i="3"/>
  <c r="H1686" i="3"/>
  <c r="H213" i="3"/>
  <c r="H1690" i="3"/>
  <c r="H1651" i="3"/>
  <c r="H1315" i="3"/>
  <c r="H1446" i="3"/>
  <c r="H1073" i="3"/>
  <c r="H1297" i="3"/>
  <c r="H553" i="3"/>
  <c r="H1666" i="3"/>
  <c r="H1768" i="3"/>
  <c r="H1578" i="3"/>
  <c r="H1679" i="3"/>
  <c r="H1113" i="3"/>
  <c r="H1175" i="3"/>
  <c r="H1819" i="3"/>
  <c r="H163" i="3"/>
  <c r="H1327" i="3"/>
  <c r="H1129" i="3"/>
  <c r="H1224" i="3"/>
  <c r="H1807" i="3"/>
  <c r="H1753" i="3"/>
  <c r="H458" i="3"/>
  <c r="H1311" i="3"/>
  <c r="H1656" i="3"/>
  <c r="H1523" i="3"/>
  <c r="H1158" i="3"/>
  <c r="H1714" i="3"/>
  <c r="H1886" i="3"/>
  <c r="H1617" i="3"/>
  <c r="H144" i="3"/>
  <c r="H1795" i="3"/>
  <c r="H1792" i="3"/>
  <c r="H1584" i="3"/>
  <c r="H1822" i="3"/>
  <c r="H1182" i="3"/>
  <c r="H1068" i="3"/>
  <c r="H1407" i="3"/>
  <c r="H1520" i="3"/>
  <c r="H1393" i="3"/>
  <c r="H1029" i="3"/>
  <c r="H1675" i="3"/>
  <c r="H1260" i="3"/>
  <c r="H1174" i="3"/>
  <c r="H1571" i="3"/>
  <c r="H281" i="3"/>
  <c r="H1717" i="3"/>
  <c r="H1843" i="3"/>
  <c r="H1729" i="3"/>
  <c r="H1907" i="3"/>
  <c r="H1098" i="3"/>
  <c r="H1372" i="3"/>
  <c r="H1257" i="3"/>
  <c r="H619" i="3"/>
  <c r="H1103" i="3"/>
  <c r="H1379" i="3"/>
  <c r="H1560" i="3"/>
  <c r="H1507" i="3"/>
  <c r="H367" i="3"/>
  <c r="H1420" i="3"/>
  <c r="H1835" i="3"/>
  <c r="H66" i="3"/>
  <c r="H1232" i="3"/>
  <c r="H1880" i="3"/>
  <c r="H1196" i="3"/>
  <c r="H723" i="3"/>
  <c r="H1258" i="3"/>
  <c r="H1805" i="3"/>
  <c r="H1423" i="3"/>
  <c r="H1094" i="3"/>
  <c r="H1292" i="3"/>
  <c r="H1370" i="3"/>
  <c r="H1910" i="3"/>
  <c r="H315" i="3"/>
  <c r="H1928" i="3"/>
  <c r="H789" i="3"/>
  <c r="H1641" i="3"/>
  <c r="H1152" i="3"/>
  <c r="H489" i="3"/>
  <c r="H225" i="3"/>
  <c r="H1869" i="3"/>
  <c r="H1087" i="3"/>
  <c r="H1842" i="3"/>
  <c r="H1788" i="3"/>
  <c r="H1408" i="3"/>
  <c r="H1280" i="3"/>
  <c r="H1626" i="3"/>
  <c r="H1840" i="3"/>
  <c r="H1246" i="3"/>
  <c r="H1334" i="3"/>
  <c r="H1930" i="3"/>
  <c r="H1676" i="3"/>
  <c r="H443" i="3"/>
  <c r="H1493" i="3"/>
  <c r="H509" i="3"/>
  <c r="H1389" i="3"/>
  <c r="H727" i="3"/>
  <c r="H1557" i="3"/>
  <c r="H1757" i="3"/>
  <c r="H1264" i="3"/>
  <c r="H395" i="3"/>
  <c r="H1505" i="3"/>
  <c r="H1482" i="3"/>
  <c r="H330" i="3"/>
  <c r="H1305" i="3"/>
  <c r="H1588" i="3"/>
  <c r="H1915" i="3"/>
  <c r="H709" i="3"/>
  <c r="H1093" i="3"/>
  <c r="H1170" i="3"/>
  <c r="H1125" i="3"/>
  <c r="H1506" i="3"/>
  <c r="H1197" i="3"/>
  <c r="H1743" i="3"/>
  <c r="H1667" i="3"/>
  <c r="H1624" i="3"/>
  <c r="H1231" i="3"/>
  <c r="H1865" i="3"/>
  <c r="H1503" i="3"/>
  <c r="H147" i="3"/>
  <c r="H1632" i="3"/>
  <c r="H1627" i="3"/>
  <c r="H1226" i="3"/>
  <c r="H1897" i="3"/>
  <c r="H1483" i="3"/>
  <c r="H1476" i="3"/>
  <c r="H790" i="3"/>
  <c r="H1474" i="3"/>
  <c r="H1898" i="3"/>
  <c r="H1020" i="3"/>
  <c r="H1778" i="3"/>
  <c r="H1746" i="3"/>
  <c r="H1832" i="3"/>
  <c r="H1924" i="3"/>
  <c r="H1371" i="3"/>
  <c r="H1441" i="3"/>
  <c r="H1192" i="3"/>
  <c r="H959" i="3"/>
  <c r="H1368" i="3"/>
  <c r="H195" i="3"/>
  <c r="H476" i="3"/>
  <c r="H293" i="3"/>
  <c r="H1089" i="3"/>
  <c r="H1515" i="3"/>
  <c r="H1074" i="3"/>
  <c r="H106" i="3"/>
  <c r="H1418" i="3"/>
  <c r="H1356" i="3"/>
  <c r="H5" i="3"/>
  <c r="H1136" i="3"/>
  <c r="H1477" i="3"/>
  <c r="H331" i="3"/>
  <c r="H836" i="3"/>
  <c r="H1681" i="3"/>
  <c r="H1622" i="3"/>
  <c r="H1592" i="3"/>
  <c r="H524" i="3"/>
  <c r="H448" i="3"/>
  <c r="H1593" i="3"/>
  <c r="H1221" i="3"/>
  <c r="H1744" i="3"/>
  <c r="H1438" i="3"/>
  <c r="H1284" i="3"/>
  <c r="H1926" i="3"/>
  <c r="H1687" i="3"/>
  <c r="H1502" i="3"/>
  <c r="H1084" i="3"/>
  <c r="H1463" i="3"/>
  <c r="H324" i="3"/>
  <c r="H1782" i="3"/>
  <c r="H1259" i="3"/>
  <c r="H1756" i="3"/>
  <c r="H1413" i="3"/>
  <c r="H1290" i="3"/>
  <c r="H1917" i="3"/>
  <c r="H1433" i="3"/>
  <c r="H1612" i="3"/>
  <c r="H1812" i="3"/>
  <c r="H1882" i="3"/>
  <c r="H1351" i="3"/>
  <c r="H1488" i="3"/>
  <c r="H1833" i="3"/>
  <c r="H1092" i="3"/>
  <c r="H1354" i="3"/>
  <c r="H1180" i="3"/>
  <c r="H416" i="3"/>
  <c r="H1265" i="3"/>
  <c r="H1849" i="3"/>
  <c r="H1803" i="3"/>
  <c r="H1646" i="3"/>
  <c r="H181" i="3"/>
  <c r="H1384" i="3"/>
  <c r="H1485" i="3"/>
  <c r="H1847" i="3"/>
  <c r="H1404" i="3"/>
  <c r="H1736" i="3"/>
  <c r="H1486" i="3"/>
  <c r="H1763" i="3"/>
  <c r="H1539" i="3"/>
  <c r="H1268" i="3"/>
  <c r="H1498" i="3"/>
  <c r="H554" i="3"/>
  <c r="H40" i="3"/>
  <c r="H1396" i="3"/>
  <c r="H1589" i="3"/>
  <c r="H1921" i="3"/>
  <c r="H1784" i="3"/>
  <c r="H1780" i="3"/>
  <c r="H1249" i="3"/>
  <c r="H1472" i="3"/>
  <c r="H1572" i="3"/>
  <c r="H1508" i="3"/>
  <c r="H1526" i="3"/>
  <c r="H1155" i="3"/>
  <c r="H1178" i="3"/>
  <c r="H1610" i="3"/>
  <c r="H592" i="3"/>
  <c r="H1359" i="3"/>
  <c r="H338" i="3"/>
  <c r="H1217" i="3"/>
  <c r="H1148" i="3"/>
  <c r="H1564" i="3"/>
  <c r="H1206" i="3"/>
  <c r="H1808" i="3"/>
  <c r="H1149" i="3"/>
  <c r="H1126" i="3"/>
  <c r="H1581" i="3"/>
  <c r="H1642" i="3"/>
  <c r="H1904" i="3"/>
  <c r="H1839" i="3"/>
  <c r="H1575" i="3"/>
  <c r="H1179" i="3"/>
  <c r="H1021" i="3"/>
  <c r="H830" i="3"/>
  <c r="H1405" i="3"/>
  <c r="H1695" i="3"/>
  <c r="H1104" i="3"/>
  <c r="H1846" i="3"/>
  <c r="H299" i="3"/>
  <c r="H1740" i="3"/>
  <c r="H107" i="3"/>
  <c r="H249" i="3"/>
  <c r="H1614" i="3"/>
  <c r="H640" i="3"/>
  <c r="H1286" i="3"/>
  <c r="H1321" i="3"/>
  <c r="H1253" i="3"/>
  <c r="H681" i="3"/>
  <c r="H1447" i="3"/>
  <c r="H1121" i="3"/>
  <c r="H1349" i="3"/>
  <c r="H1631" i="3"/>
  <c r="H839" i="3"/>
  <c r="H1069" i="3"/>
  <c r="H1620" i="3"/>
  <c r="H1611" i="3"/>
  <c r="H1548" i="3"/>
  <c r="H51" i="3"/>
  <c r="H1183" i="3"/>
  <c r="H1293" i="3"/>
  <c r="H1586" i="3"/>
  <c r="H547" i="3"/>
  <c r="H1590" i="3"/>
  <c r="H1409" i="3"/>
  <c r="H1137" i="3"/>
  <c r="H1538" i="3"/>
  <c r="H1519" i="3"/>
  <c r="H1628" i="3"/>
  <c r="H754" i="3"/>
  <c r="H1798" i="3"/>
  <c r="H1771" i="3"/>
  <c r="H1845" i="3"/>
  <c r="H573" i="3"/>
  <c r="H1397" i="3"/>
  <c r="H1652" i="3"/>
  <c r="H1532" i="3"/>
  <c r="H646" i="3"/>
  <c r="H1156" i="3"/>
  <c r="H624" i="3"/>
  <c r="H1720" i="3"/>
  <c r="H1579" i="3"/>
  <c r="H93" i="3"/>
  <c r="H562" i="3"/>
  <c r="H1271" i="3"/>
  <c r="H1281" i="3"/>
  <c r="H188" i="3"/>
  <c r="H1468" i="3"/>
  <c r="H1452" i="3"/>
  <c r="H6" i="3"/>
  <c r="H1764" i="3"/>
  <c r="H480" i="3"/>
  <c r="H1726" i="3"/>
  <c r="H1516" i="3"/>
  <c r="H1912" i="3"/>
  <c r="H1533" i="3"/>
  <c r="H1558" i="3"/>
  <c r="H1186" i="3"/>
  <c r="H1836" i="3"/>
  <c r="H1392" i="3"/>
  <c r="H1473" i="3"/>
  <c r="H1070" i="3"/>
  <c r="H1580" i="3"/>
  <c r="H1596" i="3"/>
  <c r="H1331" i="3"/>
  <c r="H1900" i="3"/>
  <c r="H1219" i="3"/>
  <c r="H1237" i="3"/>
  <c r="H1765" i="3"/>
  <c r="H282" i="3"/>
  <c r="H1754" i="3"/>
  <c r="H1079" i="3"/>
  <c r="H1787" i="3"/>
  <c r="H1330" i="3"/>
  <c r="H1214" i="3"/>
  <c r="H1470" i="3"/>
  <c r="H1699" i="3"/>
  <c r="H1535" i="3"/>
  <c r="H1514" i="3"/>
  <c r="H1348" i="3"/>
  <c r="H1665" i="3"/>
  <c r="H1400" i="3"/>
  <c r="H656" i="3"/>
  <c r="H1251" i="3"/>
  <c r="H205" i="3"/>
  <c r="H1300" i="3"/>
  <c r="H1150" i="3"/>
  <c r="H1467" i="3"/>
  <c r="H1131" i="3"/>
  <c r="H710" i="3"/>
  <c r="H880" i="3"/>
  <c r="H1499" i="3"/>
  <c r="H1791" i="3"/>
  <c r="H1122" i="3"/>
  <c r="H32" i="3"/>
  <c r="H1212" i="3"/>
  <c r="H1343" i="3"/>
  <c r="H1638" i="3"/>
  <c r="H1884" i="3"/>
  <c r="H855" i="3"/>
  <c r="H203" i="3"/>
  <c r="H847" i="3"/>
  <c r="H1872" i="3"/>
  <c r="H1201" i="3"/>
  <c r="H1512" i="3"/>
  <c r="H266" i="3"/>
  <c r="H1707" i="3"/>
  <c r="H1876" i="3"/>
  <c r="H1543" i="3"/>
  <c r="H1530" i="3"/>
  <c r="H1785" i="3"/>
  <c r="H1587" i="3"/>
  <c r="H1184" i="3"/>
  <c r="H1369" i="3"/>
  <c r="H1724" i="3"/>
  <c r="H1489" i="3"/>
  <c r="H1458" i="3"/>
  <c r="H1230" i="3"/>
  <c r="H377" i="3"/>
  <c r="H1718" i="3"/>
  <c r="H1634" i="3"/>
  <c r="H1198" i="3"/>
  <c r="H1416" i="3"/>
  <c r="H1075" i="3"/>
  <c r="H1908" i="3"/>
  <c r="H1002" i="3"/>
  <c r="H1412" i="3"/>
  <c r="H356" i="3"/>
  <c r="H1058" i="3"/>
  <c r="H634" i="3"/>
  <c r="H992" i="3"/>
  <c r="H1597" i="3"/>
  <c r="H1735" i="3"/>
  <c r="H1481" i="3"/>
  <c r="H1800" i="3"/>
  <c r="H283" i="3"/>
  <c r="H1799" i="3"/>
  <c r="H1680" i="3"/>
  <c r="H1877" i="3"/>
  <c r="H1453" i="3"/>
  <c r="H1340" i="3"/>
  <c r="H1567" i="3"/>
  <c r="H1454" i="3"/>
  <c r="H378" i="3"/>
  <c r="H1168" i="3"/>
  <c r="H1598" i="3"/>
  <c r="H352" i="3"/>
  <c r="H1116" i="3"/>
  <c r="H529" i="3"/>
  <c r="H1061" i="3"/>
  <c r="H1660" i="3"/>
  <c r="H1494" i="3"/>
  <c r="H1362" i="3"/>
  <c r="H1901" i="3"/>
  <c r="H1213" i="3"/>
  <c r="H1229" i="3"/>
  <c r="H703" i="3"/>
  <c r="H1599" i="3"/>
  <c r="H1582" i="3"/>
  <c r="H1090" i="3"/>
  <c r="H543" i="3"/>
  <c r="H1159" i="3"/>
  <c r="H1536" i="3"/>
  <c r="G335" i="3"/>
  <c r="G2" i="3"/>
  <c r="G1010" i="3"/>
  <c r="G275" i="3"/>
  <c r="G800" i="3"/>
  <c r="G88" i="3"/>
  <c r="G56" i="3"/>
  <c r="G574" i="3"/>
  <c r="G449" i="3"/>
  <c r="G955" i="3"/>
  <c r="G77" i="3"/>
  <c r="G736" i="3"/>
  <c r="G73" i="3"/>
  <c r="G80" i="3"/>
  <c r="G644" i="3"/>
  <c r="G41" i="3"/>
  <c r="G368" i="3"/>
  <c r="G548" i="3"/>
  <c r="G231" i="3"/>
  <c r="G1041" i="3"/>
  <c r="G164" i="3"/>
  <c r="G1042" i="3"/>
  <c r="G876" i="3"/>
  <c r="G993" i="3"/>
  <c r="G881" i="3"/>
  <c r="G568" i="3"/>
  <c r="G28" i="3"/>
  <c r="G499" i="3"/>
  <c r="G603" i="3"/>
  <c r="G490" i="3"/>
  <c r="G491" i="3"/>
  <c r="G100" i="3"/>
  <c r="G931" i="3"/>
  <c r="G906" i="3"/>
  <c r="G737" i="3"/>
  <c r="G165" i="3"/>
  <c r="G896" i="3"/>
  <c r="G454" i="3"/>
  <c r="G156" i="3"/>
  <c r="G226" i="3"/>
  <c r="G728" i="3"/>
  <c r="G525" i="3"/>
  <c r="G717" i="3"/>
  <c r="G160" i="3"/>
  <c r="G994" i="3"/>
  <c r="G289" i="3"/>
  <c r="G3" i="3"/>
  <c r="G1022" i="3"/>
  <c r="G30" i="3"/>
  <c r="G383" i="3"/>
  <c r="G635" i="3"/>
  <c r="G916" i="3"/>
  <c r="G977" i="3"/>
  <c r="G742" i="3"/>
  <c r="G575" i="3"/>
  <c r="G724" i="3"/>
  <c r="G500" i="3"/>
  <c r="G294" i="3"/>
  <c r="G325" i="3"/>
  <c r="G625" i="3"/>
  <c r="G450" i="3"/>
  <c r="G196" i="3"/>
  <c r="G357" i="3"/>
  <c r="G243" i="3"/>
  <c r="G986" i="3"/>
  <c r="G1037" i="3"/>
  <c r="G145" i="3"/>
  <c r="G42" i="3"/>
  <c r="G907" i="3"/>
  <c r="G569" i="3"/>
  <c r="G840" i="3"/>
  <c r="G1043" i="3"/>
  <c r="G23" i="3"/>
  <c r="G308" i="3"/>
  <c r="G258" i="3"/>
  <c r="G81" i="3"/>
  <c r="G128" i="3"/>
  <c r="G816" i="3"/>
  <c r="G43" i="3"/>
  <c r="G604" i="3"/>
  <c r="G826" i="3"/>
  <c r="G917" i="3"/>
  <c r="G960" i="3"/>
  <c r="G62" i="3"/>
  <c r="G316" i="3"/>
  <c r="G1003" i="3"/>
  <c r="G57" i="3"/>
  <c r="G538" i="3"/>
  <c r="G596" i="3"/>
  <c r="G91" i="3"/>
  <c r="G738" i="3"/>
  <c r="G276" i="3"/>
  <c r="G1023" i="3"/>
  <c r="G1053" i="3"/>
  <c r="G70" i="3"/>
  <c r="G172" i="3"/>
  <c r="G687" i="3"/>
  <c r="G372" i="3"/>
  <c r="G300" i="3"/>
  <c r="G101" i="3"/>
  <c r="G794" i="3"/>
  <c r="G417" i="3"/>
  <c r="G795" i="3"/>
  <c r="G827" i="3"/>
  <c r="G1049" i="3"/>
  <c r="G918" i="3"/>
  <c r="G423" i="3"/>
  <c r="G306" i="3"/>
  <c r="G396" i="3"/>
  <c r="G182" i="3"/>
  <c r="G908" i="3"/>
  <c r="G706" i="3"/>
  <c r="G284" i="3"/>
  <c r="G555" i="3"/>
  <c r="G384" i="3"/>
  <c r="G358" i="3"/>
  <c r="G74" i="3"/>
  <c r="G763" i="3"/>
  <c r="G810" i="3"/>
  <c r="G998" i="3"/>
  <c r="G221" i="3"/>
  <c r="G856" i="3"/>
  <c r="G926" i="3"/>
  <c r="G581" i="3"/>
  <c r="G764" i="3"/>
  <c r="G675" i="3"/>
  <c r="G63" i="3"/>
  <c r="G451" i="3"/>
  <c r="G877" i="3"/>
  <c r="G912" i="3"/>
  <c r="G501" i="3"/>
  <c r="G711" i="3"/>
  <c r="G418" i="3"/>
  <c r="G950" i="3"/>
  <c r="G563" i="3"/>
  <c r="G549" i="3"/>
  <c r="G191" i="3"/>
  <c r="G385" i="3"/>
  <c r="G492" i="3"/>
  <c r="G234" i="3"/>
  <c r="G1024" i="3"/>
  <c r="G729" i="3"/>
  <c r="G647" i="3"/>
  <c r="G309" i="3"/>
  <c r="G290" i="3"/>
  <c r="G386" i="3"/>
  <c r="G965" i="3"/>
  <c r="G183" i="3"/>
  <c r="G636" i="3"/>
  <c r="G71" i="3"/>
  <c r="G771" i="3"/>
  <c r="G556" i="3"/>
  <c r="G564" i="3"/>
  <c r="G765" i="3"/>
  <c r="G718" i="3"/>
  <c r="G166" i="3"/>
  <c r="G515" i="3"/>
  <c r="G317" i="3"/>
  <c r="G336" i="3"/>
  <c r="G259" i="3"/>
  <c r="G431" i="3"/>
  <c r="G882" i="3"/>
  <c r="G102" i="3"/>
  <c r="G610" i="3"/>
  <c r="G481" i="3"/>
  <c r="G119" i="3"/>
  <c r="G730" i="3"/>
  <c r="G987" i="3"/>
  <c r="G244" i="3"/>
  <c r="G67" i="3"/>
  <c r="G345" i="3"/>
  <c r="G494" i="3"/>
  <c r="G919" i="3"/>
  <c r="G831" i="3"/>
  <c r="G832" i="3"/>
  <c r="G52" i="3"/>
  <c r="G89" i="3"/>
  <c r="G245" i="3"/>
  <c r="G1030" i="3"/>
  <c r="G806" i="3"/>
  <c r="G988" i="3"/>
  <c r="G913" i="3"/>
  <c r="G772" i="3"/>
  <c r="G277" i="3"/>
  <c r="G652" i="3"/>
  <c r="G267" i="3"/>
  <c r="G438" i="3"/>
  <c r="G397" i="3"/>
  <c r="G17" i="3"/>
  <c r="G272" i="3"/>
  <c r="G246" i="3"/>
  <c r="G1004" i="3"/>
  <c r="G157" i="3"/>
  <c r="G1013" i="3"/>
  <c r="G1025" i="3"/>
  <c r="G653" i="3"/>
  <c r="G318" i="3"/>
  <c r="G951" i="3"/>
  <c r="G833" i="3"/>
  <c r="G961" i="3"/>
  <c r="G260" i="3"/>
  <c r="G530" i="3"/>
  <c r="G310" i="3"/>
  <c r="G755" i="3"/>
  <c r="G206" i="3"/>
  <c r="G1054" i="3"/>
  <c r="G366" i="3"/>
  <c r="G502" i="3"/>
  <c r="G641" i="3"/>
  <c r="G725" i="3"/>
  <c r="G892" i="3"/>
  <c r="G465" i="3"/>
  <c r="G402" i="3"/>
  <c r="G339" i="3"/>
  <c r="G469" i="3"/>
  <c r="G701" i="3"/>
  <c r="G682" i="3"/>
  <c r="G643" i="3"/>
  <c r="G129" i="3"/>
  <c r="G978" i="3"/>
  <c r="G645" i="3"/>
  <c r="G1031" i="3"/>
  <c r="G419" i="3"/>
  <c r="G261" i="3"/>
  <c r="G482" i="3"/>
  <c r="G408" i="3"/>
  <c r="G557" i="3"/>
  <c r="G58" i="3"/>
  <c r="G776" i="3"/>
  <c r="G285" i="3"/>
  <c r="G1005" i="3"/>
  <c r="G189" i="3"/>
  <c r="G24" i="3"/>
  <c r="G340" i="3"/>
  <c r="G756" i="3"/>
  <c r="G803" i="3"/>
  <c r="G801" i="3"/>
  <c r="G979" i="3"/>
  <c r="G565" i="3"/>
  <c r="G379" i="3"/>
  <c r="G197" i="3"/>
  <c r="G250" i="3"/>
  <c r="G432" i="3"/>
  <c r="G295" i="3"/>
  <c r="G503" i="3"/>
  <c r="G786" i="3"/>
  <c r="G319" i="3"/>
  <c r="G683" i="3"/>
  <c r="G749" i="3"/>
  <c r="G897" i="3"/>
  <c r="G934" i="3"/>
  <c r="G442" i="3"/>
  <c r="G337" i="3"/>
  <c r="G1038" i="3"/>
  <c r="G665" i="3"/>
  <c r="G989" i="3"/>
  <c r="G878" i="3"/>
  <c r="G1006" i="3"/>
  <c r="G666" i="3"/>
  <c r="G626" i="3"/>
  <c r="G214" i="3"/>
  <c r="G997" i="3"/>
  <c r="G459" i="3"/>
  <c r="G215" i="3"/>
  <c r="G173" i="3"/>
  <c r="G980" i="3"/>
  <c r="G743" i="3"/>
  <c r="G667" i="3"/>
  <c r="G235" i="3"/>
  <c r="G739" i="3"/>
  <c r="G879" i="3"/>
  <c r="G75" i="3"/>
  <c r="G712" i="3"/>
  <c r="G44" i="3"/>
  <c r="G94" i="3"/>
  <c r="G914" i="3"/>
  <c r="G64" i="3"/>
  <c r="G1039" i="3"/>
  <c r="G7" i="3"/>
  <c r="G558" i="3"/>
  <c r="G174" i="3"/>
  <c r="G858" i="3"/>
  <c r="G301" i="3"/>
  <c r="G82" i="3"/>
  <c r="G966" i="3"/>
  <c r="G192" i="3"/>
  <c r="G13" i="3"/>
  <c r="G278" i="3"/>
  <c r="G691" i="3"/>
  <c r="G620" i="3"/>
  <c r="G484" i="3"/>
  <c r="G76" i="3"/>
  <c r="G848" i="3"/>
  <c r="G868" i="3"/>
  <c r="G910" i="3"/>
  <c r="G841" i="3"/>
  <c r="G657" i="3"/>
  <c r="G900" i="3"/>
  <c r="G661" i="3"/>
  <c r="G25" i="3"/>
  <c r="G8" i="3"/>
  <c r="G303" i="3"/>
  <c r="G757" i="3"/>
  <c r="G559" i="3"/>
  <c r="G18" i="3"/>
  <c r="G26" i="3"/>
  <c r="G719" i="3"/>
  <c r="G981" i="3"/>
  <c r="G359" i="3"/>
  <c r="G731" i="3"/>
  <c r="G369" i="3"/>
  <c r="G27" i="3"/>
  <c r="G688" i="3"/>
  <c r="G952" i="3"/>
  <c r="G920" i="3"/>
  <c r="G585" i="3"/>
  <c r="G227" i="3"/>
  <c r="G137" i="3"/>
  <c r="G125" i="3"/>
  <c r="G713" i="3"/>
  <c r="G193" i="3"/>
  <c r="G311" i="3"/>
  <c r="G247" i="3"/>
  <c r="G849" i="3"/>
  <c r="G714" i="3"/>
  <c r="G332" i="3"/>
  <c r="G460" i="3"/>
  <c r="G346" i="3"/>
  <c r="G531" i="3"/>
  <c r="G103" i="3"/>
  <c r="G485" i="3"/>
  <c r="G544" i="3"/>
  <c r="G627" i="3"/>
  <c r="G777" i="3"/>
  <c r="G320" i="3"/>
  <c r="G953" i="3"/>
  <c r="G291" i="3"/>
  <c r="G387" i="3"/>
  <c r="G935" i="3"/>
  <c r="G104" i="3"/>
  <c r="G898" i="3"/>
  <c r="G893" i="3"/>
  <c r="G1032" i="3"/>
  <c r="G45" i="3"/>
  <c r="G120" i="3"/>
  <c r="G545" i="3"/>
  <c r="G504" i="3"/>
  <c r="G495" i="3"/>
  <c r="G758" i="3"/>
  <c r="G648" i="3"/>
  <c r="G72" i="3"/>
  <c r="G869" i="3"/>
  <c r="G14" i="3"/>
  <c r="G956" i="3"/>
  <c r="G216" i="3"/>
  <c r="G108" i="3"/>
  <c r="G684" i="3"/>
  <c r="G593" i="3"/>
  <c r="G883" i="3"/>
  <c r="G433" i="3"/>
  <c r="G778" i="3"/>
  <c r="G126" i="3"/>
  <c r="G720" i="3"/>
  <c r="G53" i="3"/>
  <c r="G296" i="3"/>
  <c r="G273" i="3"/>
  <c r="G943" i="3"/>
  <c r="G787" i="3"/>
  <c r="G649" i="3"/>
  <c r="G353" i="3"/>
  <c r="G59" i="3"/>
  <c r="G95" i="3"/>
  <c r="G936" i="3"/>
  <c r="G363" i="3"/>
  <c r="G744" i="3"/>
  <c r="G779" i="3"/>
  <c r="G901" i="3"/>
  <c r="G46" i="3"/>
  <c r="G228" i="3"/>
  <c r="G409" i="3"/>
  <c r="G29" i="3"/>
  <c r="G268" i="3"/>
  <c r="G807" i="3"/>
  <c r="G184" i="3"/>
  <c r="G1015" i="3"/>
  <c r="G970" i="3"/>
  <c r="G532" i="3"/>
  <c r="G96" i="3"/>
  <c r="G388" i="3"/>
  <c r="G204" i="3"/>
  <c r="G780" i="3"/>
  <c r="G312" i="3"/>
  <c r="G788" i="3"/>
  <c r="G516" i="3"/>
  <c r="G927" i="3"/>
  <c r="G740" i="3"/>
  <c r="G434" i="3"/>
  <c r="G510" i="3"/>
  <c r="G1026" i="3"/>
  <c r="G1007" i="3"/>
  <c r="G175" i="3"/>
  <c r="G940" i="3"/>
  <c r="G990" i="3"/>
  <c r="G105" i="3"/>
  <c r="G689" i="3"/>
  <c r="G1011" i="3"/>
  <c r="G452" i="3"/>
  <c r="G68" i="3"/>
  <c r="G130" i="3"/>
  <c r="G594" i="3"/>
  <c r="G302" i="3"/>
  <c r="G97" i="3"/>
  <c r="G444" i="3"/>
  <c r="G834" i="3"/>
  <c r="G1044" i="3"/>
  <c r="G842" i="3"/>
  <c r="G817" i="3"/>
  <c r="G533" i="3"/>
  <c r="G1055" i="3"/>
  <c r="G427" i="3"/>
  <c r="G37" i="3"/>
  <c r="G861" i="3"/>
  <c r="G354" i="3"/>
  <c r="G611" i="3"/>
  <c r="G668" i="3"/>
  <c r="G297" i="3"/>
  <c r="G466" i="3"/>
  <c r="G759" i="3"/>
  <c r="G496" i="3"/>
  <c r="G586" i="3"/>
  <c r="G236" i="3"/>
  <c r="G932" i="3"/>
  <c r="G804" i="3"/>
  <c r="G909" i="3"/>
  <c r="G505" i="3"/>
  <c r="G109" i="3"/>
  <c r="G1050" i="3"/>
  <c r="G850" i="3"/>
  <c r="G380" i="3"/>
  <c r="G326" i="3"/>
  <c r="G971" i="3"/>
  <c r="G90" i="3"/>
  <c r="G110" i="3"/>
  <c r="G347" i="3"/>
  <c r="G198" i="3"/>
  <c r="G506" i="3"/>
  <c r="G972" i="3"/>
  <c r="G862" i="3"/>
  <c r="G199" i="3"/>
  <c r="G1008" i="3"/>
  <c r="G517" i="3"/>
  <c r="G420" i="3"/>
  <c r="G470" i="3"/>
  <c r="G138" i="3"/>
  <c r="G121" i="3"/>
  <c r="G9" i="3"/>
  <c r="G403" i="3"/>
  <c r="G601" i="3"/>
  <c r="G471" i="3"/>
  <c r="G1033" i="3"/>
  <c r="G355" i="3"/>
  <c r="G132" i="3"/>
  <c r="G162" i="3"/>
  <c r="G117" i="3"/>
  <c r="G237" i="3"/>
  <c r="G587" i="3"/>
  <c r="G605" i="3"/>
  <c r="G766" i="3"/>
  <c r="G767" i="3"/>
  <c r="G702" i="3"/>
  <c r="G550" i="3"/>
  <c r="G133" i="3"/>
  <c r="G33" i="3"/>
  <c r="G118" i="3"/>
  <c r="G461" i="3"/>
  <c r="G760" i="3"/>
  <c r="G122" i="3"/>
  <c r="G818" i="3"/>
  <c r="G828" i="3"/>
  <c r="G428" i="3"/>
  <c r="G511" i="3"/>
  <c r="G19" i="3"/>
  <c r="G373" i="3"/>
  <c r="G560" i="3"/>
  <c r="G518" i="3"/>
  <c r="G1059" i="3"/>
  <c r="G111" i="3"/>
  <c r="G991" i="3"/>
  <c r="G773" i="3"/>
  <c r="G321" i="3"/>
  <c r="G791" i="3"/>
  <c r="G493" i="3"/>
  <c r="G217" i="3"/>
  <c r="G937" i="3"/>
  <c r="G507" i="3"/>
  <c r="G218" i="3"/>
  <c r="G176" i="3"/>
  <c r="G348" i="3"/>
  <c r="G398" i="3"/>
  <c r="G349" i="3"/>
  <c r="G676" i="3"/>
  <c r="G190" i="3"/>
  <c r="G78" i="3"/>
  <c r="G207" i="3"/>
  <c r="G595" i="3"/>
  <c r="G360" i="3"/>
  <c r="G570" i="3"/>
  <c r="G389" i="3"/>
  <c r="G658" i="3"/>
  <c r="G98" i="3"/>
  <c r="G472" i="3"/>
  <c r="G333" i="3"/>
  <c r="G327" i="3"/>
  <c r="G982" i="3"/>
  <c r="G857" i="3"/>
  <c r="G677" i="3"/>
  <c r="G819" i="3"/>
  <c r="G843" i="3"/>
  <c r="G251" i="3"/>
  <c r="G628" i="3"/>
  <c r="G139" i="3"/>
  <c r="G167" i="3"/>
  <c r="G399" i="3"/>
  <c r="G10" i="3"/>
  <c r="G534" i="3"/>
  <c r="G439" i="3"/>
  <c r="G851" i="3"/>
  <c r="G508" i="3"/>
  <c r="G435" i="3"/>
  <c r="G597" i="3"/>
  <c r="G440" i="3"/>
  <c r="G588" i="3"/>
  <c r="G895" i="3"/>
  <c r="G820" i="3"/>
  <c r="G168" i="3"/>
  <c r="G390" i="3"/>
  <c r="G424" i="3"/>
  <c r="G835" i="3"/>
  <c r="G944" i="3"/>
  <c r="G254" i="3"/>
  <c r="G654" i="3"/>
  <c r="G410" i="3"/>
  <c r="G229" i="3"/>
  <c r="G535" i="3"/>
  <c r="G421" i="3"/>
  <c r="G374" i="3"/>
  <c r="G999" i="3"/>
  <c r="G945" i="3"/>
  <c r="G863" i="3"/>
  <c r="G669" i="3"/>
  <c r="G796" i="3"/>
  <c r="G322" i="3"/>
  <c r="G429" i="3"/>
  <c r="G497" i="3"/>
  <c r="G364" i="3"/>
  <c r="G526" i="3"/>
  <c r="G477" i="3"/>
  <c r="G148" i="3"/>
  <c r="G781" i="3"/>
  <c r="G255" i="3"/>
  <c r="G811" i="3"/>
  <c r="G745" i="3"/>
  <c r="G232" i="3"/>
  <c r="G933" i="3"/>
  <c r="G1045" i="3"/>
  <c r="G750" i="3"/>
  <c r="G34" i="3"/>
  <c r="G995" i="3"/>
  <c r="G637" i="3"/>
  <c r="G967" i="3"/>
  <c r="G269" i="3"/>
  <c r="G598" i="3"/>
  <c r="G375" i="3"/>
  <c r="G946" i="3"/>
  <c r="G83" i="3"/>
  <c r="G551" i="3"/>
  <c r="G921" i="3"/>
  <c r="G685" i="3"/>
  <c r="G177" i="3"/>
  <c r="G864" i="3"/>
  <c r="G400" i="3"/>
  <c r="G313" i="3"/>
  <c r="G334" i="3"/>
  <c r="G902" i="3"/>
  <c r="G200" i="3"/>
  <c r="G975" i="3"/>
  <c r="G576" i="3"/>
  <c r="G498" i="3"/>
  <c r="G92" i="3"/>
  <c r="G606" i="3"/>
  <c r="G829" i="3"/>
  <c r="G655" i="3"/>
  <c r="G805" i="3"/>
  <c r="G539" i="3"/>
  <c r="G726" i="3"/>
  <c r="G692" i="3"/>
  <c r="G947" i="3"/>
  <c r="G571" i="3"/>
  <c r="G746" i="3"/>
  <c r="G49" i="3"/>
  <c r="G473" i="3"/>
  <c r="G957" i="3"/>
  <c r="G732" i="3"/>
  <c r="G821" i="3"/>
  <c r="G870" i="3"/>
  <c r="G112" i="3"/>
  <c r="G140" i="3"/>
  <c r="G1046" i="3"/>
  <c r="G328" i="3"/>
  <c r="G903" i="3"/>
  <c r="G911" i="3"/>
  <c r="G462" i="3"/>
  <c r="G208" i="3"/>
  <c r="G884" i="3"/>
  <c r="G616" i="3"/>
  <c r="G60" i="3"/>
  <c r="G782" i="3"/>
  <c r="G885" i="3"/>
  <c r="G928" i="3"/>
  <c r="G886" i="3"/>
  <c r="G540" i="3"/>
  <c r="G1016" i="3"/>
  <c r="G436" i="3"/>
  <c r="G589" i="3"/>
  <c r="G141" i="3"/>
  <c r="G15" i="3"/>
  <c r="G131" i="3"/>
  <c r="G341" i="3"/>
  <c r="G286" i="3"/>
  <c r="G696" i="3"/>
  <c r="G1014" i="3"/>
  <c r="G704" i="3"/>
  <c r="G768" i="3"/>
  <c r="G802" i="3"/>
  <c r="G941" i="3"/>
  <c r="G797" i="3"/>
  <c r="G287" i="3"/>
  <c r="G607" i="3"/>
  <c r="G486" i="3"/>
  <c r="G527" i="3"/>
  <c r="G642" i="3"/>
  <c r="G1051" i="3"/>
  <c r="G929" i="3"/>
  <c r="G808" i="3"/>
  <c r="G942" i="3"/>
  <c r="G690" i="3"/>
  <c r="G194" i="3"/>
  <c r="G453" i="3"/>
  <c r="G35" i="3"/>
  <c r="G659" i="3"/>
  <c r="G134" i="3"/>
  <c r="G381" i="3"/>
  <c r="G566" i="3"/>
  <c r="G113" i="3"/>
  <c r="G149" i="3"/>
  <c r="G996" i="3"/>
  <c r="G185" i="3"/>
  <c r="G455" i="3"/>
  <c r="G406" i="3"/>
  <c r="G445" i="3"/>
  <c r="G621" i="3"/>
  <c r="G262" i="3"/>
  <c r="G707" i="3"/>
  <c r="G660" i="3"/>
  <c r="G456" i="3"/>
  <c r="G650" i="3"/>
  <c r="G127" i="3"/>
  <c r="G599" i="3"/>
  <c r="G983" i="3"/>
  <c r="G954" i="3"/>
  <c r="G612" i="3"/>
  <c r="G422" i="3"/>
  <c r="G84" i="3"/>
  <c r="G391" i="3"/>
  <c r="G61" i="3"/>
  <c r="G968" i="3"/>
  <c r="G150" i="3"/>
  <c r="G679" i="3"/>
  <c r="G446" i="3"/>
  <c r="G887" i="3"/>
  <c r="G142" i="3"/>
  <c r="G930" i="3"/>
  <c r="G209" i="3"/>
  <c r="G1009" i="3"/>
  <c r="G323" i="3"/>
  <c r="G705" i="3"/>
  <c r="G222" i="3"/>
  <c r="G761" i="3"/>
  <c r="G201" i="3"/>
  <c r="G437" i="3"/>
  <c r="G774" i="3"/>
  <c r="G582" i="3"/>
  <c r="G638" i="3"/>
  <c r="G304" i="3"/>
  <c r="G546" i="3"/>
  <c r="G859" i="3"/>
  <c r="G238" i="3"/>
  <c r="G239" i="3"/>
  <c r="G871" i="3"/>
  <c r="G904" i="3"/>
  <c r="G590" i="3"/>
  <c r="G536" i="3"/>
  <c r="G38" i="3"/>
  <c r="G1000" i="3"/>
  <c r="G844" i="3"/>
  <c r="G252" i="3"/>
  <c r="G613" i="3"/>
  <c r="G812" i="3"/>
  <c r="G583" i="3"/>
  <c r="G519" i="3"/>
  <c r="G11" i="3"/>
  <c r="G962" i="3"/>
  <c r="G274" i="3"/>
  <c r="G263" i="3"/>
  <c r="G365" i="3"/>
  <c r="G1017" i="3"/>
  <c r="G963" i="3"/>
  <c r="G79" i="3"/>
  <c r="G798" i="3"/>
  <c r="G135" i="3"/>
  <c r="G733" i="3"/>
  <c r="G240" i="3"/>
  <c r="G478" i="3"/>
  <c r="G430" i="3"/>
  <c r="G253" i="3"/>
  <c r="G629" i="3"/>
  <c r="G151" i="3"/>
  <c r="G342" i="3"/>
  <c r="G915" i="3"/>
  <c r="G670" i="3"/>
  <c r="G721" i="3"/>
  <c r="G872" i="3"/>
  <c r="G411" i="3"/>
  <c r="G822" i="3"/>
  <c r="G520" i="3"/>
  <c r="G837" i="3"/>
  <c r="G528" i="3"/>
  <c r="G809" i="3"/>
  <c r="G152" i="3"/>
  <c r="G457" i="3"/>
  <c r="G463" i="3"/>
  <c r="G630" i="3"/>
  <c r="G852" i="3"/>
  <c r="G223" i="3"/>
  <c r="G922" i="3"/>
  <c r="G964" i="3"/>
  <c r="G392" i="3"/>
  <c r="G846" i="3"/>
  <c r="G813" i="3"/>
  <c r="G114" i="3"/>
  <c r="G923" i="3"/>
  <c r="G169" i="3"/>
  <c r="G412" i="3"/>
  <c r="G158" i="3"/>
  <c r="G314" i="3"/>
  <c r="G404" i="3"/>
  <c r="G153" i="3"/>
  <c r="G233" i="3"/>
  <c r="G487" i="3"/>
  <c r="G948" i="3"/>
  <c r="G186" i="3"/>
  <c r="G697" i="3"/>
  <c r="G521" i="3"/>
  <c r="G572" i="3"/>
  <c r="G823" i="3"/>
  <c r="G178" i="3"/>
  <c r="G799" i="3"/>
  <c r="G512" i="3"/>
  <c r="G577" i="3"/>
  <c r="G241" i="3"/>
  <c r="G662" i="3"/>
  <c r="G865" i="3"/>
  <c r="G734" i="3"/>
  <c r="G949" i="3"/>
  <c r="G888" i="3"/>
  <c r="G224" i="3"/>
  <c r="G769" i="3"/>
  <c r="G210" i="3"/>
  <c r="G671" i="3"/>
  <c r="G370" i="3"/>
  <c r="G179" i="3"/>
  <c r="G242" i="3"/>
  <c r="G413" i="3"/>
  <c r="G614" i="3"/>
  <c r="G853" i="3"/>
  <c r="G69" i="3"/>
  <c r="G467" i="3"/>
  <c r="G16" i="3"/>
  <c r="G663" i="3"/>
  <c r="G170" i="3"/>
  <c r="G248" i="3"/>
  <c r="G513" i="3"/>
  <c r="G775" i="3"/>
  <c r="G693" i="3"/>
  <c r="G899" i="3"/>
  <c r="G678" i="3"/>
  <c r="G552" i="3"/>
  <c r="G938" i="3"/>
  <c r="G672" i="3"/>
  <c r="G567" i="3"/>
  <c r="G969" i="3"/>
  <c r="G602" i="3"/>
  <c r="G673" i="3"/>
  <c r="G211" i="3"/>
  <c r="G115" i="3"/>
  <c r="G783" i="3"/>
  <c r="G39" i="3"/>
  <c r="G1034" i="3"/>
  <c r="G288" i="3"/>
  <c r="G376" i="3"/>
  <c r="G47" i="3"/>
  <c r="G361" i="3"/>
  <c r="G292" i="3"/>
  <c r="G735" i="3"/>
  <c r="G371" i="3"/>
  <c r="G219" i="3"/>
  <c r="G1060" i="3"/>
  <c r="G631" i="3"/>
  <c r="G784" i="3"/>
  <c r="G1012" i="3"/>
  <c r="G1052" i="3"/>
  <c r="G1047" i="3"/>
  <c r="G680" i="3"/>
  <c r="G751" i="3"/>
  <c r="G698" i="3"/>
  <c r="G146" i="3"/>
  <c r="G792" i="3"/>
  <c r="G154" i="3"/>
  <c r="G350" i="3"/>
  <c r="G1056" i="3"/>
  <c r="G747" i="3"/>
  <c r="G479" i="3"/>
  <c r="G741" i="3"/>
  <c r="G1027" i="3"/>
  <c r="G54" i="3"/>
  <c r="G1035" i="3"/>
  <c r="G984" i="3"/>
  <c r="G600" i="3"/>
  <c r="G748" i="3"/>
  <c r="G279" i="3"/>
  <c r="G578" i="3"/>
  <c r="G136" i="3"/>
  <c r="G1001" i="3"/>
  <c r="G845" i="3"/>
  <c r="G1018" i="3"/>
  <c r="G329" i="3"/>
  <c r="G393" i="3"/>
  <c r="G48" i="3"/>
  <c r="G615" i="3"/>
  <c r="G343" i="3"/>
  <c r="G1328" i="3"/>
  <c r="G20" i="3"/>
  <c r="G1905" i="3"/>
  <c r="G1657" i="3"/>
  <c r="G1820" i="3"/>
  <c r="G1648" i="3"/>
  <c r="G1128" i="3"/>
  <c r="G1927" i="3"/>
  <c r="G1380" i="3"/>
  <c r="G1691" i="3"/>
  <c r="G973" i="3"/>
  <c r="G1390" i="3"/>
  <c r="G1862" i="3"/>
  <c r="G579" i="3"/>
  <c r="G1815" i="3"/>
  <c r="G1541" i="3"/>
  <c r="G1176" i="3"/>
  <c r="G1783" i="3"/>
  <c r="G1561" i="3"/>
  <c r="G1391" i="3"/>
  <c r="G1524" i="3"/>
  <c r="G1062" i="3"/>
  <c r="G838" i="3"/>
  <c r="G1247" i="3"/>
  <c r="G1692" i="3"/>
  <c r="G889" i="3"/>
  <c r="G1436" i="3"/>
  <c r="G1906" i="3"/>
  <c r="G1711" i="3"/>
  <c r="G1870" i="3"/>
  <c r="G1424" i="3"/>
  <c r="G1866" i="3"/>
  <c r="G4" i="3"/>
  <c r="G1513" i="3"/>
  <c r="G1202" i="3"/>
  <c r="G1363" i="3"/>
  <c r="G99" i="3"/>
  <c r="G608" i="3"/>
  <c r="G1873" i="3"/>
  <c r="G1235" i="3"/>
  <c r="G1824" i="3"/>
  <c r="G1772" i="3"/>
  <c r="G894" i="3"/>
  <c r="G1188" i="3"/>
  <c r="G1096" i="3"/>
  <c r="G305" i="3"/>
  <c r="G1099" i="3"/>
  <c r="G1825" i="3"/>
  <c r="G1480" i="3"/>
  <c r="G1892" i="3"/>
  <c r="G1552" i="3"/>
  <c r="G1801" i="3"/>
  <c r="G1130" i="3"/>
  <c r="G1386" i="3"/>
  <c r="G1364" i="3"/>
  <c r="G1117" i="3"/>
  <c r="G1854" i="3"/>
  <c r="G1856" i="3"/>
  <c r="G1789" i="3"/>
  <c r="G264" i="3"/>
  <c r="G483" i="3"/>
  <c r="G1553" i="3"/>
  <c r="G1294" i="3"/>
  <c r="G1767" i="3"/>
  <c r="G1146" i="3"/>
  <c r="G230" i="3"/>
  <c r="G21" i="3"/>
  <c r="G1215" i="3"/>
  <c r="G1703" i="3"/>
  <c r="G708" i="3"/>
  <c r="G1554" i="3"/>
  <c r="G1127" i="3"/>
  <c r="G890" i="3"/>
  <c r="G1669" i="3"/>
  <c r="G1316" i="3"/>
  <c r="G1459" i="3"/>
  <c r="G1633" i="3"/>
  <c r="G1299" i="3"/>
  <c r="G1471" i="3"/>
  <c r="G50" i="3"/>
  <c r="G609" i="3"/>
  <c r="G401" i="3"/>
  <c r="G1889" i="3"/>
  <c r="G1834" i="3"/>
  <c r="G1615" i="3"/>
  <c r="G1850" i="3"/>
  <c r="G824" i="3"/>
  <c r="G1444" i="3"/>
  <c r="G187" i="3"/>
  <c r="G1775" i="3"/>
  <c r="G1244" i="3"/>
  <c r="G1496" i="3"/>
  <c r="G1461" i="3"/>
  <c r="G814" i="3"/>
  <c r="G1301" i="3"/>
  <c r="G699" i="3"/>
  <c r="G212" i="3"/>
  <c r="G1189" i="3"/>
  <c r="G1469" i="3"/>
  <c r="G1509" i="3"/>
  <c r="G1195" i="3"/>
  <c r="G1899" i="3"/>
  <c r="G1682" i="3"/>
  <c r="G1837" i="3"/>
  <c r="G1318" i="3"/>
  <c r="G1527" i="3"/>
  <c r="G1749" i="3"/>
  <c r="G1649" i="3"/>
  <c r="G1838" i="3"/>
  <c r="G1385" i="3"/>
  <c r="G1298" i="3"/>
  <c r="G1769" i="3"/>
  <c r="G1855" i="3"/>
  <c r="G1448" i="3"/>
  <c r="G1322" i="3"/>
  <c r="G1841" i="3"/>
  <c r="G866" i="3"/>
  <c r="G1671" i="3"/>
  <c r="G1806" i="3"/>
  <c r="G1350" i="3"/>
  <c r="G1325" i="3"/>
  <c r="G1124" i="3"/>
  <c r="G1678" i="3"/>
  <c r="G1110" i="3"/>
  <c r="G1781" i="3"/>
  <c r="G1555" i="3"/>
  <c r="G1147" i="3"/>
  <c r="G1696" i="3"/>
  <c r="G1709" i="3"/>
  <c r="G1411" i="3"/>
  <c r="G1360" i="3"/>
  <c r="G1544" i="3"/>
  <c r="G1095" i="3"/>
  <c r="G1139" i="3"/>
  <c r="G1312" i="3"/>
  <c r="G407" i="3"/>
  <c r="G1645" i="3"/>
  <c r="G1160" i="3"/>
  <c r="G1151" i="3"/>
  <c r="G1828" i="3"/>
  <c r="G1510" i="3"/>
  <c r="G1629" i="3"/>
  <c r="G1829" i="3"/>
  <c r="G1144" i="3"/>
  <c r="G1466" i="3"/>
  <c r="G55" i="3"/>
  <c r="G1403" i="3"/>
  <c r="G1894" i="3"/>
  <c r="G1040" i="3"/>
  <c r="G447" i="3"/>
  <c r="G1105" i="3"/>
  <c r="G1653" i="3"/>
  <c r="G1276" i="3"/>
  <c r="G1365" i="3"/>
  <c r="G1465" i="3"/>
  <c r="G1688" i="3"/>
  <c r="G1100" i="3"/>
  <c r="G1616" i="3"/>
  <c r="G1352" i="3"/>
  <c r="G1568" i="3"/>
  <c r="G1639" i="3"/>
  <c r="G1366" i="3"/>
  <c r="G1324" i="3"/>
  <c r="G1727" i="3"/>
  <c r="G85" i="3"/>
  <c r="G488" i="3"/>
  <c r="G1171" i="3"/>
  <c r="G1076" i="3"/>
  <c r="G1272" i="3"/>
  <c r="G1618" i="3"/>
  <c r="G1107" i="3"/>
  <c r="G1187" i="3"/>
  <c r="G1591" i="3"/>
  <c r="G1495" i="3"/>
  <c r="G1243" i="3"/>
  <c r="G1347" i="3"/>
  <c r="G1462" i="3"/>
  <c r="G1425" i="3"/>
  <c r="G1220" i="3"/>
  <c r="G1296" i="3"/>
  <c r="G1672" i="3"/>
  <c r="G1455" i="3"/>
  <c r="G1210" i="3"/>
  <c r="G1118" i="3"/>
  <c r="G1203" i="3"/>
  <c r="G639" i="3"/>
  <c r="G1923" i="3"/>
  <c r="G1705" i="3"/>
  <c r="G1270" i="3"/>
  <c r="G1810" i="3"/>
  <c r="G1399" i="3"/>
  <c r="G1761" i="3"/>
  <c r="G12" i="3"/>
  <c r="G1583" i="3"/>
  <c r="G1813" i="3"/>
  <c r="G1439" i="3"/>
  <c r="G1341" i="3"/>
  <c r="G1282" i="3"/>
  <c r="G280" i="3"/>
  <c r="G1019" i="3"/>
  <c r="G1406" i="3"/>
  <c r="G1233" i="3"/>
  <c r="G1537" i="3"/>
  <c r="G1683" i="3"/>
  <c r="G1375" i="3"/>
  <c r="G1542" i="3"/>
  <c r="G1317" i="3"/>
  <c r="G1689" i="3"/>
  <c r="G265" i="3"/>
  <c r="G1067" i="3"/>
  <c r="G1132" i="3"/>
  <c r="G1450" i="3"/>
  <c r="G715" i="3"/>
  <c r="G1871" i="3"/>
  <c r="G1164" i="3"/>
  <c r="G1308" i="3"/>
  <c r="G1830" i="3"/>
  <c r="G1625" i="3"/>
  <c r="G1361" i="3"/>
  <c r="G664" i="3"/>
  <c r="G155" i="3"/>
  <c r="G1929" i="3"/>
  <c r="G1547" i="3"/>
  <c r="G1525" i="3"/>
  <c r="G1734" i="3"/>
  <c r="G1097" i="3"/>
  <c r="G1636" i="3"/>
  <c r="G867" i="3"/>
  <c r="G1654" i="3"/>
  <c r="G1698" i="3"/>
  <c r="G1082" i="3"/>
  <c r="G1606" i="3"/>
  <c r="G1779" i="3"/>
  <c r="G752" i="3"/>
  <c r="G1546" i="3"/>
  <c r="G522" i="3"/>
  <c r="G1851" i="3"/>
  <c r="G1545" i="3"/>
  <c r="G1569" i="3"/>
  <c r="G202" i="3"/>
  <c r="G1191" i="3"/>
  <c r="G1723" i="3"/>
  <c r="G1313" i="3"/>
  <c r="G171" i="3"/>
  <c r="G1492" i="3"/>
  <c r="G1238" i="3"/>
  <c r="G1664" i="3"/>
  <c r="G716" i="3"/>
  <c r="G474" i="3"/>
  <c r="G1858" i="3"/>
  <c r="G1173" i="3"/>
  <c r="G1208" i="3"/>
  <c r="G1674" i="3"/>
  <c r="G1285" i="3"/>
  <c r="G958" i="3"/>
  <c r="G1066" i="3"/>
  <c r="G722" i="3"/>
  <c r="G1722" i="3"/>
  <c r="G1437" i="3"/>
  <c r="G1823" i="3"/>
  <c r="G1925" i="3"/>
  <c r="G1240" i="3"/>
  <c r="G1426" i="3"/>
  <c r="G1381" i="3"/>
  <c r="G1863" i="3"/>
  <c r="G1138" i="3"/>
  <c r="G1770" i="3"/>
  <c r="G905" i="3"/>
  <c r="G1123" i="3"/>
  <c r="G1864" i="3"/>
  <c r="G1762" i="3"/>
  <c r="G1888" i="3"/>
  <c r="G1358" i="3"/>
  <c r="G1922" i="3"/>
  <c r="G1741" i="3"/>
  <c r="G591" i="3"/>
  <c r="G1367" i="3"/>
  <c r="G1643" i="3"/>
  <c r="G1859" i="3"/>
  <c r="G1319" i="3"/>
  <c r="G382" i="3"/>
  <c r="G1844" i="3"/>
  <c r="G425" i="3"/>
  <c r="G1200" i="3"/>
  <c r="G1521" i="3"/>
  <c r="G815" i="3"/>
  <c r="G344" i="3"/>
  <c r="G694" i="3"/>
  <c r="G1140" i="3"/>
  <c r="G1540" i="3"/>
  <c r="G1549" i="3"/>
  <c r="G1500" i="3"/>
  <c r="G1449" i="3"/>
  <c r="G1644" i="3"/>
  <c r="G1204" i="3"/>
  <c r="G1254" i="3"/>
  <c r="G1511" i="3"/>
  <c r="G1427" i="3"/>
  <c r="G1172" i="3"/>
  <c r="G1329" i="3"/>
  <c r="G1387" i="3"/>
  <c r="G1517" i="3"/>
  <c r="G1302" i="3"/>
  <c r="G537" i="3"/>
  <c r="G1728" i="3"/>
  <c r="G1630" i="3"/>
  <c r="G632" i="3"/>
  <c r="G1802" i="3"/>
  <c r="G1637" i="3"/>
  <c r="G1563" i="3"/>
  <c r="G1287" i="3"/>
  <c r="G1163" i="3"/>
  <c r="G633" i="3"/>
  <c r="G1273" i="3"/>
  <c r="G116" i="3"/>
  <c r="G1918" i="3"/>
  <c r="G1205" i="3"/>
  <c r="G939" i="3"/>
  <c r="G1737" i="3"/>
  <c r="G1895" i="3"/>
  <c r="G1531" i="3"/>
  <c r="G1336" i="3"/>
  <c r="G1773" i="3"/>
  <c r="G1613" i="3"/>
  <c r="G1868" i="3"/>
  <c r="G1234" i="3"/>
  <c r="G464" i="3"/>
  <c r="G1307" i="3"/>
  <c r="G1786" i="3"/>
  <c r="G580" i="3"/>
  <c r="G1108" i="3"/>
  <c r="G1306" i="3"/>
  <c r="G1501" i="3"/>
  <c r="G1269" i="3"/>
  <c r="G1414" i="3"/>
  <c r="G414" i="3"/>
  <c r="G1266" i="3"/>
  <c r="G1816" i="3"/>
  <c r="G1193" i="3"/>
  <c r="G1673" i="3"/>
  <c r="G1218" i="3"/>
  <c r="G1077" i="3"/>
  <c r="G1216" i="3"/>
  <c r="G1712" i="3"/>
  <c r="G924" i="3"/>
  <c r="G405" i="3"/>
  <c r="G1394" i="3"/>
  <c r="G1550" i="3"/>
  <c r="G1916" i="3"/>
  <c r="G1745" i="3"/>
  <c r="G1719" i="3"/>
  <c r="G1345" i="3"/>
  <c r="G1852" i="3"/>
  <c r="G1777" i="3"/>
  <c r="G1057" i="3"/>
  <c r="G1242" i="3"/>
  <c r="G1603" i="3"/>
  <c r="G1893" i="3"/>
  <c r="G1484" i="3"/>
  <c r="G1314" i="3"/>
  <c r="G1338" i="3"/>
  <c r="G1701" i="3"/>
  <c r="G1154" i="3"/>
  <c r="G1710" i="3"/>
  <c r="G1255" i="3"/>
  <c r="G1382" i="3"/>
  <c r="G1419" i="3"/>
  <c r="G1288" i="3"/>
  <c r="G1919" i="3"/>
  <c r="G891" i="3"/>
  <c r="G1751" i="3"/>
  <c r="G1063" i="3"/>
  <c r="G1738" i="3"/>
  <c r="G1518" i="3"/>
  <c r="G762" i="3"/>
  <c r="G1817" i="3"/>
  <c r="G1115" i="3"/>
  <c r="G270" i="3"/>
  <c r="G1565" i="3"/>
  <c r="G1357" i="3"/>
  <c r="G1818" i="3"/>
  <c r="G1245" i="3"/>
  <c r="G1464" i="3"/>
  <c r="G1878" i="3"/>
  <c r="G561" i="3"/>
  <c r="G1640" i="3"/>
  <c r="G1790" i="3"/>
  <c r="G1402" i="3"/>
  <c r="G1797" i="3"/>
  <c r="G686" i="3"/>
  <c r="G1157" i="3"/>
  <c r="G441" i="3"/>
  <c r="G1320" i="3"/>
  <c r="G1225" i="3"/>
  <c r="G1323" i="3"/>
  <c r="G220" i="3"/>
  <c r="G1661" i="3"/>
  <c r="G1814" i="3"/>
  <c r="G1861" i="3"/>
  <c r="G1227" i="3"/>
  <c r="G1528" i="3"/>
  <c r="G1304" i="3"/>
  <c r="G1141" i="3"/>
  <c r="G1562" i="3"/>
  <c r="G1725" i="3"/>
  <c r="G1896" i="3"/>
  <c r="G298" i="3"/>
  <c r="G394" i="3"/>
  <c r="G1595" i="3"/>
  <c r="G1556" i="3"/>
  <c r="G1274" i="3"/>
  <c r="G1236" i="3"/>
  <c r="G1398" i="3"/>
  <c r="G1739" i="3"/>
  <c r="G1677" i="3"/>
  <c r="G1605" i="3"/>
  <c r="G873" i="3"/>
  <c r="G1902" i="3"/>
  <c r="G159" i="3"/>
  <c r="G793" i="3"/>
  <c r="G1796" i="3"/>
  <c r="G1522" i="3"/>
  <c r="G1604" i="3"/>
  <c r="G1716" i="3"/>
  <c r="G1309" i="3"/>
  <c r="G180" i="3"/>
  <c r="G695" i="3"/>
  <c r="G351" i="3"/>
  <c r="G1091" i="3"/>
  <c r="G1713" i="3"/>
  <c r="G1566" i="3"/>
  <c r="G674" i="3"/>
  <c r="G1133" i="3"/>
  <c r="G1326" i="3"/>
  <c r="G1111" i="3"/>
  <c r="G785" i="3"/>
  <c r="G523" i="3"/>
  <c r="G256" i="3"/>
  <c r="G1167" i="3"/>
  <c r="G1891" i="3"/>
  <c r="G1256" i="3"/>
  <c r="G1809" i="3"/>
  <c r="G1529" i="3"/>
  <c r="G1289" i="3"/>
  <c r="G1114" i="3"/>
  <c r="G1911" i="3"/>
  <c r="G1811" i="3"/>
  <c r="G1848" i="3"/>
  <c r="G874" i="3"/>
  <c r="G1748" i="3"/>
  <c r="G1209" i="3"/>
  <c r="G1879" i="3"/>
  <c r="G1491" i="3"/>
  <c r="G1655" i="3"/>
  <c r="G1194" i="3"/>
  <c r="G1036" i="3"/>
  <c r="G1693" i="3"/>
  <c r="G875" i="3"/>
  <c r="G1376" i="3"/>
  <c r="G1401" i="3"/>
  <c r="G1344" i="3"/>
  <c r="G1377" i="3"/>
  <c r="G1827" i="3"/>
  <c r="G1190" i="3"/>
  <c r="G1374" i="3"/>
  <c r="G123" i="3"/>
  <c r="G475" i="3"/>
  <c r="G1890" i="3"/>
  <c r="G1261" i="3"/>
  <c r="G1388" i="3"/>
  <c r="G1332" i="3"/>
  <c r="G1920" i="3"/>
  <c r="G1101" i="3"/>
  <c r="G1072" i="3"/>
  <c r="G1497" i="3"/>
  <c r="G257" i="3"/>
  <c r="G1594" i="3"/>
  <c r="G1853" i="3"/>
  <c r="G1428" i="3"/>
  <c r="G1081" i="3"/>
  <c r="G1559" i="3"/>
  <c r="G1088" i="3"/>
  <c r="G271" i="3"/>
  <c r="G541" i="3"/>
  <c r="G1283" i="3"/>
  <c r="G1211" i="3"/>
  <c r="G1647" i="3"/>
  <c r="G1346" i="3"/>
  <c r="G542" i="3"/>
  <c r="G1607" i="3"/>
  <c r="G1704" i="3"/>
  <c r="G753" i="3"/>
  <c r="G31" i="3"/>
  <c r="G1913" i="3"/>
  <c r="G1456" i="3"/>
  <c r="G1874" i="3"/>
  <c r="G860" i="3"/>
  <c r="G1277" i="3"/>
  <c r="G1576" i="3"/>
  <c r="G1881" i="3"/>
  <c r="G1831" i="3"/>
  <c r="G1826" i="3"/>
  <c r="G1353" i="3"/>
  <c r="G1355" i="3"/>
  <c r="G1573" i="3"/>
  <c r="G1064" i="3"/>
  <c r="G1684" i="3"/>
  <c r="G1914" i="3"/>
  <c r="G1165" i="3"/>
  <c r="G1199" i="3"/>
  <c r="G1161" i="3"/>
  <c r="G1570" i="3"/>
  <c r="G307" i="3"/>
  <c r="G1857" i="3"/>
  <c r="G1702" i="3"/>
  <c r="G468" i="3"/>
  <c r="G1574" i="3"/>
  <c r="G1490" i="3"/>
  <c r="G1086" i="3"/>
  <c r="G1431" i="3"/>
  <c r="G1668" i="3"/>
  <c r="G1577" i="3"/>
  <c r="G1804" i="3"/>
  <c r="G1223" i="3"/>
  <c r="G651" i="3"/>
  <c r="G974" i="3"/>
  <c r="G1434" i="3"/>
  <c r="G1262" i="3"/>
  <c r="G1421" i="3"/>
  <c r="G700" i="3"/>
  <c r="G1663" i="3"/>
  <c r="G1078" i="3"/>
  <c r="G1776" i="3"/>
  <c r="G22" i="3"/>
  <c r="G1685" i="3"/>
  <c r="G124" i="3"/>
  <c r="G1177" i="3"/>
  <c r="G1342" i="3"/>
  <c r="G1600" i="3"/>
  <c r="G1650" i="3"/>
  <c r="G1443" i="3"/>
  <c r="G1295" i="3"/>
  <c r="G1429" i="3"/>
  <c r="G1252" i="3"/>
  <c r="G1759" i="3"/>
  <c r="G1085" i="3"/>
  <c r="G1112" i="3"/>
  <c r="G1337" i="3"/>
  <c r="G1222" i="3"/>
  <c r="G854" i="3"/>
  <c r="G1145" i="3"/>
  <c r="G1028" i="3"/>
  <c r="G1883" i="3"/>
  <c r="G1821" i="3"/>
  <c r="G1659" i="3"/>
  <c r="G1694" i="3"/>
  <c r="G617" i="3"/>
  <c r="G161" i="3"/>
  <c r="G1410" i="3"/>
  <c r="G1585" i="3"/>
  <c r="G1291" i="3"/>
  <c r="G36" i="3"/>
  <c r="G1430" i="3"/>
  <c r="G1460" i="3"/>
  <c r="G1279" i="3"/>
  <c r="G65" i="3"/>
  <c r="G86" i="3"/>
  <c r="G1422" i="3"/>
  <c r="G1658" i="3"/>
  <c r="G1142" i="3"/>
  <c r="G1432" i="3"/>
  <c r="G1162" i="3"/>
  <c r="G87" i="3"/>
  <c r="G1383" i="3"/>
  <c r="G1747" i="3"/>
  <c r="G1623" i="3"/>
  <c r="G1602" i="3"/>
  <c r="G1303" i="3"/>
  <c r="G1742" i="3"/>
  <c r="G1885" i="3"/>
  <c r="G1860" i="3"/>
  <c r="G976" i="3"/>
  <c r="G584" i="3"/>
  <c r="G1867" i="3"/>
  <c r="G514" i="3"/>
  <c r="G1415" i="3"/>
  <c r="G825" i="3"/>
  <c r="G1102" i="3"/>
  <c r="G1048" i="3"/>
  <c r="G1534" i="3"/>
  <c r="G1417" i="3"/>
  <c r="G1119" i="3"/>
  <c r="G1750" i="3"/>
  <c r="G1228" i="3"/>
  <c r="G1134" i="3"/>
  <c r="G1730" i="3"/>
  <c r="G1267" i="3"/>
  <c r="G415" i="3"/>
  <c r="G1248" i="3"/>
  <c r="G1909" i="3"/>
  <c r="G1275" i="3"/>
  <c r="G1335" i="3"/>
  <c r="G1478" i="3"/>
  <c r="G1109" i="3"/>
  <c r="G1621" i="3"/>
  <c r="G1083" i="3"/>
  <c r="G1181" i="3"/>
  <c r="G1609" i="3"/>
  <c r="G1766" i="3"/>
  <c r="G1793" i="3"/>
  <c r="G426" i="3"/>
  <c r="G1207" i="3"/>
  <c r="G1250" i="3"/>
  <c r="G1153" i="3"/>
  <c r="G1752" i="3"/>
  <c r="G1721" i="3"/>
  <c r="G1263" i="3"/>
  <c r="G1239" i="3"/>
  <c r="G622" i="3"/>
  <c r="G1875" i="3"/>
  <c r="G1475" i="3"/>
  <c r="G1065" i="3"/>
  <c r="G1504" i="3"/>
  <c r="G1445" i="3"/>
  <c r="G985" i="3"/>
  <c r="G1608" i="3"/>
  <c r="G1700" i="3"/>
  <c r="G1457" i="3"/>
  <c r="G143" i="3"/>
  <c r="G1903" i="3"/>
  <c r="G1662" i="3"/>
  <c r="G1339" i="3"/>
  <c r="G1887" i="3"/>
  <c r="G1635" i="3"/>
  <c r="G1071" i="3"/>
  <c r="G1310" i="3"/>
  <c r="G1733" i="3"/>
  <c r="G1169" i="3"/>
  <c r="G1774" i="3"/>
  <c r="G1619" i="3"/>
  <c r="G362" i="3"/>
  <c r="G1755" i="3"/>
  <c r="G1794" i="3"/>
  <c r="G1731" i="3"/>
  <c r="G1732" i="3"/>
  <c r="G1278" i="3"/>
  <c r="G1601" i="3"/>
  <c r="G1378" i="3"/>
  <c r="G770" i="3"/>
  <c r="G1551" i="3"/>
  <c r="G1185" i="3"/>
  <c r="G1106" i="3"/>
  <c r="G1120" i="3"/>
  <c r="G1143" i="3"/>
  <c r="G1080" i="3"/>
  <c r="G1435" i="3"/>
  <c r="G1166" i="3"/>
  <c r="G925" i="3"/>
  <c r="G1715" i="3"/>
  <c r="G1333" i="3"/>
  <c r="G1479" i="3"/>
  <c r="G1670" i="3"/>
  <c r="G1706" i="3"/>
  <c r="G1697" i="3"/>
  <c r="G1373" i="3"/>
  <c r="G1451" i="3"/>
  <c r="G1395" i="3"/>
  <c r="G618" i="3"/>
  <c r="G1487" i="3"/>
  <c r="G623" i="3"/>
  <c r="G1135" i="3"/>
  <c r="G1708" i="3"/>
  <c r="G1442" i="3"/>
  <c r="G1760" i="3"/>
  <c r="G1241" i="3"/>
  <c r="G1440" i="3"/>
  <c r="G1758" i="3"/>
  <c r="G1686" i="3"/>
  <c r="G213" i="3"/>
  <c r="G1690" i="3"/>
  <c r="G1651" i="3"/>
  <c r="G1315" i="3"/>
  <c r="G1446" i="3"/>
  <c r="G1073" i="3"/>
  <c r="G1297" i="3"/>
  <c r="G553" i="3"/>
  <c r="G1666" i="3"/>
  <c r="G1768" i="3"/>
  <c r="G1578" i="3"/>
  <c r="G1679" i="3"/>
  <c r="G1113" i="3"/>
  <c r="G1175" i="3"/>
  <c r="G1819" i="3"/>
  <c r="G163" i="3"/>
  <c r="G1327" i="3"/>
  <c r="G1129" i="3"/>
  <c r="G1224" i="3"/>
  <c r="G1807" i="3"/>
  <c r="G1753" i="3"/>
  <c r="G458" i="3"/>
  <c r="G1311" i="3"/>
  <c r="G1656" i="3"/>
  <c r="G1523" i="3"/>
  <c r="G1158" i="3"/>
  <c r="G1714" i="3"/>
  <c r="G1886" i="3"/>
  <c r="G1617" i="3"/>
  <c r="G144" i="3"/>
  <c r="G1795" i="3"/>
  <c r="G1792" i="3"/>
  <c r="G1584" i="3"/>
  <c r="G1822" i="3"/>
  <c r="G1182" i="3"/>
  <c r="G1068" i="3"/>
  <c r="G1407" i="3"/>
  <c r="G1520" i="3"/>
  <c r="G1393" i="3"/>
  <c r="G1029" i="3"/>
  <c r="G1675" i="3"/>
  <c r="G1260" i="3"/>
  <c r="G1174" i="3"/>
  <c r="G1571" i="3"/>
  <c r="G281" i="3"/>
  <c r="G1717" i="3"/>
  <c r="G1843" i="3"/>
  <c r="G1729" i="3"/>
  <c r="G1907" i="3"/>
  <c r="G1098" i="3"/>
  <c r="G1372" i="3"/>
  <c r="G1257" i="3"/>
  <c r="G619" i="3"/>
  <c r="G1103" i="3"/>
  <c r="G1379" i="3"/>
  <c r="G1560" i="3"/>
  <c r="G1507" i="3"/>
  <c r="G367" i="3"/>
  <c r="G1420" i="3"/>
  <c r="G1835" i="3"/>
  <c r="G66" i="3"/>
  <c r="G1232" i="3"/>
  <c r="G1880" i="3"/>
  <c r="G1196" i="3"/>
  <c r="G723" i="3"/>
  <c r="G1258" i="3"/>
  <c r="G1805" i="3"/>
  <c r="G1423" i="3"/>
  <c r="G1094" i="3"/>
  <c r="G1292" i="3"/>
  <c r="G1370" i="3"/>
  <c r="G1910" i="3"/>
  <c r="G315" i="3"/>
  <c r="G1928" i="3"/>
  <c r="G789" i="3"/>
  <c r="G1641" i="3"/>
  <c r="G1152" i="3"/>
  <c r="G489" i="3"/>
  <c r="G225" i="3"/>
  <c r="G1869" i="3"/>
  <c r="G1087" i="3"/>
  <c r="G1842" i="3"/>
  <c r="G1788" i="3"/>
  <c r="G1408" i="3"/>
  <c r="G1280" i="3"/>
  <c r="G1626" i="3"/>
  <c r="G1840" i="3"/>
  <c r="G1246" i="3"/>
  <c r="G1334" i="3"/>
  <c r="G1930" i="3"/>
  <c r="G1676" i="3"/>
  <c r="G443" i="3"/>
  <c r="G1493" i="3"/>
  <c r="G509" i="3"/>
  <c r="G1389" i="3"/>
  <c r="G727" i="3"/>
  <c r="G1557" i="3"/>
  <c r="G1757" i="3"/>
  <c r="G1264" i="3"/>
  <c r="G395" i="3"/>
  <c r="G1505" i="3"/>
  <c r="G1482" i="3"/>
  <c r="G330" i="3"/>
  <c r="G1305" i="3"/>
  <c r="G1588" i="3"/>
  <c r="G1915" i="3"/>
  <c r="G709" i="3"/>
  <c r="G1093" i="3"/>
  <c r="G1170" i="3"/>
  <c r="G1125" i="3"/>
  <c r="G1506" i="3"/>
  <c r="G1197" i="3"/>
  <c r="G1743" i="3"/>
  <c r="G1667" i="3"/>
  <c r="G1624" i="3"/>
  <c r="G1231" i="3"/>
  <c r="G1865" i="3"/>
  <c r="G1503" i="3"/>
  <c r="G147" i="3"/>
  <c r="G1632" i="3"/>
  <c r="G1627" i="3"/>
  <c r="G1226" i="3"/>
  <c r="G1897" i="3"/>
  <c r="G1483" i="3"/>
  <c r="G1476" i="3"/>
  <c r="G790" i="3"/>
  <c r="G1474" i="3"/>
  <c r="G1898" i="3"/>
  <c r="G1020" i="3"/>
  <c r="G1778" i="3"/>
  <c r="G1746" i="3"/>
  <c r="G1832" i="3"/>
  <c r="G1924" i="3"/>
  <c r="G1371" i="3"/>
  <c r="G1441" i="3"/>
  <c r="G1192" i="3"/>
  <c r="G959" i="3"/>
  <c r="G1368" i="3"/>
  <c r="G195" i="3"/>
  <c r="G476" i="3"/>
  <c r="G293" i="3"/>
  <c r="G1089" i="3"/>
  <c r="G1515" i="3"/>
  <c r="G1074" i="3"/>
  <c r="G106" i="3"/>
  <c r="G1418" i="3"/>
  <c r="G1356" i="3"/>
  <c r="G5" i="3"/>
  <c r="G1136" i="3"/>
  <c r="G1477" i="3"/>
  <c r="G331" i="3"/>
  <c r="G836" i="3"/>
  <c r="G1681" i="3"/>
  <c r="G1622" i="3"/>
  <c r="G1592" i="3"/>
  <c r="G524" i="3"/>
  <c r="G448" i="3"/>
  <c r="G1593" i="3"/>
  <c r="G1221" i="3"/>
  <c r="G1744" i="3"/>
  <c r="G1438" i="3"/>
  <c r="G1284" i="3"/>
  <c r="G1926" i="3"/>
  <c r="G1687" i="3"/>
  <c r="G1502" i="3"/>
  <c r="G1084" i="3"/>
  <c r="G1463" i="3"/>
  <c r="G324" i="3"/>
  <c r="G1782" i="3"/>
  <c r="G1259" i="3"/>
  <c r="G1756" i="3"/>
  <c r="G1413" i="3"/>
  <c r="G1290" i="3"/>
  <c r="G1917" i="3"/>
  <c r="G1433" i="3"/>
  <c r="G1612" i="3"/>
  <c r="G1812" i="3"/>
  <c r="G1882" i="3"/>
  <c r="G1351" i="3"/>
  <c r="G1488" i="3"/>
  <c r="G1833" i="3"/>
  <c r="G1092" i="3"/>
  <c r="G1354" i="3"/>
  <c r="G1180" i="3"/>
  <c r="G416" i="3"/>
  <c r="G1265" i="3"/>
  <c r="G1849" i="3"/>
  <c r="G1803" i="3"/>
  <c r="G1646" i="3"/>
  <c r="G181" i="3"/>
  <c r="G1384" i="3"/>
  <c r="G1485" i="3"/>
  <c r="G1847" i="3"/>
  <c r="G1404" i="3"/>
  <c r="G1736" i="3"/>
  <c r="G1486" i="3"/>
  <c r="G1763" i="3"/>
  <c r="G1539" i="3"/>
  <c r="G1268" i="3"/>
  <c r="G1498" i="3"/>
  <c r="G554" i="3"/>
  <c r="G40" i="3"/>
  <c r="G1396" i="3"/>
  <c r="G1589" i="3"/>
  <c r="G1921" i="3"/>
  <c r="G1784" i="3"/>
  <c r="G1780" i="3"/>
  <c r="G1249" i="3"/>
  <c r="G1472" i="3"/>
  <c r="G1572" i="3"/>
  <c r="G1508" i="3"/>
  <c r="G1526" i="3"/>
  <c r="G1155" i="3"/>
  <c r="G1178" i="3"/>
  <c r="G1610" i="3"/>
  <c r="G592" i="3"/>
  <c r="G1359" i="3"/>
  <c r="G338" i="3"/>
  <c r="G1217" i="3"/>
  <c r="G1148" i="3"/>
  <c r="G1564" i="3"/>
  <c r="G1206" i="3"/>
  <c r="G1808" i="3"/>
  <c r="G1149" i="3"/>
  <c r="G1126" i="3"/>
  <c r="G1581" i="3"/>
  <c r="G1642" i="3"/>
  <c r="G1904" i="3"/>
  <c r="G1839" i="3"/>
  <c r="G1575" i="3"/>
  <c r="G1179" i="3"/>
  <c r="G1021" i="3"/>
  <c r="G830" i="3"/>
  <c r="G1405" i="3"/>
  <c r="G1695" i="3"/>
  <c r="G1104" i="3"/>
  <c r="G1846" i="3"/>
  <c r="G299" i="3"/>
  <c r="G1740" i="3"/>
  <c r="G107" i="3"/>
  <c r="G249" i="3"/>
  <c r="G1614" i="3"/>
  <c r="G640" i="3"/>
  <c r="G1286" i="3"/>
  <c r="G1321" i="3"/>
  <c r="G1253" i="3"/>
  <c r="G681" i="3"/>
  <c r="G1447" i="3"/>
  <c r="G1121" i="3"/>
  <c r="G1349" i="3"/>
  <c r="G1631" i="3"/>
  <c r="G839" i="3"/>
  <c r="G1069" i="3"/>
  <c r="G1620" i="3"/>
  <c r="G1611" i="3"/>
  <c r="G1548" i="3"/>
  <c r="G51" i="3"/>
  <c r="G1183" i="3"/>
  <c r="G1293" i="3"/>
  <c r="G1586" i="3"/>
  <c r="G547" i="3"/>
  <c r="G1590" i="3"/>
  <c r="G1409" i="3"/>
  <c r="G1137" i="3"/>
  <c r="G1538" i="3"/>
  <c r="G1519" i="3"/>
  <c r="G1628" i="3"/>
  <c r="G754" i="3"/>
  <c r="G1798" i="3"/>
  <c r="G1771" i="3"/>
  <c r="G1845" i="3"/>
  <c r="G573" i="3"/>
  <c r="G1397" i="3"/>
  <c r="G1652" i="3"/>
  <c r="G1532" i="3"/>
  <c r="G646" i="3"/>
  <c r="G1156" i="3"/>
  <c r="G624" i="3"/>
  <c r="G1720" i="3"/>
  <c r="G1579" i="3"/>
  <c r="G93" i="3"/>
  <c r="G562" i="3"/>
  <c r="G1271" i="3"/>
  <c r="G1281" i="3"/>
  <c r="G188" i="3"/>
  <c r="G1468" i="3"/>
  <c r="G1452" i="3"/>
  <c r="G6" i="3"/>
  <c r="G1764" i="3"/>
  <c r="G480" i="3"/>
  <c r="G1726" i="3"/>
  <c r="G1516" i="3"/>
  <c r="G1912" i="3"/>
  <c r="G1533" i="3"/>
  <c r="G1558" i="3"/>
  <c r="G1186" i="3"/>
  <c r="G1836" i="3"/>
  <c r="G1392" i="3"/>
  <c r="G1473" i="3"/>
  <c r="G1070" i="3"/>
  <c r="G1580" i="3"/>
  <c r="G1596" i="3"/>
  <c r="G1331" i="3"/>
  <c r="G1900" i="3"/>
  <c r="G1219" i="3"/>
  <c r="G1237" i="3"/>
  <c r="G1765" i="3"/>
  <c r="G282" i="3"/>
  <c r="G1754" i="3"/>
  <c r="G1079" i="3"/>
  <c r="G1787" i="3"/>
  <c r="G1330" i="3"/>
  <c r="G1214" i="3"/>
  <c r="G1470" i="3"/>
  <c r="G1699" i="3"/>
  <c r="G1535" i="3"/>
  <c r="G1514" i="3"/>
  <c r="G1348" i="3"/>
  <c r="G1665" i="3"/>
  <c r="G1400" i="3"/>
  <c r="G656" i="3"/>
  <c r="G1251" i="3"/>
  <c r="G205" i="3"/>
  <c r="G1300" i="3"/>
  <c r="G1150" i="3"/>
  <c r="G1467" i="3"/>
  <c r="G1131" i="3"/>
  <c r="G710" i="3"/>
  <c r="G880" i="3"/>
  <c r="G1499" i="3"/>
  <c r="G1791" i="3"/>
  <c r="G1122" i="3"/>
  <c r="G32" i="3"/>
  <c r="G1212" i="3"/>
  <c r="G1343" i="3"/>
  <c r="G1638" i="3"/>
  <c r="G1884" i="3"/>
  <c r="G855" i="3"/>
  <c r="G203" i="3"/>
  <c r="G847" i="3"/>
  <c r="G1872" i="3"/>
  <c r="G1201" i="3"/>
  <c r="G1512" i="3"/>
  <c r="G266" i="3"/>
  <c r="G1707" i="3"/>
  <c r="G1876" i="3"/>
  <c r="G1543" i="3"/>
  <c r="G1530" i="3"/>
  <c r="G1785" i="3"/>
  <c r="G1587" i="3"/>
  <c r="G1184" i="3"/>
  <c r="G1369" i="3"/>
  <c r="G1724" i="3"/>
  <c r="G1489" i="3"/>
  <c r="G1458" i="3"/>
  <c r="G1230" i="3"/>
  <c r="G377" i="3"/>
  <c r="G1718" i="3"/>
  <c r="G1634" i="3"/>
  <c r="G1198" i="3"/>
  <c r="G1416" i="3"/>
  <c r="G1075" i="3"/>
  <c r="G1908" i="3"/>
  <c r="G1002" i="3"/>
  <c r="G1412" i="3"/>
  <c r="G356" i="3"/>
  <c r="G1058" i="3"/>
  <c r="G634" i="3"/>
  <c r="G992" i="3"/>
  <c r="G1597" i="3"/>
  <c r="G1735" i="3"/>
  <c r="G1481" i="3"/>
  <c r="G1800" i="3"/>
  <c r="G283" i="3"/>
  <c r="G1799" i="3"/>
  <c r="G1680" i="3"/>
  <c r="G1877" i="3"/>
  <c r="G1453" i="3"/>
  <c r="G1340" i="3"/>
  <c r="G1567" i="3"/>
  <c r="G1454" i="3"/>
  <c r="G378" i="3"/>
  <c r="G1168" i="3"/>
  <c r="G1598" i="3"/>
  <c r="G352" i="3"/>
  <c r="G1116" i="3"/>
  <c r="G529" i="3"/>
  <c r="G1061" i="3"/>
  <c r="G1660" i="3"/>
  <c r="G1494" i="3"/>
  <c r="G1362" i="3"/>
  <c r="G1901" i="3"/>
  <c r="G1213" i="3"/>
  <c r="G1229" i="3"/>
  <c r="G703" i="3"/>
  <c r="G1599" i="3"/>
  <c r="G1582" i="3"/>
  <c r="G1090" i="3"/>
  <c r="G543" i="3"/>
  <c r="G1159" i="3"/>
  <c r="G1536" i="3"/>
  <c r="F335" i="3"/>
  <c r="J335" i="3" s="1"/>
  <c r="F2" i="3"/>
  <c r="J2" i="3" s="1"/>
  <c r="F1010" i="3"/>
  <c r="J1010" i="3" s="1"/>
  <c r="F275" i="3"/>
  <c r="J275" i="3" s="1"/>
  <c r="F800" i="3"/>
  <c r="J800" i="3" s="1"/>
  <c r="F88" i="3"/>
  <c r="J88" i="3" s="1"/>
  <c r="F56" i="3"/>
  <c r="J56" i="3" s="1"/>
  <c r="F574" i="3"/>
  <c r="J574" i="3" s="1"/>
  <c r="F449" i="3"/>
  <c r="J449" i="3" s="1"/>
  <c r="F955" i="3"/>
  <c r="J955" i="3" s="1"/>
  <c r="F77" i="3"/>
  <c r="J77" i="3" s="1"/>
  <c r="F736" i="3"/>
  <c r="J736" i="3" s="1"/>
  <c r="F73" i="3"/>
  <c r="J73" i="3" s="1"/>
  <c r="F80" i="3"/>
  <c r="J80" i="3" s="1"/>
  <c r="F644" i="3"/>
  <c r="J644" i="3" s="1"/>
  <c r="F41" i="3"/>
  <c r="J41" i="3" s="1"/>
  <c r="F368" i="3"/>
  <c r="J368" i="3" s="1"/>
  <c r="F548" i="3"/>
  <c r="J548" i="3" s="1"/>
  <c r="F231" i="3"/>
  <c r="J231" i="3" s="1"/>
  <c r="F1041" i="3"/>
  <c r="J1041" i="3" s="1"/>
  <c r="F164" i="3"/>
  <c r="J164" i="3" s="1"/>
  <c r="F1042" i="3"/>
  <c r="J1042" i="3" s="1"/>
  <c r="F876" i="3"/>
  <c r="J876" i="3" s="1"/>
  <c r="F993" i="3"/>
  <c r="J993" i="3" s="1"/>
  <c r="F881" i="3"/>
  <c r="J881" i="3" s="1"/>
  <c r="F568" i="3"/>
  <c r="J568" i="3" s="1"/>
  <c r="F28" i="3"/>
  <c r="J28" i="3" s="1"/>
  <c r="F499" i="3"/>
  <c r="J499" i="3" s="1"/>
  <c r="F603" i="3"/>
  <c r="J603" i="3" s="1"/>
  <c r="F490" i="3"/>
  <c r="J490" i="3" s="1"/>
  <c r="F491" i="3"/>
  <c r="J491" i="3" s="1"/>
  <c r="F100" i="3"/>
  <c r="J100" i="3" s="1"/>
  <c r="F931" i="3"/>
  <c r="J931" i="3" s="1"/>
  <c r="F906" i="3"/>
  <c r="J906" i="3" s="1"/>
  <c r="F737" i="3"/>
  <c r="J737" i="3" s="1"/>
  <c r="F165" i="3"/>
  <c r="J165" i="3" s="1"/>
  <c r="F896" i="3"/>
  <c r="J896" i="3" s="1"/>
  <c r="F454" i="3"/>
  <c r="J454" i="3" s="1"/>
  <c r="F156" i="3"/>
  <c r="J156" i="3" s="1"/>
  <c r="F226" i="3"/>
  <c r="J226" i="3" s="1"/>
  <c r="F728" i="3"/>
  <c r="J728" i="3" s="1"/>
  <c r="F525" i="3"/>
  <c r="J525" i="3" s="1"/>
  <c r="F717" i="3"/>
  <c r="J717" i="3" s="1"/>
  <c r="F160" i="3"/>
  <c r="J160" i="3" s="1"/>
  <c r="F994" i="3"/>
  <c r="J994" i="3" s="1"/>
  <c r="F289" i="3"/>
  <c r="J289" i="3" s="1"/>
  <c r="F3" i="3"/>
  <c r="J3" i="3" s="1"/>
  <c r="F1022" i="3"/>
  <c r="J1022" i="3" s="1"/>
  <c r="F30" i="3"/>
  <c r="J30" i="3" s="1"/>
  <c r="F383" i="3"/>
  <c r="J383" i="3" s="1"/>
  <c r="F635" i="3"/>
  <c r="J635" i="3" s="1"/>
  <c r="F916" i="3"/>
  <c r="J916" i="3" s="1"/>
  <c r="F977" i="3"/>
  <c r="J977" i="3" s="1"/>
  <c r="F742" i="3"/>
  <c r="J742" i="3" s="1"/>
  <c r="F575" i="3"/>
  <c r="J575" i="3" s="1"/>
  <c r="F724" i="3"/>
  <c r="J724" i="3" s="1"/>
  <c r="F500" i="3"/>
  <c r="J500" i="3" s="1"/>
  <c r="F294" i="3"/>
  <c r="J294" i="3" s="1"/>
  <c r="F325" i="3"/>
  <c r="J325" i="3" s="1"/>
  <c r="F625" i="3"/>
  <c r="J625" i="3" s="1"/>
  <c r="F450" i="3"/>
  <c r="J450" i="3" s="1"/>
  <c r="F196" i="3"/>
  <c r="J196" i="3" s="1"/>
  <c r="F357" i="3"/>
  <c r="J357" i="3" s="1"/>
  <c r="F243" i="3"/>
  <c r="J243" i="3" s="1"/>
  <c r="F986" i="3"/>
  <c r="J986" i="3" s="1"/>
  <c r="F1037" i="3"/>
  <c r="J1037" i="3" s="1"/>
  <c r="F145" i="3"/>
  <c r="J145" i="3" s="1"/>
  <c r="F42" i="3"/>
  <c r="J42" i="3" s="1"/>
  <c r="F907" i="3"/>
  <c r="J907" i="3" s="1"/>
  <c r="F569" i="3"/>
  <c r="J569" i="3" s="1"/>
  <c r="F840" i="3"/>
  <c r="J840" i="3" s="1"/>
  <c r="F1043" i="3"/>
  <c r="J1043" i="3" s="1"/>
  <c r="F23" i="3"/>
  <c r="J23" i="3" s="1"/>
  <c r="F308" i="3"/>
  <c r="J308" i="3" s="1"/>
  <c r="F258" i="3"/>
  <c r="J258" i="3" s="1"/>
  <c r="F81" i="3"/>
  <c r="J81" i="3" s="1"/>
  <c r="F128" i="3"/>
  <c r="J128" i="3" s="1"/>
  <c r="F816" i="3"/>
  <c r="J816" i="3" s="1"/>
  <c r="F43" i="3"/>
  <c r="J43" i="3" s="1"/>
  <c r="F604" i="3"/>
  <c r="J604" i="3" s="1"/>
  <c r="F826" i="3"/>
  <c r="J826" i="3" s="1"/>
  <c r="F917" i="3"/>
  <c r="J917" i="3" s="1"/>
  <c r="F960" i="3"/>
  <c r="J960" i="3" s="1"/>
  <c r="F62" i="3"/>
  <c r="J62" i="3" s="1"/>
  <c r="F316" i="3"/>
  <c r="J316" i="3" s="1"/>
  <c r="F1003" i="3"/>
  <c r="J1003" i="3" s="1"/>
  <c r="F57" i="3"/>
  <c r="J57" i="3" s="1"/>
  <c r="F538" i="3"/>
  <c r="J538" i="3" s="1"/>
  <c r="F596" i="3"/>
  <c r="J596" i="3" s="1"/>
  <c r="F91" i="3"/>
  <c r="J91" i="3" s="1"/>
  <c r="F738" i="3"/>
  <c r="J738" i="3" s="1"/>
  <c r="F276" i="3"/>
  <c r="J276" i="3" s="1"/>
  <c r="F1023" i="3"/>
  <c r="J1023" i="3" s="1"/>
  <c r="F1053" i="3"/>
  <c r="J1053" i="3" s="1"/>
  <c r="F70" i="3"/>
  <c r="J70" i="3" s="1"/>
  <c r="F172" i="3"/>
  <c r="J172" i="3" s="1"/>
  <c r="F687" i="3"/>
  <c r="J687" i="3" s="1"/>
  <c r="F372" i="3"/>
  <c r="J372" i="3" s="1"/>
  <c r="F300" i="3"/>
  <c r="J300" i="3" s="1"/>
  <c r="F101" i="3"/>
  <c r="J101" i="3" s="1"/>
  <c r="F794" i="3"/>
  <c r="J794" i="3" s="1"/>
  <c r="F417" i="3"/>
  <c r="J417" i="3" s="1"/>
  <c r="F795" i="3"/>
  <c r="J795" i="3" s="1"/>
  <c r="F827" i="3"/>
  <c r="J827" i="3" s="1"/>
  <c r="F1049" i="3"/>
  <c r="J1049" i="3" s="1"/>
  <c r="F918" i="3"/>
  <c r="J918" i="3" s="1"/>
  <c r="F423" i="3"/>
  <c r="J423" i="3" s="1"/>
  <c r="F306" i="3"/>
  <c r="J306" i="3" s="1"/>
  <c r="F396" i="3"/>
  <c r="J396" i="3" s="1"/>
  <c r="F182" i="3"/>
  <c r="J182" i="3" s="1"/>
  <c r="F908" i="3"/>
  <c r="J908" i="3" s="1"/>
  <c r="F706" i="3"/>
  <c r="J706" i="3" s="1"/>
  <c r="F284" i="3"/>
  <c r="J284" i="3" s="1"/>
  <c r="F555" i="3"/>
  <c r="J555" i="3" s="1"/>
  <c r="F384" i="3"/>
  <c r="J384" i="3" s="1"/>
  <c r="F358" i="3"/>
  <c r="J358" i="3" s="1"/>
  <c r="F74" i="3"/>
  <c r="J74" i="3" s="1"/>
  <c r="F763" i="3"/>
  <c r="J763" i="3" s="1"/>
  <c r="F810" i="3"/>
  <c r="J810" i="3" s="1"/>
  <c r="F998" i="3"/>
  <c r="J998" i="3" s="1"/>
  <c r="F221" i="3"/>
  <c r="J221" i="3" s="1"/>
  <c r="F856" i="3"/>
  <c r="J856" i="3" s="1"/>
  <c r="F926" i="3"/>
  <c r="J926" i="3" s="1"/>
  <c r="F581" i="3"/>
  <c r="J581" i="3" s="1"/>
  <c r="F764" i="3"/>
  <c r="J764" i="3" s="1"/>
  <c r="F675" i="3"/>
  <c r="J675" i="3" s="1"/>
  <c r="F63" i="3"/>
  <c r="J63" i="3" s="1"/>
  <c r="F451" i="3"/>
  <c r="J451" i="3" s="1"/>
  <c r="F877" i="3"/>
  <c r="J877" i="3" s="1"/>
  <c r="F912" i="3"/>
  <c r="J912" i="3" s="1"/>
  <c r="F501" i="3"/>
  <c r="J501" i="3" s="1"/>
  <c r="F711" i="3"/>
  <c r="J711" i="3" s="1"/>
  <c r="F418" i="3"/>
  <c r="J418" i="3" s="1"/>
  <c r="F950" i="3"/>
  <c r="J950" i="3" s="1"/>
  <c r="F563" i="3"/>
  <c r="J563" i="3" s="1"/>
  <c r="F549" i="3"/>
  <c r="J549" i="3" s="1"/>
  <c r="F191" i="3"/>
  <c r="J191" i="3" s="1"/>
  <c r="F385" i="3"/>
  <c r="J385" i="3" s="1"/>
  <c r="F492" i="3"/>
  <c r="J492" i="3" s="1"/>
  <c r="F234" i="3"/>
  <c r="J234" i="3" s="1"/>
  <c r="F1024" i="3"/>
  <c r="J1024" i="3" s="1"/>
  <c r="F729" i="3"/>
  <c r="J729" i="3" s="1"/>
  <c r="F647" i="3"/>
  <c r="J647" i="3" s="1"/>
  <c r="F309" i="3"/>
  <c r="J309" i="3" s="1"/>
  <c r="F290" i="3"/>
  <c r="J290" i="3" s="1"/>
  <c r="F386" i="3"/>
  <c r="J386" i="3" s="1"/>
  <c r="F965" i="3"/>
  <c r="J965" i="3" s="1"/>
  <c r="F183" i="3"/>
  <c r="J183" i="3" s="1"/>
  <c r="F636" i="3"/>
  <c r="J636" i="3" s="1"/>
  <c r="F71" i="3"/>
  <c r="J71" i="3" s="1"/>
  <c r="F771" i="3"/>
  <c r="J771" i="3" s="1"/>
  <c r="F556" i="3"/>
  <c r="J556" i="3" s="1"/>
  <c r="F564" i="3"/>
  <c r="J564" i="3" s="1"/>
  <c r="F765" i="3"/>
  <c r="J765" i="3" s="1"/>
  <c r="F718" i="3"/>
  <c r="J718" i="3" s="1"/>
  <c r="F166" i="3"/>
  <c r="J166" i="3" s="1"/>
  <c r="F515" i="3"/>
  <c r="J515" i="3" s="1"/>
  <c r="F317" i="3"/>
  <c r="J317" i="3" s="1"/>
  <c r="F336" i="3"/>
  <c r="J336" i="3" s="1"/>
  <c r="F259" i="3"/>
  <c r="J259" i="3" s="1"/>
  <c r="F431" i="3"/>
  <c r="J431" i="3" s="1"/>
  <c r="F882" i="3"/>
  <c r="J882" i="3" s="1"/>
  <c r="F102" i="3"/>
  <c r="J102" i="3" s="1"/>
  <c r="F610" i="3"/>
  <c r="J610" i="3" s="1"/>
  <c r="F481" i="3"/>
  <c r="J481" i="3" s="1"/>
  <c r="F119" i="3"/>
  <c r="J119" i="3" s="1"/>
  <c r="F730" i="3"/>
  <c r="J730" i="3" s="1"/>
  <c r="F987" i="3"/>
  <c r="J987" i="3" s="1"/>
  <c r="F244" i="3"/>
  <c r="J244" i="3" s="1"/>
  <c r="F67" i="3"/>
  <c r="J67" i="3" s="1"/>
  <c r="F345" i="3"/>
  <c r="J345" i="3" s="1"/>
  <c r="F494" i="3"/>
  <c r="J494" i="3" s="1"/>
  <c r="F919" i="3"/>
  <c r="J919" i="3" s="1"/>
  <c r="F831" i="3"/>
  <c r="J831" i="3" s="1"/>
  <c r="F832" i="3"/>
  <c r="J832" i="3" s="1"/>
  <c r="F52" i="3"/>
  <c r="J52" i="3" s="1"/>
  <c r="F89" i="3"/>
  <c r="J89" i="3" s="1"/>
  <c r="F245" i="3"/>
  <c r="J245" i="3" s="1"/>
  <c r="F1030" i="3"/>
  <c r="J1030" i="3" s="1"/>
  <c r="F806" i="3"/>
  <c r="J806" i="3" s="1"/>
  <c r="F988" i="3"/>
  <c r="J988" i="3" s="1"/>
  <c r="F913" i="3"/>
  <c r="J913" i="3" s="1"/>
  <c r="F772" i="3"/>
  <c r="J772" i="3" s="1"/>
  <c r="F277" i="3"/>
  <c r="J277" i="3" s="1"/>
  <c r="F652" i="3"/>
  <c r="J652" i="3" s="1"/>
  <c r="F267" i="3"/>
  <c r="J267" i="3" s="1"/>
  <c r="F438" i="3"/>
  <c r="J438" i="3" s="1"/>
  <c r="F397" i="3"/>
  <c r="J397" i="3" s="1"/>
  <c r="F17" i="3"/>
  <c r="J17" i="3" s="1"/>
  <c r="F272" i="3"/>
  <c r="J272" i="3" s="1"/>
  <c r="F246" i="3"/>
  <c r="J246" i="3" s="1"/>
  <c r="F1004" i="3"/>
  <c r="J1004" i="3" s="1"/>
  <c r="F157" i="3"/>
  <c r="J157" i="3" s="1"/>
  <c r="F1013" i="3"/>
  <c r="J1013" i="3" s="1"/>
  <c r="F1025" i="3"/>
  <c r="J1025" i="3" s="1"/>
  <c r="F653" i="3"/>
  <c r="J653" i="3" s="1"/>
  <c r="F318" i="3"/>
  <c r="J318" i="3" s="1"/>
  <c r="F951" i="3"/>
  <c r="J951" i="3" s="1"/>
  <c r="F833" i="3"/>
  <c r="J833" i="3" s="1"/>
  <c r="F961" i="3"/>
  <c r="J961" i="3" s="1"/>
  <c r="F260" i="3"/>
  <c r="J260" i="3" s="1"/>
  <c r="F530" i="3"/>
  <c r="J530" i="3" s="1"/>
  <c r="F310" i="3"/>
  <c r="J310" i="3" s="1"/>
  <c r="F755" i="3"/>
  <c r="J755" i="3" s="1"/>
  <c r="F206" i="3"/>
  <c r="J206" i="3" s="1"/>
  <c r="F1054" i="3"/>
  <c r="J1054" i="3" s="1"/>
  <c r="F366" i="3"/>
  <c r="J366" i="3" s="1"/>
  <c r="F502" i="3"/>
  <c r="J502" i="3" s="1"/>
  <c r="F641" i="3"/>
  <c r="J641" i="3" s="1"/>
  <c r="F725" i="3"/>
  <c r="J725" i="3" s="1"/>
  <c r="F892" i="3"/>
  <c r="J892" i="3" s="1"/>
  <c r="F465" i="3"/>
  <c r="J465" i="3" s="1"/>
  <c r="F402" i="3"/>
  <c r="J402" i="3" s="1"/>
  <c r="F339" i="3"/>
  <c r="J339" i="3" s="1"/>
  <c r="F469" i="3"/>
  <c r="J469" i="3" s="1"/>
  <c r="F701" i="3"/>
  <c r="J701" i="3" s="1"/>
  <c r="F682" i="3"/>
  <c r="J682" i="3" s="1"/>
  <c r="F643" i="3"/>
  <c r="J643" i="3" s="1"/>
  <c r="F129" i="3"/>
  <c r="J129" i="3" s="1"/>
  <c r="F978" i="3"/>
  <c r="J978" i="3" s="1"/>
  <c r="F645" i="3"/>
  <c r="J645" i="3" s="1"/>
  <c r="F1031" i="3"/>
  <c r="J1031" i="3" s="1"/>
  <c r="F419" i="3"/>
  <c r="J419" i="3" s="1"/>
  <c r="F261" i="3"/>
  <c r="J261" i="3" s="1"/>
  <c r="F482" i="3"/>
  <c r="J482" i="3" s="1"/>
  <c r="F408" i="3"/>
  <c r="J408" i="3" s="1"/>
  <c r="F557" i="3"/>
  <c r="J557" i="3" s="1"/>
  <c r="F58" i="3"/>
  <c r="J58" i="3" s="1"/>
  <c r="F776" i="3"/>
  <c r="J776" i="3" s="1"/>
  <c r="F285" i="3"/>
  <c r="J285" i="3" s="1"/>
  <c r="F1005" i="3"/>
  <c r="J1005" i="3" s="1"/>
  <c r="F189" i="3"/>
  <c r="J189" i="3" s="1"/>
  <c r="F24" i="3"/>
  <c r="J24" i="3" s="1"/>
  <c r="F340" i="3"/>
  <c r="J340" i="3" s="1"/>
  <c r="F756" i="3"/>
  <c r="J756" i="3" s="1"/>
  <c r="F803" i="3"/>
  <c r="J803" i="3" s="1"/>
  <c r="F801" i="3"/>
  <c r="J801" i="3" s="1"/>
  <c r="F979" i="3"/>
  <c r="J979" i="3" s="1"/>
  <c r="F565" i="3"/>
  <c r="J565" i="3" s="1"/>
  <c r="F379" i="3"/>
  <c r="J379" i="3" s="1"/>
  <c r="F197" i="3"/>
  <c r="J197" i="3" s="1"/>
  <c r="F250" i="3"/>
  <c r="J250" i="3" s="1"/>
  <c r="F432" i="3"/>
  <c r="J432" i="3" s="1"/>
  <c r="F295" i="3"/>
  <c r="J295" i="3" s="1"/>
  <c r="F503" i="3"/>
  <c r="J503" i="3" s="1"/>
  <c r="F786" i="3"/>
  <c r="J786" i="3" s="1"/>
  <c r="F319" i="3"/>
  <c r="J319" i="3" s="1"/>
  <c r="F683" i="3"/>
  <c r="J683" i="3" s="1"/>
  <c r="F749" i="3"/>
  <c r="J749" i="3" s="1"/>
  <c r="F897" i="3"/>
  <c r="J897" i="3" s="1"/>
  <c r="F934" i="3"/>
  <c r="J934" i="3" s="1"/>
  <c r="F442" i="3"/>
  <c r="J442" i="3" s="1"/>
  <c r="F337" i="3"/>
  <c r="J337" i="3" s="1"/>
  <c r="F1038" i="3"/>
  <c r="J1038" i="3" s="1"/>
  <c r="F665" i="3"/>
  <c r="J665" i="3" s="1"/>
  <c r="F989" i="3"/>
  <c r="J989" i="3" s="1"/>
  <c r="F878" i="3"/>
  <c r="J878" i="3" s="1"/>
  <c r="F1006" i="3"/>
  <c r="J1006" i="3" s="1"/>
  <c r="F666" i="3"/>
  <c r="J666" i="3" s="1"/>
  <c r="F626" i="3"/>
  <c r="J626" i="3" s="1"/>
  <c r="F214" i="3"/>
  <c r="J214" i="3" s="1"/>
  <c r="F997" i="3"/>
  <c r="J997" i="3" s="1"/>
  <c r="F459" i="3"/>
  <c r="J459" i="3" s="1"/>
  <c r="F215" i="3"/>
  <c r="J215" i="3" s="1"/>
  <c r="F173" i="3"/>
  <c r="J173" i="3" s="1"/>
  <c r="F980" i="3"/>
  <c r="J980" i="3" s="1"/>
  <c r="F743" i="3"/>
  <c r="J743" i="3" s="1"/>
  <c r="F667" i="3"/>
  <c r="J667" i="3" s="1"/>
  <c r="F235" i="3"/>
  <c r="J235" i="3" s="1"/>
  <c r="F739" i="3"/>
  <c r="J739" i="3" s="1"/>
  <c r="F879" i="3"/>
  <c r="J879" i="3" s="1"/>
  <c r="F75" i="3"/>
  <c r="J75" i="3" s="1"/>
  <c r="F712" i="3"/>
  <c r="J712" i="3" s="1"/>
  <c r="F44" i="3"/>
  <c r="J44" i="3" s="1"/>
  <c r="F94" i="3"/>
  <c r="J94" i="3" s="1"/>
  <c r="F914" i="3"/>
  <c r="J914" i="3" s="1"/>
  <c r="F64" i="3"/>
  <c r="J64" i="3" s="1"/>
  <c r="F1039" i="3"/>
  <c r="J1039" i="3" s="1"/>
  <c r="F7" i="3"/>
  <c r="J7" i="3" s="1"/>
  <c r="F558" i="3"/>
  <c r="J558" i="3" s="1"/>
  <c r="F174" i="3"/>
  <c r="J174" i="3" s="1"/>
  <c r="F858" i="3"/>
  <c r="J858" i="3" s="1"/>
  <c r="F301" i="3"/>
  <c r="J301" i="3" s="1"/>
  <c r="F82" i="3"/>
  <c r="J82" i="3" s="1"/>
  <c r="F966" i="3"/>
  <c r="J966" i="3" s="1"/>
  <c r="F192" i="3"/>
  <c r="J192" i="3" s="1"/>
  <c r="F13" i="3"/>
  <c r="J13" i="3" s="1"/>
  <c r="F278" i="3"/>
  <c r="J278" i="3" s="1"/>
  <c r="F691" i="3"/>
  <c r="J691" i="3" s="1"/>
  <c r="F620" i="3"/>
  <c r="J620" i="3" s="1"/>
  <c r="F484" i="3"/>
  <c r="J484" i="3" s="1"/>
  <c r="F76" i="3"/>
  <c r="J76" i="3" s="1"/>
  <c r="F848" i="3"/>
  <c r="J848" i="3" s="1"/>
  <c r="F868" i="3"/>
  <c r="J868" i="3" s="1"/>
  <c r="F910" i="3"/>
  <c r="J910" i="3" s="1"/>
  <c r="F841" i="3"/>
  <c r="J841" i="3" s="1"/>
  <c r="F657" i="3"/>
  <c r="J657" i="3" s="1"/>
  <c r="F900" i="3"/>
  <c r="J900" i="3" s="1"/>
  <c r="F661" i="3"/>
  <c r="J661" i="3" s="1"/>
  <c r="F25" i="3"/>
  <c r="J25" i="3" s="1"/>
  <c r="F8" i="3"/>
  <c r="J8" i="3" s="1"/>
  <c r="F303" i="3"/>
  <c r="J303" i="3" s="1"/>
  <c r="F757" i="3"/>
  <c r="J757" i="3" s="1"/>
  <c r="F559" i="3"/>
  <c r="J559" i="3" s="1"/>
  <c r="F18" i="3"/>
  <c r="J18" i="3" s="1"/>
  <c r="F26" i="3"/>
  <c r="J26" i="3" s="1"/>
  <c r="F719" i="3"/>
  <c r="J719" i="3" s="1"/>
  <c r="F981" i="3"/>
  <c r="J981" i="3" s="1"/>
  <c r="F359" i="3"/>
  <c r="J359" i="3" s="1"/>
  <c r="F731" i="3"/>
  <c r="J731" i="3" s="1"/>
  <c r="F369" i="3"/>
  <c r="J369" i="3" s="1"/>
  <c r="F27" i="3"/>
  <c r="J27" i="3" s="1"/>
  <c r="F688" i="3"/>
  <c r="J688" i="3" s="1"/>
  <c r="F952" i="3"/>
  <c r="J952" i="3" s="1"/>
  <c r="F920" i="3"/>
  <c r="J920" i="3" s="1"/>
  <c r="F585" i="3"/>
  <c r="J585" i="3" s="1"/>
  <c r="F227" i="3"/>
  <c r="J227" i="3" s="1"/>
  <c r="F137" i="3"/>
  <c r="J137" i="3" s="1"/>
  <c r="F125" i="3"/>
  <c r="J125" i="3" s="1"/>
  <c r="F713" i="3"/>
  <c r="J713" i="3" s="1"/>
  <c r="F193" i="3"/>
  <c r="J193" i="3" s="1"/>
  <c r="F311" i="3"/>
  <c r="J311" i="3" s="1"/>
  <c r="F247" i="3"/>
  <c r="J247" i="3" s="1"/>
  <c r="F849" i="3"/>
  <c r="J849" i="3" s="1"/>
  <c r="F714" i="3"/>
  <c r="J714" i="3" s="1"/>
  <c r="F332" i="3"/>
  <c r="J332" i="3" s="1"/>
  <c r="F460" i="3"/>
  <c r="J460" i="3" s="1"/>
  <c r="F346" i="3"/>
  <c r="J346" i="3" s="1"/>
  <c r="F531" i="3"/>
  <c r="J531" i="3" s="1"/>
  <c r="F103" i="3"/>
  <c r="J103" i="3" s="1"/>
  <c r="F485" i="3"/>
  <c r="J485" i="3" s="1"/>
  <c r="F544" i="3"/>
  <c r="J544" i="3" s="1"/>
  <c r="F627" i="3"/>
  <c r="J627" i="3" s="1"/>
  <c r="F777" i="3"/>
  <c r="J777" i="3" s="1"/>
  <c r="F320" i="3"/>
  <c r="J320" i="3" s="1"/>
  <c r="F953" i="3"/>
  <c r="J953" i="3" s="1"/>
  <c r="F291" i="3"/>
  <c r="J291" i="3" s="1"/>
  <c r="F387" i="3"/>
  <c r="J387" i="3" s="1"/>
  <c r="F935" i="3"/>
  <c r="J935" i="3" s="1"/>
  <c r="F104" i="3"/>
  <c r="J104" i="3" s="1"/>
  <c r="F898" i="3"/>
  <c r="J898" i="3" s="1"/>
  <c r="F893" i="3"/>
  <c r="J893" i="3" s="1"/>
  <c r="F1032" i="3"/>
  <c r="J1032" i="3" s="1"/>
  <c r="F45" i="3"/>
  <c r="J45" i="3" s="1"/>
  <c r="F120" i="3"/>
  <c r="J120" i="3" s="1"/>
  <c r="F545" i="3"/>
  <c r="J545" i="3" s="1"/>
  <c r="F504" i="3"/>
  <c r="J504" i="3" s="1"/>
  <c r="F495" i="3"/>
  <c r="J495" i="3" s="1"/>
  <c r="F758" i="3"/>
  <c r="J758" i="3" s="1"/>
  <c r="F648" i="3"/>
  <c r="J648" i="3" s="1"/>
  <c r="F72" i="3"/>
  <c r="J72" i="3" s="1"/>
  <c r="F869" i="3"/>
  <c r="J869" i="3" s="1"/>
  <c r="F14" i="3"/>
  <c r="J14" i="3" s="1"/>
  <c r="F956" i="3"/>
  <c r="J956" i="3" s="1"/>
  <c r="F216" i="3"/>
  <c r="J216" i="3" s="1"/>
  <c r="F108" i="3"/>
  <c r="J108" i="3" s="1"/>
  <c r="F684" i="3"/>
  <c r="J684" i="3" s="1"/>
  <c r="F593" i="3"/>
  <c r="J593" i="3" s="1"/>
  <c r="F883" i="3"/>
  <c r="J883" i="3" s="1"/>
  <c r="F433" i="3"/>
  <c r="J433" i="3" s="1"/>
  <c r="F778" i="3"/>
  <c r="J778" i="3" s="1"/>
  <c r="F126" i="3"/>
  <c r="J126" i="3" s="1"/>
  <c r="F720" i="3"/>
  <c r="J720" i="3" s="1"/>
  <c r="F53" i="3"/>
  <c r="J53" i="3" s="1"/>
  <c r="F296" i="3"/>
  <c r="J296" i="3" s="1"/>
  <c r="F273" i="3"/>
  <c r="J273" i="3" s="1"/>
  <c r="F943" i="3"/>
  <c r="J943" i="3" s="1"/>
  <c r="F787" i="3"/>
  <c r="J787" i="3" s="1"/>
  <c r="F649" i="3"/>
  <c r="J649" i="3" s="1"/>
  <c r="F353" i="3"/>
  <c r="J353" i="3" s="1"/>
  <c r="F59" i="3"/>
  <c r="J59" i="3" s="1"/>
  <c r="F95" i="3"/>
  <c r="J95" i="3" s="1"/>
  <c r="F936" i="3"/>
  <c r="J936" i="3" s="1"/>
  <c r="F363" i="3"/>
  <c r="J363" i="3" s="1"/>
  <c r="F744" i="3"/>
  <c r="J744" i="3" s="1"/>
  <c r="F779" i="3"/>
  <c r="J779" i="3" s="1"/>
  <c r="F901" i="3"/>
  <c r="J901" i="3" s="1"/>
  <c r="F46" i="3"/>
  <c r="J46" i="3" s="1"/>
  <c r="F228" i="3"/>
  <c r="J228" i="3" s="1"/>
  <c r="F409" i="3"/>
  <c r="J409" i="3" s="1"/>
  <c r="F29" i="3"/>
  <c r="J29" i="3" s="1"/>
  <c r="F268" i="3"/>
  <c r="J268" i="3" s="1"/>
  <c r="F807" i="3"/>
  <c r="J807" i="3" s="1"/>
  <c r="F184" i="3"/>
  <c r="J184" i="3" s="1"/>
  <c r="F1015" i="3"/>
  <c r="J1015" i="3" s="1"/>
  <c r="F970" i="3"/>
  <c r="J970" i="3" s="1"/>
  <c r="F532" i="3"/>
  <c r="J532" i="3" s="1"/>
  <c r="F96" i="3"/>
  <c r="J96" i="3" s="1"/>
  <c r="F388" i="3"/>
  <c r="J388" i="3" s="1"/>
  <c r="F204" i="3"/>
  <c r="J204" i="3" s="1"/>
  <c r="F780" i="3"/>
  <c r="J780" i="3" s="1"/>
  <c r="F312" i="3"/>
  <c r="J312" i="3" s="1"/>
  <c r="F788" i="3"/>
  <c r="J788" i="3" s="1"/>
  <c r="F516" i="3"/>
  <c r="J516" i="3" s="1"/>
  <c r="F927" i="3"/>
  <c r="J927" i="3" s="1"/>
  <c r="F740" i="3"/>
  <c r="J740" i="3" s="1"/>
  <c r="F434" i="3"/>
  <c r="J434" i="3" s="1"/>
  <c r="F510" i="3"/>
  <c r="J510" i="3" s="1"/>
  <c r="F1026" i="3"/>
  <c r="J1026" i="3" s="1"/>
  <c r="F1007" i="3"/>
  <c r="J1007" i="3" s="1"/>
  <c r="F175" i="3"/>
  <c r="J175" i="3" s="1"/>
  <c r="F940" i="3"/>
  <c r="J940" i="3" s="1"/>
  <c r="F990" i="3"/>
  <c r="J990" i="3" s="1"/>
  <c r="F105" i="3"/>
  <c r="J105" i="3" s="1"/>
  <c r="F689" i="3"/>
  <c r="J689" i="3" s="1"/>
  <c r="F1011" i="3"/>
  <c r="J1011" i="3" s="1"/>
  <c r="F452" i="3"/>
  <c r="J452" i="3" s="1"/>
  <c r="F68" i="3"/>
  <c r="J68" i="3" s="1"/>
  <c r="F130" i="3"/>
  <c r="J130" i="3" s="1"/>
  <c r="F594" i="3"/>
  <c r="J594" i="3" s="1"/>
  <c r="F302" i="3"/>
  <c r="J302" i="3" s="1"/>
  <c r="F97" i="3"/>
  <c r="J97" i="3" s="1"/>
  <c r="F444" i="3"/>
  <c r="J444" i="3" s="1"/>
  <c r="F834" i="3"/>
  <c r="J834" i="3" s="1"/>
  <c r="F1044" i="3"/>
  <c r="J1044" i="3" s="1"/>
  <c r="F842" i="3"/>
  <c r="J842" i="3" s="1"/>
  <c r="F817" i="3"/>
  <c r="J817" i="3" s="1"/>
  <c r="F533" i="3"/>
  <c r="J533" i="3" s="1"/>
  <c r="F1055" i="3"/>
  <c r="J1055" i="3" s="1"/>
  <c r="F427" i="3"/>
  <c r="J427" i="3" s="1"/>
  <c r="F37" i="3"/>
  <c r="J37" i="3" s="1"/>
  <c r="F861" i="3"/>
  <c r="J861" i="3" s="1"/>
  <c r="F354" i="3"/>
  <c r="J354" i="3" s="1"/>
  <c r="F611" i="3"/>
  <c r="J611" i="3" s="1"/>
  <c r="F668" i="3"/>
  <c r="J668" i="3" s="1"/>
  <c r="F297" i="3"/>
  <c r="J297" i="3" s="1"/>
  <c r="F466" i="3"/>
  <c r="J466" i="3" s="1"/>
  <c r="F759" i="3"/>
  <c r="J759" i="3" s="1"/>
  <c r="F496" i="3"/>
  <c r="J496" i="3" s="1"/>
  <c r="F586" i="3"/>
  <c r="J586" i="3" s="1"/>
  <c r="F236" i="3"/>
  <c r="J236" i="3" s="1"/>
  <c r="F932" i="3"/>
  <c r="J932" i="3" s="1"/>
  <c r="F804" i="3"/>
  <c r="J804" i="3" s="1"/>
  <c r="F909" i="3"/>
  <c r="J909" i="3" s="1"/>
  <c r="F505" i="3"/>
  <c r="J505" i="3" s="1"/>
  <c r="F109" i="3"/>
  <c r="J109" i="3" s="1"/>
  <c r="F1050" i="3"/>
  <c r="J1050" i="3" s="1"/>
  <c r="F850" i="3"/>
  <c r="J850" i="3" s="1"/>
  <c r="F380" i="3"/>
  <c r="J380" i="3" s="1"/>
  <c r="F326" i="3"/>
  <c r="J326" i="3" s="1"/>
  <c r="F971" i="3"/>
  <c r="J971" i="3" s="1"/>
  <c r="F90" i="3"/>
  <c r="J90" i="3" s="1"/>
  <c r="F110" i="3"/>
  <c r="J110" i="3" s="1"/>
  <c r="F347" i="3"/>
  <c r="J347" i="3" s="1"/>
  <c r="F198" i="3"/>
  <c r="J198" i="3" s="1"/>
  <c r="F506" i="3"/>
  <c r="J506" i="3" s="1"/>
  <c r="F972" i="3"/>
  <c r="J972" i="3" s="1"/>
  <c r="F862" i="3"/>
  <c r="J862" i="3" s="1"/>
  <c r="F199" i="3"/>
  <c r="J199" i="3" s="1"/>
  <c r="F1008" i="3"/>
  <c r="J1008" i="3" s="1"/>
  <c r="F517" i="3"/>
  <c r="J517" i="3" s="1"/>
  <c r="F420" i="3"/>
  <c r="J420" i="3" s="1"/>
  <c r="F470" i="3"/>
  <c r="J470" i="3" s="1"/>
  <c r="F138" i="3"/>
  <c r="J138" i="3" s="1"/>
  <c r="F121" i="3"/>
  <c r="J121" i="3" s="1"/>
  <c r="F9" i="3"/>
  <c r="J9" i="3" s="1"/>
  <c r="F403" i="3"/>
  <c r="J403" i="3" s="1"/>
  <c r="F601" i="3"/>
  <c r="J601" i="3" s="1"/>
  <c r="F471" i="3"/>
  <c r="J471" i="3" s="1"/>
  <c r="F1033" i="3"/>
  <c r="J1033" i="3" s="1"/>
  <c r="F355" i="3"/>
  <c r="J355" i="3" s="1"/>
  <c r="F132" i="3"/>
  <c r="J132" i="3" s="1"/>
  <c r="F162" i="3"/>
  <c r="J162" i="3" s="1"/>
  <c r="F117" i="3"/>
  <c r="J117" i="3" s="1"/>
  <c r="F237" i="3"/>
  <c r="J237" i="3" s="1"/>
  <c r="F587" i="3"/>
  <c r="J587" i="3" s="1"/>
  <c r="F605" i="3"/>
  <c r="J605" i="3" s="1"/>
  <c r="F766" i="3"/>
  <c r="J766" i="3" s="1"/>
  <c r="F767" i="3"/>
  <c r="J767" i="3" s="1"/>
  <c r="F702" i="3"/>
  <c r="J702" i="3" s="1"/>
  <c r="F550" i="3"/>
  <c r="J550" i="3" s="1"/>
  <c r="F133" i="3"/>
  <c r="J133" i="3" s="1"/>
  <c r="F33" i="3"/>
  <c r="J33" i="3" s="1"/>
  <c r="F118" i="3"/>
  <c r="J118" i="3" s="1"/>
  <c r="F461" i="3"/>
  <c r="J461" i="3" s="1"/>
  <c r="F760" i="3"/>
  <c r="J760" i="3" s="1"/>
  <c r="F122" i="3"/>
  <c r="J122" i="3" s="1"/>
  <c r="F818" i="3"/>
  <c r="J818" i="3" s="1"/>
  <c r="F828" i="3"/>
  <c r="J828" i="3" s="1"/>
  <c r="F428" i="3"/>
  <c r="J428" i="3" s="1"/>
  <c r="F511" i="3"/>
  <c r="J511" i="3" s="1"/>
  <c r="F19" i="3"/>
  <c r="J19" i="3" s="1"/>
  <c r="F373" i="3"/>
  <c r="J373" i="3" s="1"/>
  <c r="F560" i="3"/>
  <c r="J560" i="3" s="1"/>
  <c r="F518" i="3"/>
  <c r="J518" i="3" s="1"/>
  <c r="F1059" i="3"/>
  <c r="J1059" i="3" s="1"/>
  <c r="F111" i="3"/>
  <c r="J111" i="3" s="1"/>
  <c r="F991" i="3"/>
  <c r="J991" i="3" s="1"/>
  <c r="F773" i="3"/>
  <c r="J773" i="3" s="1"/>
  <c r="F321" i="3"/>
  <c r="J321" i="3" s="1"/>
  <c r="F791" i="3"/>
  <c r="J791" i="3" s="1"/>
  <c r="F493" i="3"/>
  <c r="J493" i="3" s="1"/>
  <c r="F217" i="3"/>
  <c r="J217" i="3" s="1"/>
  <c r="F937" i="3"/>
  <c r="J937" i="3" s="1"/>
  <c r="F507" i="3"/>
  <c r="J507" i="3" s="1"/>
  <c r="F218" i="3"/>
  <c r="J218" i="3" s="1"/>
  <c r="F176" i="3"/>
  <c r="J176" i="3" s="1"/>
  <c r="F348" i="3"/>
  <c r="J348" i="3" s="1"/>
  <c r="F398" i="3"/>
  <c r="J398" i="3" s="1"/>
  <c r="F349" i="3"/>
  <c r="J349" i="3" s="1"/>
  <c r="F676" i="3"/>
  <c r="J676" i="3" s="1"/>
  <c r="F190" i="3"/>
  <c r="J190" i="3" s="1"/>
  <c r="F78" i="3"/>
  <c r="J78" i="3" s="1"/>
  <c r="F207" i="3"/>
  <c r="J207" i="3" s="1"/>
  <c r="F595" i="3"/>
  <c r="J595" i="3" s="1"/>
  <c r="F360" i="3"/>
  <c r="J360" i="3" s="1"/>
  <c r="F570" i="3"/>
  <c r="J570" i="3" s="1"/>
  <c r="F389" i="3"/>
  <c r="J389" i="3" s="1"/>
  <c r="F658" i="3"/>
  <c r="J658" i="3" s="1"/>
  <c r="F98" i="3"/>
  <c r="J98" i="3" s="1"/>
  <c r="F472" i="3"/>
  <c r="J472" i="3" s="1"/>
  <c r="F333" i="3"/>
  <c r="J333" i="3" s="1"/>
  <c r="F327" i="3"/>
  <c r="J327" i="3" s="1"/>
  <c r="F982" i="3"/>
  <c r="J982" i="3" s="1"/>
  <c r="F857" i="3"/>
  <c r="J857" i="3" s="1"/>
  <c r="F677" i="3"/>
  <c r="J677" i="3" s="1"/>
  <c r="F819" i="3"/>
  <c r="J819" i="3" s="1"/>
  <c r="F843" i="3"/>
  <c r="J843" i="3" s="1"/>
  <c r="F251" i="3"/>
  <c r="J251" i="3" s="1"/>
  <c r="F628" i="3"/>
  <c r="J628" i="3" s="1"/>
  <c r="F139" i="3"/>
  <c r="J139" i="3" s="1"/>
  <c r="F167" i="3"/>
  <c r="J167" i="3" s="1"/>
  <c r="F399" i="3"/>
  <c r="J399" i="3" s="1"/>
  <c r="F10" i="3"/>
  <c r="J10" i="3" s="1"/>
  <c r="F534" i="3"/>
  <c r="J534" i="3" s="1"/>
  <c r="F439" i="3"/>
  <c r="J439" i="3" s="1"/>
  <c r="F851" i="3"/>
  <c r="J851" i="3" s="1"/>
  <c r="F508" i="3"/>
  <c r="J508" i="3" s="1"/>
  <c r="F435" i="3"/>
  <c r="J435" i="3" s="1"/>
  <c r="F597" i="3"/>
  <c r="J597" i="3" s="1"/>
  <c r="F440" i="3"/>
  <c r="J440" i="3" s="1"/>
  <c r="F588" i="3"/>
  <c r="J588" i="3" s="1"/>
  <c r="F895" i="3"/>
  <c r="J895" i="3" s="1"/>
  <c r="F820" i="3"/>
  <c r="J820" i="3" s="1"/>
  <c r="F168" i="3"/>
  <c r="J168" i="3" s="1"/>
  <c r="F390" i="3"/>
  <c r="J390" i="3" s="1"/>
  <c r="F424" i="3"/>
  <c r="J424" i="3" s="1"/>
  <c r="F835" i="3"/>
  <c r="J835" i="3" s="1"/>
  <c r="F944" i="3"/>
  <c r="J944" i="3" s="1"/>
  <c r="F254" i="3"/>
  <c r="J254" i="3" s="1"/>
  <c r="F654" i="3"/>
  <c r="J654" i="3" s="1"/>
  <c r="F410" i="3"/>
  <c r="J410" i="3" s="1"/>
  <c r="F229" i="3"/>
  <c r="J229" i="3" s="1"/>
  <c r="F535" i="3"/>
  <c r="J535" i="3" s="1"/>
  <c r="F421" i="3"/>
  <c r="J421" i="3" s="1"/>
  <c r="F374" i="3"/>
  <c r="J374" i="3" s="1"/>
  <c r="F999" i="3"/>
  <c r="J999" i="3" s="1"/>
  <c r="F945" i="3"/>
  <c r="J945" i="3" s="1"/>
  <c r="F863" i="3"/>
  <c r="J863" i="3" s="1"/>
  <c r="F669" i="3"/>
  <c r="J669" i="3" s="1"/>
  <c r="F796" i="3"/>
  <c r="J796" i="3" s="1"/>
  <c r="F322" i="3"/>
  <c r="J322" i="3" s="1"/>
  <c r="F429" i="3"/>
  <c r="J429" i="3" s="1"/>
  <c r="F497" i="3"/>
  <c r="J497" i="3" s="1"/>
  <c r="F364" i="3"/>
  <c r="J364" i="3" s="1"/>
  <c r="F526" i="3"/>
  <c r="J526" i="3" s="1"/>
  <c r="F477" i="3"/>
  <c r="J477" i="3" s="1"/>
  <c r="F148" i="3"/>
  <c r="J148" i="3" s="1"/>
  <c r="F781" i="3"/>
  <c r="J781" i="3" s="1"/>
  <c r="F255" i="3"/>
  <c r="J255" i="3" s="1"/>
  <c r="F811" i="3"/>
  <c r="J811" i="3" s="1"/>
  <c r="F745" i="3"/>
  <c r="J745" i="3" s="1"/>
  <c r="F232" i="3"/>
  <c r="J232" i="3" s="1"/>
  <c r="F933" i="3"/>
  <c r="J933" i="3" s="1"/>
  <c r="F1045" i="3"/>
  <c r="J1045" i="3" s="1"/>
  <c r="F750" i="3"/>
  <c r="J750" i="3" s="1"/>
  <c r="F34" i="3"/>
  <c r="J34" i="3" s="1"/>
  <c r="F995" i="3"/>
  <c r="J995" i="3" s="1"/>
  <c r="F637" i="3"/>
  <c r="J637" i="3" s="1"/>
  <c r="F967" i="3"/>
  <c r="J967" i="3" s="1"/>
  <c r="F269" i="3"/>
  <c r="J269" i="3" s="1"/>
  <c r="F598" i="3"/>
  <c r="J598" i="3" s="1"/>
  <c r="F375" i="3"/>
  <c r="J375" i="3" s="1"/>
  <c r="F946" i="3"/>
  <c r="J946" i="3" s="1"/>
  <c r="F83" i="3"/>
  <c r="J83" i="3" s="1"/>
  <c r="F551" i="3"/>
  <c r="J551" i="3" s="1"/>
  <c r="F921" i="3"/>
  <c r="J921" i="3" s="1"/>
  <c r="F685" i="3"/>
  <c r="J685" i="3" s="1"/>
  <c r="F177" i="3"/>
  <c r="J177" i="3" s="1"/>
  <c r="F864" i="3"/>
  <c r="J864" i="3" s="1"/>
  <c r="F400" i="3"/>
  <c r="J400" i="3" s="1"/>
  <c r="F313" i="3"/>
  <c r="J313" i="3" s="1"/>
  <c r="F334" i="3"/>
  <c r="J334" i="3" s="1"/>
  <c r="F902" i="3"/>
  <c r="J902" i="3" s="1"/>
  <c r="F200" i="3"/>
  <c r="J200" i="3" s="1"/>
  <c r="F975" i="3"/>
  <c r="J975" i="3" s="1"/>
  <c r="F576" i="3"/>
  <c r="J576" i="3" s="1"/>
  <c r="F498" i="3"/>
  <c r="J498" i="3" s="1"/>
  <c r="F92" i="3"/>
  <c r="J92" i="3" s="1"/>
  <c r="F606" i="3"/>
  <c r="J606" i="3" s="1"/>
  <c r="F829" i="3"/>
  <c r="J829" i="3" s="1"/>
  <c r="F655" i="3"/>
  <c r="J655" i="3" s="1"/>
  <c r="F805" i="3"/>
  <c r="J805" i="3" s="1"/>
  <c r="F539" i="3"/>
  <c r="J539" i="3" s="1"/>
  <c r="F726" i="3"/>
  <c r="J726" i="3" s="1"/>
  <c r="F692" i="3"/>
  <c r="J692" i="3" s="1"/>
  <c r="F947" i="3"/>
  <c r="J947" i="3" s="1"/>
  <c r="F571" i="3"/>
  <c r="J571" i="3" s="1"/>
  <c r="F746" i="3"/>
  <c r="J746" i="3" s="1"/>
  <c r="F49" i="3"/>
  <c r="J49" i="3" s="1"/>
  <c r="F473" i="3"/>
  <c r="J473" i="3" s="1"/>
  <c r="F957" i="3"/>
  <c r="J957" i="3" s="1"/>
  <c r="F732" i="3"/>
  <c r="J732" i="3" s="1"/>
  <c r="F821" i="3"/>
  <c r="J821" i="3" s="1"/>
  <c r="F870" i="3"/>
  <c r="J870" i="3" s="1"/>
  <c r="F112" i="3"/>
  <c r="J112" i="3" s="1"/>
  <c r="F140" i="3"/>
  <c r="J140" i="3" s="1"/>
  <c r="F1046" i="3"/>
  <c r="J1046" i="3" s="1"/>
  <c r="F328" i="3"/>
  <c r="J328" i="3" s="1"/>
  <c r="F903" i="3"/>
  <c r="J903" i="3" s="1"/>
  <c r="F911" i="3"/>
  <c r="J911" i="3" s="1"/>
  <c r="F462" i="3"/>
  <c r="J462" i="3" s="1"/>
  <c r="F208" i="3"/>
  <c r="J208" i="3" s="1"/>
  <c r="F884" i="3"/>
  <c r="J884" i="3" s="1"/>
  <c r="F616" i="3"/>
  <c r="J616" i="3" s="1"/>
  <c r="F60" i="3"/>
  <c r="J60" i="3" s="1"/>
  <c r="F782" i="3"/>
  <c r="J782" i="3" s="1"/>
  <c r="F885" i="3"/>
  <c r="J885" i="3" s="1"/>
  <c r="F928" i="3"/>
  <c r="J928" i="3" s="1"/>
  <c r="F886" i="3"/>
  <c r="J886" i="3" s="1"/>
  <c r="F540" i="3"/>
  <c r="J540" i="3" s="1"/>
  <c r="F1016" i="3"/>
  <c r="J1016" i="3" s="1"/>
  <c r="F436" i="3"/>
  <c r="J436" i="3" s="1"/>
  <c r="F589" i="3"/>
  <c r="J589" i="3" s="1"/>
  <c r="F141" i="3"/>
  <c r="J141" i="3" s="1"/>
  <c r="F15" i="3"/>
  <c r="J15" i="3" s="1"/>
  <c r="F131" i="3"/>
  <c r="J131" i="3" s="1"/>
  <c r="F341" i="3"/>
  <c r="J341" i="3" s="1"/>
  <c r="F286" i="3"/>
  <c r="J286" i="3" s="1"/>
  <c r="F696" i="3"/>
  <c r="J696" i="3" s="1"/>
  <c r="F1014" i="3"/>
  <c r="J1014" i="3" s="1"/>
  <c r="F704" i="3"/>
  <c r="J704" i="3" s="1"/>
  <c r="F768" i="3"/>
  <c r="J768" i="3" s="1"/>
  <c r="F802" i="3"/>
  <c r="J802" i="3" s="1"/>
  <c r="F941" i="3"/>
  <c r="J941" i="3" s="1"/>
  <c r="F797" i="3"/>
  <c r="J797" i="3" s="1"/>
  <c r="F287" i="3"/>
  <c r="J287" i="3" s="1"/>
  <c r="F607" i="3"/>
  <c r="J607" i="3" s="1"/>
  <c r="F486" i="3"/>
  <c r="J486" i="3" s="1"/>
  <c r="F527" i="3"/>
  <c r="J527" i="3" s="1"/>
  <c r="F642" i="3"/>
  <c r="J642" i="3" s="1"/>
  <c r="F1051" i="3"/>
  <c r="J1051" i="3" s="1"/>
  <c r="F929" i="3"/>
  <c r="J929" i="3" s="1"/>
  <c r="F808" i="3"/>
  <c r="J808" i="3" s="1"/>
  <c r="F942" i="3"/>
  <c r="J942" i="3" s="1"/>
  <c r="F690" i="3"/>
  <c r="J690" i="3" s="1"/>
  <c r="F194" i="3"/>
  <c r="J194" i="3" s="1"/>
  <c r="F453" i="3"/>
  <c r="J453" i="3" s="1"/>
  <c r="F35" i="3"/>
  <c r="J35" i="3" s="1"/>
  <c r="F659" i="3"/>
  <c r="J659" i="3" s="1"/>
  <c r="F134" i="3"/>
  <c r="J134" i="3" s="1"/>
  <c r="F381" i="3"/>
  <c r="J381" i="3" s="1"/>
  <c r="F566" i="3"/>
  <c r="J566" i="3" s="1"/>
  <c r="F113" i="3"/>
  <c r="J113" i="3" s="1"/>
  <c r="F149" i="3"/>
  <c r="J149" i="3" s="1"/>
  <c r="F996" i="3"/>
  <c r="J996" i="3" s="1"/>
  <c r="F185" i="3"/>
  <c r="J185" i="3" s="1"/>
  <c r="F455" i="3"/>
  <c r="J455" i="3" s="1"/>
  <c r="F406" i="3"/>
  <c r="J406" i="3" s="1"/>
  <c r="F445" i="3"/>
  <c r="J445" i="3" s="1"/>
  <c r="F621" i="3"/>
  <c r="J621" i="3" s="1"/>
  <c r="F262" i="3"/>
  <c r="J262" i="3" s="1"/>
  <c r="F707" i="3"/>
  <c r="J707" i="3" s="1"/>
  <c r="F660" i="3"/>
  <c r="J660" i="3" s="1"/>
  <c r="F456" i="3"/>
  <c r="J456" i="3" s="1"/>
  <c r="F650" i="3"/>
  <c r="J650" i="3" s="1"/>
  <c r="F127" i="3"/>
  <c r="J127" i="3" s="1"/>
  <c r="F599" i="3"/>
  <c r="J599" i="3" s="1"/>
  <c r="F983" i="3"/>
  <c r="J983" i="3" s="1"/>
  <c r="F954" i="3"/>
  <c r="J954" i="3" s="1"/>
  <c r="F612" i="3"/>
  <c r="J612" i="3" s="1"/>
  <c r="F422" i="3"/>
  <c r="J422" i="3" s="1"/>
  <c r="F84" i="3"/>
  <c r="J84" i="3" s="1"/>
  <c r="F391" i="3"/>
  <c r="J391" i="3" s="1"/>
  <c r="F61" i="3"/>
  <c r="J61" i="3" s="1"/>
  <c r="F968" i="3"/>
  <c r="J968" i="3" s="1"/>
  <c r="F150" i="3"/>
  <c r="J150" i="3" s="1"/>
  <c r="F679" i="3"/>
  <c r="J679" i="3" s="1"/>
  <c r="F446" i="3"/>
  <c r="J446" i="3" s="1"/>
  <c r="F887" i="3"/>
  <c r="J887" i="3" s="1"/>
  <c r="F142" i="3"/>
  <c r="J142" i="3" s="1"/>
  <c r="F930" i="3"/>
  <c r="J930" i="3" s="1"/>
  <c r="F209" i="3"/>
  <c r="J209" i="3" s="1"/>
  <c r="F1009" i="3"/>
  <c r="J1009" i="3" s="1"/>
  <c r="F323" i="3"/>
  <c r="J323" i="3" s="1"/>
  <c r="F705" i="3"/>
  <c r="J705" i="3" s="1"/>
  <c r="F222" i="3"/>
  <c r="J222" i="3" s="1"/>
  <c r="F761" i="3"/>
  <c r="J761" i="3" s="1"/>
  <c r="F201" i="3"/>
  <c r="J201" i="3" s="1"/>
  <c r="F437" i="3"/>
  <c r="J437" i="3" s="1"/>
  <c r="F774" i="3"/>
  <c r="J774" i="3" s="1"/>
  <c r="F582" i="3"/>
  <c r="J582" i="3" s="1"/>
  <c r="F638" i="3"/>
  <c r="J638" i="3" s="1"/>
  <c r="F304" i="3"/>
  <c r="J304" i="3" s="1"/>
  <c r="F546" i="3"/>
  <c r="J546" i="3" s="1"/>
  <c r="F859" i="3"/>
  <c r="J859" i="3" s="1"/>
  <c r="F238" i="3"/>
  <c r="J238" i="3" s="1"/>
  <c r="F239" i="3"/>
  <c r="J239" i="3" s="1"/>
  <c r="F871" i="3"/>
  <c r="J871" i="3" s="1"/>
  <c r="F904" i="3"/>
  <c r="J904" i="3" s="1"/>
  <c r="F590" i="3"/>
  <c r="J590" i="3" s="1"/>
  <c r="F536" i="3"/>
  <c r="J536" i="3" s="1"/>
  <c r="F38" i="3"/>
  <c r="J38" i="3" s="1"/>
  <c r="F1000" i="3"/>
  <c r="J1000" i="3" s="1"/>
  <c r="F844" i="3"/>
  <c r="J844" i="3" s="1"/>
  <c r="F252" i="3"/>
  <c r="J252" i="3" s="1"/>
  <c r="F613" i="3"/>
  <c r="J613" i="3" s="1"/>
  <c r="F812" i="3"/>
  <c r="J812" i="3" s="1"/>
  <c r="F583" i="3"/>
  <c r="J583" i="3" s="1"/>
  <c r="F519" i="3"/>
  <c r="J519" i="3" s="1"/>
  <c r="F11" i="3"/>
  <c r="J11" i="3" s="1"/>
  <c r="F962" i="3"/>
  <c r="J962" i="3" s="1"/>
  <c r="F274" i="3"/>
  <c r="J274" i="3" s="1"/>
  <c r="F263" i="3"/>
  <c r="J263" i="3" s="1"/>
  <c r="F365" i="3"/>
  <c r="J365" i="3" s="1"/>
  <c r="F1017" i="3"/>
  <c r="J1017" i="3" s="1"/>
  <c r="F963" i="3"/>
  <c r="J963" i="3" s="1"/>
  <c r="F79" i="3"/>
  <c r="J79" i="3" s="1"/>
  <c r="F798" i="3"/>
  <c r="J798" i="3" s="1"/>
  <c r="F135" i="3"/>
  <c r="J135" i="3" s="1"/>
  <c r="F733" i="3"/>
  <c r="J733" i="3" s="1"/>
  <c r="F240" i="3"/>
  <c r="J240" i="3" s="1"/>
  <c r="F478" i="3"/>
  <c r="J478" i="3" s="1"/>
  <c r="F430" i="3"/>
  <c r="J430" i="3" s="1"/>
  <c r="F253" i="3"/>
  <c r="J253" i="3" s="1"/>
  <c r="F629" i="3"/>
  <c r="J629" i="3" s="1"/>
  <c r="F151" i="3"/>
  <c r="J151" i="3" s="1"/>
  <c r="F342" i="3"/>
  <c r="J342" i="3" s="1"/>
  <c r="F915" i="3"/>
  <c r="J915" i="3" s="1"/>
  <c r="F670" i="3"/>
  <c r="J670" i="3" s="1"/>
  <c r="F721" i="3"/>
  <c r="J721" i="3" s="1"/>
  <c r="F872" i="3"/>
  <c r="J872" i="3" s="1"/>
  <c r="F411" i="3"/>
  <c r="J411" i="3" s="1"/>
  <c r="F822" i="3"/>
  <c r="J822" i="3" s="1"/>
  <c r="F520" i="3"/>
  <c r="J520" i="3" s="1"/>
  <c r="F837" i="3"/>
  <c r="J837" i="3" s="1"/>
  <c r="F528" i="3"/>
  <c r="J528" i="3" s="1"/>
  <c r="F809" i="3"/>
  <c r="J809" i="3" s="1"/>
  <c r="F152" i="3"/>
  <c r="J152" i="3" s="1"/>
  <c r="F457" i="3"/>
  <c r="J457" i="3" s="1"/>
  <c r="F463" i="3"/>
  <c r="J463" i="3" s="1"/>
  <c r="F630" i="3"/>
  <c r="J630" i="3" s="1"/>
  <c r="F852" i="3"/>
  <c r="J852" i="3" s="1"/>
  <c r="F223" i="3"/>
  <c r="J223" i="3" s="1"/>
  <c r="F922" i="3"/>
  <c r="J922" i="3" s="1"/>
  <c r="F964" i="3"/>
  <c r="J964" i="3" s="1"/>
  <c r="F392" i="3"/>
  <c r="J392" i="3" s="1"/>
  <c r="F846" i="3"/>
  <c r="J846" i="3" s="1"/>
  <c r="F813" i="3"/>
  <c r="J813" i="3" s="1"/>
  <c r="F114" i="3"/>
  <c r="J114" i="3" s="1"/>
  <c r="F923" i="3"/>
  <c r="J923" i="3" s="1"/>
  <c r="F169" i="3"/>
  <c r="J169" i="3" s="1"/>
  <c r="F412" i="3"/>
  <c r="J412" i="3" s="1"/>
  <c r="F158" i="3"/>
  <c r="J158" i="3" s="1"/>
  <c r="F314" i="3"/>
  <c r="J314" i="3" s="1"/>
  <c r="F404" i="3"/>
  <c r="J404" i="3" s="1"/>
  <c r="F153" i="3"/>
  <c r="J153" i="3" s="1"/>
  <c r="F233" i="3"/>
  <c r="J233" i="3" s="1"/>
  <c r="F487" i="3"/>
  <c r="J487" i="3" s="1"/>
  <c r="F948" i="3"/>
  <c r="J948" i="3" s="1"/>
  <c r="F186" i="3"/>
  <c r="J186" i="3" s="1"/>
  <c r="F697" i="3"/>
  <c r="J697" i="3" s="1"/>
  <c r="F521" i="3"/>
  <c r="J521" i="3" s="1"/>
  <c r="F572" i="3"/>
  <c r="J572" i="3" s="1"/>
  <c r="F823" i="3"/>
  <c r="J823" i="3" s="1"/>
  <c r="F178" i="3"/>
  <c r="J178" i="3" s="1"/>
  <c r="F799" i="3"/>
  <c r="J799" i="3" s="1"/>
  <c r="F512" i="3"/>
  <c r="J512" i="3" s="1"/>
  <c r="F577" i="3"/>
  <c r="J577" i="3" s="1"/>
  <c r="F241" i="3"/>
  <c r="J241" i="3" s="1"/>
  <c r="F662" i="3"/>
  <c r="J662" i="3" s="1"/>
  <c r="F865" i="3"/>
  <c r="J865" i="3" s="1"/>
  <c r="F734" i="3"/>
  <c r="J734" i="3" s="1"/>
  <c r="F949" i="3"/>
  <c r="J949" i="3" s="1"/>
  <c r="F888" i="3"/>
  <c r="J888" i="3" s="1"/>
  <c r="F224" i="3"/>
  <c r="J224" i="3" s="1"/>
  <c r="F769" i="3"/>
  <c r="J769" i="3" s="1"/>
  <c r="F210" i="3"/>
  <c r="J210" i="3" s="1"/>
  <c r="F671" i="3"/>
  <c r="J671" i="3" s="1"/>
  <c r="F370" i="3"/>
  <c r="J370" i="3" s="1"/>
  <c r="F179" i="3"/>
  <c r="J179" i="3" s="1"/>
  <c r="F242" i="3"/>
  <c r="J242" i="3" s="1"/>
  <c r="F413" i="3"/>
  <c r="J413" i="3" s="1"/>
  <c r="F614" i="3"/>
  <c r="J614" i="3" s="1"/>
  <c r="F853" i="3"/>
  <c r="J853" i="3" s="1"/>
  <c r="F69" i="3"/>
  <c r="J69" i="3" s="1"/>
  <c r="F467" i="3"/>
  <c r="J467" i="3" s="1"/>
  <c r="F16" i="3"/>
  <c r="J16" i="3" s="1"/>
  <c r="F663" i="3"/>
  <c r="J663" i="3" s="1"/>
  <c r="F170" i="3"/>
  <c r="J170" i="3" s="1"/>
  <c r="F248" i="3"/>
  <c r="J248" i="3" s="1"/>
  <c r="F513" i="3"/>
  <c r="J513" i="3" s="1"/>
  <c r="F775" i="3"/>
  <c r="J775" i="3" s="1"/>
  <c r="F693" i="3"/>
  <c r="J693" i="3" s="1"/>
  <c r="F899" i="3"/>
  <c r="J899" i="3" s="1"/>
  <c r="F678" i="3"/>
  <c r="J678" i="3" s="1"/>
  <c r="F552" i="3"/>
  <c r="J552" i="3" s="1"/>
  <c r="F938" i="3"/>
  <c r="J938" i="3" s="1"/>
  <c r="F672" i="3"/>
  <c r="J672" i="3" s="1"/>
  <c r="F567" i="3"/>
  <c r="J567" i="3" s="1"/>
  <c r="F969" i="3"/>
  <c r="J969" i="3" s="1"/>
  <c r="F602" i="3"/>
  <c r="J602" i="3" s="1"/>
  <c r="F673" i="3"/>
  <c r="J673" i="3" s="1"/>
  <c r="F211" i="3"/>
  <c r="J211" i="3" s="1"/>
  <c r="F115" i="3"/>
  <c r="J115" i="3" s="1"/>
  <c r="F783" i="3"/>
  <c r="J783" i="3" s="1"/>
  <c r="F39" i="3"/>
  <c r="J39" i="3" s="1"/>
  <c r="F1034" i="3"/>
  <c r="J1034" i="3" s="1"/>
  <c r="F288" i="3"/>
  <c r="J288" i="3" s="1"/>
  <c r="F376" i="3"/>
  <c r="J376" i="3" s="1"/>
  <c r="F47" i="3"/>
  <c r="J47" i="3" s="1"/>
  <c r="F361" i="3"/>
  <c r="J361" i="3" s="1"/>
  <c r="F292" i="3"/>
  <c r="J292" i="3" s="1"/>
  <c r="F735" i="3"/>
  <c r="J735" i="3" s="1"/>
  <c r="F371" i="3"/>
  <c r="J371" i="3" s="1"/>
  <c r="F219" i="3"/>
  <c r="J219" i="3" s="1"/>
  <c r="F1060" i="3"/>
  <c r="J1060" i="3" s="1"/>
  <c r="F631" i="3"/>
  <c r="J631" i="3" s="1"/>
  <c r="F784" i="3"/>
  <c r="J784" i="3" s="1"/>
  <c r="F1012" i="3"/>
  <c r="J1012" i="3" s="1"/>
  <c r="F1052" i="3"/>
  <c r="J1052" i="3" s="1"/>
  <c r="F1047" i="3"/>
  <c r="J1047" i="3" s="1"/>
  <c r="F680" i="3"/>
  <c r="J680" i="3" s="1"/>
  <c r="F751" i="3"/>
  <c r="J751" i="3" s="1"/>
  <c r="F698" i="3"/>
  <c r="J698" i="3" s="1"/>
  <c r="F146" i="3"/>
  <c r="J146" i="3" s="1"/>
  <c r="F792" i="3"/>
  <c r="J792" i="3" s="1"/>
  <c r="F154" i="3"/>
  <c r="J154" i="3" s="1"/>
  <c r="F350" i="3"/>
  <c r="J350" i="3" s="1"/>
  <c r="F1056" i="3"/>
  <c r="J1056" i="3" s="1"/>
  <c r="F747" i="3"/>
  <c r="J747" i="3" s="1"/>
  <c r="F479" i="3"/>
  <c r="J479" i="3" s="1"/>
  <c r="F741" i="3"/>
  <c r="J741" i="3" s="1"/>
  <c r="F1027" i="3"/>
  <c r="J1027" i="3" s="1"/>
  <c r="F54" i="3"/>
  <c r="J54" i="3" s="1"/>
  <c r="F1035" i="3"/>
  <c r="J1035" i="3" s="1"/>
  <c r="F984" i="3"/>
  <c r="J984" i="3" s="1"/>
  <c r="F600" i="3"/>
  <c r="J600" i="3" s="1"/>
  <c r="F748" i="3"/>
  <c r="J748" i="3" s="1"/>
  <c r="F279" i="3"/>
  <c r="J279" i="3" s="1"/>
  <c r="F578" i="3"/>
  <c r="J578" i="3" s="1"/>
  <c r="F136" i="3"/>
  <c r="J136" i="3" s="1"/>
  <c r="F1001" i="3"/>
  <c r="J1001" i="3" s="1"/>
  <c r="F845" i="3"/>
  <c r="J845" i="3" s="1"/>
  <c r="F1018" i="3"/>
  <c r="J1018" i="3" s="1"/>
  <c r="F329" i="3"/>
  <c r="J329" i="3" s="1"/>
  <c r="F393" i="3"/>
  <c r="J393" i="3" s="1"/>
  <c r="F48" i="3"/>
  <c r="J48" i="3" s="1"/>
  <c r="F615" i="3"/>
  <c r="J615" i="3" s="1"/>
  <c r="F343" i="3"/>
  <c r="J343" i="3" s="1"/>
  <c r="F1328" i="3"/>
  <c r="J1328" i="3" s="1"/>
  <c r="F20" i="3"/>
  <c r="J20" i="3" s="1"/>
  <c r="F1905" i="3"/>
  <c r="J1905" i="3" s="1"/>
  <c r="F1657" i="3"/>
  <c r="J1657" i="3" s="1"/>
  <c r="F1820" i="3"/>
  <c r="J1820" i="3" s="1"/>
  <c r="F1648" i="3"/>
  <c r="J1648" i="3" s="1"/>
  <c r="F1128" i="3"/>
  <c r="J1128" i="3" s="1"/>
  <c r="F1927" i="3"/>
  <c r="J1927" i="3" s="1"/>
  <c r="F1380" i="3"/>
  <c r="J1380" i="3" s="1"/>
  <c r="F1691" i="3"/>
  <c r="J1691" i="3" s="1"/>
  <c r="F973" i="3"/>
  <c r="J973" i="3" s="1"/>
  <c r="F1390" i="3"/>
  <c r="J1390" i="3" s="1"/>
  <c r="F1862" i="3"/>
  <c r="J1862" i="3" s="1"/>
  <c r="F579" i="3"/>
  <c r="J579" i="3" s="1"/>
  <c r="F1815" i="3"/>
  <c r="J1815" i="3" s="1"/>
  <c r="F1541" i="3"/>
  <c r="J1541" i="3" s="1"/>
  <c r="F1176" i="3"/>
  <c r="J1176" i="3" s="1"/>
  <c r="F1783" i="3"/>
  <c r="J1783" i="3" s="1"/>
  <c r="F1561" i="3"/>
  <c r="J1561" i="3" s="1"/>
  <c r="F1391" i="3"/>
  <c r="J1391" i="3" s="1"/>
  <c r="F1524" i="3"/>
  <c r="J1524" i="3" s="1"/>
  <c r="F1062" i="3"/>
  <c r="J1062" i="3" s="1"/>
  <c r="F838" i="3"/>
  <c r="J838" i="3" s="1"/>
  <c r="F1247" i="3"/>
  <c r="J1247" i="3" s="1"/>
  <c r="F1692" i="3"/>
  <c r="J1692" i="3" s="1"/>
  <c r="F889" i="3"/>
  <c r="J889" i="3" s="1"/>
  <c r="F1436" i="3"/>
  <c r="J1436" i="3" s="1"/>
  <c r="F1906" i="3"/>
  <c r="J1906" i="3" s="1"/>
  <c r="F1711" i="3"/>
  <c r="J1711" i="3" s="1"/>
  <c r="F1870" i="3"/>
  <c r="J1870" i="3" s="1"/>
  <c r="F1424" i="3"/>
  <c r="J1424" i="3" s="1"/>
  <c r="F1866" i="3"/>
  <c r="J1866" i="3" s="1"/>
  <c r="F4" i="3"/>
  <c r="J4" i="3" s="1"/>
  <c r="F1513" i="3"/>
  <c r="J1513" i="3" s="1"/>
  <c r="F1202" i="3"/>
  <c r="J1202" i="3" s="1"/>
  <c r="F1363" i="3"/>
  <c r="J1363" i="3" s="1"/>
  <c r="F99" i="3"/>
  <c r="J99" i="3" s="1"/>
  <c r="F608" i="3"/>
  <c r="J608" i="3" s="1"/>
  <c r="F1873" i="3"/>
  <c r="J1873" i="3" s="1"/>
  <c r="F1235" i="3"/>
  <c r="J1235" i="3" s="1"/>
  <c r="F1824" i="3"/>
  <c r="J1824" i="3" s="1"/>
  <c r="F1772" i="3"/>
  <c r="J1772" i="3" s="1"/>
  <c r="F894" i="3"/>
  <c r="J894" i="3" s="1"/>
  <c r="F1188" i="3"/>
  <c r="J1188" i="3" s="1"/>
  <c r="F1096" i="3"/>
  <c r="J1096" i="3" s="1"/>
  <c r="F305" i="3"/>
  <c r="J305" i="3" s="1"/>
  <c r="F1099" i="3"/>
  <c r="J1099" i="3" s="1"/>
  <c r="F1825" i="3"/>
  <c r="J1825" i="3" s="1"/>
  <c r="F1480" i="3"/>
  <c r="J1480" i="3" s="1"/>
  <c r="F1892" i="3"/>
  <c r="J1892" i="3" s="1"/>
  <c r="F1552" i="3"/>
  <c r="J1552" i="3" s="1"/>
  <c r="F1801" i="3"/>
  <c r="J1801" i="3" s="1"/>
  <c r="F1130" i="3"/>
  <c r="J1130" i="3" s="1"/>
  <c r="F1386" i="3"/>
  <c r="J1386" i="3" s="1"/>
  <c r="F1364" i="3"/>
  <c r="J1364" i="3" s="1"/>
  <c r="F1117" i="3"/>
  <c r="J1117" i="3" s="1"/>
  <c r="F1854" i="3"/>
  <c r="J1854" i="3" s="1"/>
  <c r="F1856" i="3"/>
  <c r="J1856" i="3" s="1"/>
  <c r="F1789" i="3"/>
  <c r="J1789" i="3" s="1"/>
  <c r="F264" i="3"/>
  <c r="J264" i="3" s="1"/>
  <c r="F483" i="3"/>
  <c r="J483" i="3" s="1"/>
  <c r="F1553" i="3"/>
  <c r="J1553" i="3" s="1"/>
  <c r="F1294" i="3"/>
  <c r="J1294" i="3" s="1"/>
  <c r="F1767" i="3"/>
  <c r="J1767" i="3" s="1"/>
  <c r="F1146" i="3"/>
  <c r="J1146" i="3" s="1"/>
  <c r="F230" i="3"/>
  <c r="J230" i="3" s="1"/>
  <c r="F21" i="3"/>
  <c r="J21" i="3" s="1"/>
  <c r="F1215" i="3"/>
  <c r="J1215" i="3" s="1"/>
  <c r="F1703" i="3"/>
  <c r="J1703" i="3" s="1"/>
  <c r="F708" i="3"/>
  <c r="J708" i="3" s="1"/>
  <c r="F1554" i="3"/>
  <c r="J1554" i="3" s="1"/>
  <c r="F1127" i="3"/>
  <c r="J1127" i="3" s="1"/>
  <c r="F890" i="3"/>
  <c r="J890" i="3" s="1"/>
  <c r="F1669" i="3"/>
  <c r="J1669" i="3" s="1"/>
  <c r="F1316" i="3"/>
  <c r="J1316" i="3" s="1"/>
  <c r="F1459" i="3"/>
  <c r="J1459" i="3" s="1"/>
  <c r="F1633" i="3"/>
  <c r="J1633" i="3" s="1"/>
  <c r="F1299" i="3"/>
  <c r="J1299" i="3" s="1"/>
  <c r="F1471" i="3"/>
  <c r="J1471" i="3" s="1"/>
  <c r="F50" i="3"/>
  <c r="J50" i="3" s="1"/>
  <c r="F609" i="3"/>
  <c r="J609" i="3" s="1"/>
  <c r="F401" i="3"/>
  <c r="J401" i="3" s="1"/>
  <c r="F1889" i="3"/>
  <c r="J1889" i="3" s="1"/>
  <c r="F1834" i="3"/>
  <c r="J1834" i="3" s="1"/>
  <c r="F1615" i="3"/>
  <c r="J1615" i="3" s="1"/>
  <c r="F1850" i="3"/>
  <c r="J1850" i="3" s="1"/>
  <c r="F824" i="3"/>
  <c r="J824" i="3" s="1"/>
  <c r="F1444" i="3"/>
  <c r="J1444" i="3" s="1"/>
  <c r="F187" i="3"/>
  <c r="J187" i="3" s="1"/>
  <c r="F1775" i="3"/>
  <c r="J1775" i="3" s="1"/>
  <c r="F1244" i="3"/>
  <c r="J1244" i="3" s="1"/>
  <c r="F1496" i="3"/>
  <c r="J1496" i="3" s="1"/>
  <c r="F1461" i="3"/>
  <c r="J1461" i="3" s="1"/>
  <c r="F814" i="3"/>
  <c r="J814" i="3" s="1"/>
  <c r="F1301" i="3"/>
  <c r="J1301" i="3" s="1"/>
  <c r="F699" i="3"/>
  <c r="J699" i="3" s="1"/>
  <c r="F212" i="3"/>
  <c r="J212" i="3" s="1"/>
  <c r="F1189" i="3"/>
  <c r="J1189" i="3" s="1"/>
  <c r="F1469" i="3"/>
  <c r="J1469" i="3" s="1"/>
  <c r="F1509" i="3"/>
  <c r="J1509" i="3" s="1"/>
  <c r="F1195" i="3"/>
  <c r="J1195" i="3" s="1"/>
  <c r="F1899" i="3"/>
  <c r="J1899" i="3" s="1"/>
  <c r="F1682" i="3"/>
  <c r="J1682" i="3" s="1"/>
  <c r="F1837" i="3"/>
  <c r="J1837" i="3" s="1"/>
  <c r="F1318" i="3"/>
  <c r="J1318" i="3" s="1"/>
  <c r="F1527" i="3"/>
  <c r="J1527" i="3" s="1"/>
  <c r="F1749" i="3"/>
  <c r="J1749" i="3" s="1"/>
  <c r="F1649" i="3"/>
  <c r="J1649" i="3" s="1"/>
  <c r="F1838" i="3"/>
  <c r="J1838" i="3" s="1"/>
  <c r="F1385" i="3"/>
  <c r="J1385" i="3" s="1"/>
  <c r="F1298" i="3"/>
  <c r="J1298" i="3" s="1"/>
  <c r="F1769" i="3"/>
  <c r="J1769" i="3" s="1"/>
  <c r="F1855" i="3"/>
  <c r="J1855" i="3" s="1"/>
  <c r="F1448" i="3"/>
  <c r="J1448" i="3" s="1"/>
  <c r="F1322" i="3"/>
  <c r="J1322" i="3" s="1"/>
  <c r="F1841" i="3"/>
  <c r="J1841" i="3" s="1"/>
  <c r="F866" i="3"/>
  <c r="J866" i="3" s="1"/>
  <c r="F1671" i="3"/>
  <c r="J1671" i="3" s="1"/>
  <c r="F1806" i="3"/>
  <c r="J1806" i="3" s="1"/>
  <c r="F1350" i="3"/>
  <c r="J1350" i="3" s="1"/>
  <c r="F1325" i="3"/>
  <c r="J1325" i="3" s="1"/>
  <c r="F1124" i="3"/>
  <c r="J1124" i="3" s="1"/>
  <c r="F1678" i="3"/>
  <c r="J1678" i="3" s="1"/>
  <c r="F1110" i="3"/>
  <c r="J1110" i="3" s="1"/>
  <c r="F1781" i="3"/>
  <c r="J1781" i="3" s="1"/>
  <c r="F1555" i="3"/>
  <c r="J1555" i="3" s="1"/>
  <c r="F1147" i="3"/>
  <c r="J1147" i="3" s="1"/>
  <c r="F1696" i="3"/>
  <c r="J1696" i="3" s="1"/>
  <c r="F1709" i="3"/>
  <c r="J1709" i="3" s="1"/>
  <c r="F1411" i="3"/>
  <c r="J1411" i="3" s="1"/>
  <c r="F1360" i="3"/>
  <c r="J1360" i="3" s="1"/>
  <c r="F1544" i="3"/>
  <c r="J1544" i="3" s="1"/>
  <c r="F1095" i="3"/>
  <c r="J1095" i="3" s="1"/>
  <c r="F1139" i="3"/>
  <c r="J1139" i="3" s="1"/>
  <c r="F1312" i="3"/>
  <c r="J1312" i="3" s="1"/>
  <c r="F407" i="3"/>
  <c r="J407" i="3" s="1"/>
  <c r="F1645" i="3"/>
  <c r="J1645" i="3" s="1"/>
  <c r="F1160" i="3"/>
  <c r="J1160" i="3" s="1"/>
  <c r="F1151" i="3"/>
  <c r="J1151" i="3" s="1"/>
  <c r="F1828" i="3"/>
  <c r="J1828" i="3" s="1"/>
  <c r="F1510" i="3"/>
  <c r="J1510" i="3" s="1"/>
  <c r="F1629" i="3"/>
  <c r="J1629" i="3" s="1"/>
  <c r="F1829" i="3"/>
  <c r="J1829" i="3" s="1"/>
  <c r="F1144" i="3"/>
  <c r="J1144" i="3" s="1"/>
  <c r="F1466" i="3"/>
  <c r="J1466" i="3" s="1"/>
  <c r="F55" i="3"/>
  <c r="J55" i="3" s="1"/>
  <c r="F1403" i="3"/>
  <c r="J1403" i="3" s="1"/>
  <c r="F1894" i="3"/>
  <c r="J1894" i="3" s="1"/>
  <c r="F1040" i="3"/>
  <c r="J1040" i="3" s="1"/>
  <c r="F447" i="3"/>
  <c r="J447" i="3" s="1"/>
  <c r="F1105" i="3"/>
  <c r="J1105" i="3" s="1"/>
  <c r="F1653" i="3"/>
  <c r="J1653" i="3" s="1"/>
  <c r="F1276" i="3"/>
  <c r="J1276" i="3" s="1"/>
  <c r="F1365" i="3"/>
  <c r="J1365" i="3" s="1"/>
  <c r="F1465" i="3"/>
  <c r="J1465" i="3" s="1"/>
  <c r="F1688" i="3"/>
  <c r="J1688" i="3" s="1"/>
  <c r="F1100" i="3"/>
  <c r="J1100" i="3" s="1"/>
  <c r="F1616" i="3"/>
  <c r="J1616" i="3" s="1"/>
  <c r="F1352" i="3"/>
  <c r="J1352" i="3" s="1"/>
  <c r="F1568" i="3"/>
  <c r="J1568" i="3" s="1"/>
  <c r="F1639" i="3"/>
  <c r="J1639" i="3" s="1"/>
  <c r="F1366" i="3"/>
  <c r="J1366" i="3" s="1"/>
  <c r="F1324" i="3"/>
  <c r="J1324" i="3" s="1"/>
  <c r="F1727" i="3"/>
  <c r="J1727" i="3" s="1"/>
  <c r="F85" i="3"/>
  <c r="J85" i="3" s="1"/>
  <c r="F488" i="3"/>
  <c r="J488" i="3" s="1"/>
  <c r="F1171" i="3"/>
  <c r="J1171" i="3" s="1"/>
  <c r="F1076" i="3"/>
  <c r="J1076" i="3" s="1"/>
  <c r="F1272" i="3"/>
  <c r="J1272" i="3" s="1"/>
  <c r="F1618" i="3"/>
  <c r="J1618" i="3" s="1"/>
  <c r="F1107" i="3"/>
  <c r="J1107" i="3" s="1"/>
  <c r="F1187" i="3"/>
  <c r="J1187" i="3" s="1"/>
  <c r="F1591" i="3"/>
  <c r="J1591" i="3" s="1"/>
  <c r="F1495" i="3"/>
  <c r="J1495" i="3" s="1"/>
  <c r="F1243" i="3"/>
  <c r="J1243" i="3" s="1"/>
  <c r="F1347" i="3"/>
  <c r="J1347" i="3" s="1"/>
  <c r="F1462" i="3"/>
  <c r="J1462" i="3" s="1"/>
  <c r="F1425" i="3"/>
  <c r="J1425" i="3" s="1"/>
  <c r="F1220" i="3"/>
  <c r="J1220" i="3" s="1"/>
  <c r="F1296" i="3"/>
  <c r="J1296" i="3" s="1"/>
  <c r="F1672" i="3"/>
  <c r="J1672" i="3" s="1"/>
  <c r="F1455" i="3"/>
  <c r="J1455" i="3" s="1"/>
  <c r="F1210" i="3"/>
  <c r="J1210" i="3" s="1"/>
  <c r="F1118" i="3"/>
  <c r="J1118" i="3" s="1"/>
  <c r="F1203" i="3"/>
  <c r="J1203" i="3" s="1"/>
  <c r="F639" i="3"/>
  <c r="J639" i="3" s="1"/>
  <c r="F1923" i="3"/>
  <c r="J1923" i="3" s="1"/>
  <c r="F1705" i="3"/>
  <c r="J1705" i="3" s="1"/>
  <c r="F1270" i="3"/>
  <c r="J1270" i="3" s="1"/>
  <c r="F1810" i="3"/>
  <c r="J1810" i="3" s="1"/>
  <c r="F1399" i="3"/>
  <c r="J1399" i="3" s="1"/>
  <c r="F1761" i="3"/>
  <c r="J1761" i="3" s="1"/>
  <c r="F12" i="3"/>
  <c r="J12" i="3" s="1"/>
  <c r="F1583" i="3"/>
  <c r="J1583" i="3" s="1"/>
  <c r="F1813" i="3"/>
  <c r="J1813" i="3" s="1"/>
  <c r="F1439" i="3"/>
  <c r="J1439" i="3" s="1"/>
  <c r="F1341" i="3"/>
  <c r="J1341" i="3" s="1"/>
  <c r="F1282" i="3"/>
  <c r="J1282" i="3" s="1"/>
  <c r="F280" i="3"/>
  <c r="J280" i="3" s="1"/>
  <c r="F1019" i="3"/>
  <c r="J1019" i="3" s="1"/>
  <c r="F1406" i="3"/>
  <c r="J1406" i="3" s="1"/>
  <c r="F1233" i="3"/>
  <c r="J1233" i="3" s="1"/>
  <c r="F1537" i="3"/>
  <c r="J1537" i="3" s="1"/>
  <c r="F1683" i="3"/>
  <c r="J1683" i="3" s="1"/>
  <c r="F1375" i="3"/>
  <c r="J1375" i="3" s="1"/>
  <c r="F1542" i="3"/>
  <c r="J1542" i="3" s="1"/>
  <c r="F1317" i="3"/>
  <c r="J1317" i="3" s="1"/>
  <c r="F1689" i="3"/>
  <c r="J1689" i="3" s="1"/>
  <c r="F265" i="3"/>
  <c r="J265" i="3" s="1"/>
  <c r="F1067" i="3"/>
  <c r="J1067" i="3" s="1"/>
  <c r="F1132" i="3"/>
  <c r="J1132" i="3" s="1"/>
  <c r="F1450" i="3"/>
  <c r="J1450" i="3" s="1"/>
  <c r="F715" i="3"/>
  <c r="J715" i="3" s="1"/>
  <c r="F1871" i="3"/>
  <c r="J1871" i="3" s="1"/>
  <c r="F1164" i="3"/>
  <c r="J1164" i="3" s="1"/>
  <c r="F1308" i="3"/>
  <c r="J1308" i="3" s="1"/>
  <c r="F1830" i="3"/>
  <c r="J1830" i="3" s="1"/>
  <c r="F1625" i="3"/>
  <c r="J1625" i="3" s="1"/>
  <c r="F1361" i="3"/>
  <c r="J1361" i="3" s="1"/>
  <c r="F664" i="3"/>
  <c r="J664" i="3" s="1"/>
  <c r="F155" i="3"/>
  <c r="J155" i="3" s="1"/>
  <c r="F1929" i="3"/>
  <c r="J1929" i="3" s="1"/>
  <c r="F1547" i="3"/>
  <c r="J1547" i="3" s="1"/>
  <c r="F1525" i="3"/>
  <c r="J1525" i="3" s="1"/>
  <c r="F1734" i="3"/>
  <c r="J1734" i="3" s="1"/>
  <c r="F1097" i="3"/>
  <c r="J1097" i="3" s="1"/>
  <c r="F1636" i="3"/>
  <c r="J1636" i="3" s="1"/>
  <c r="F867" i="3"/>
  <c r="J867" i="3" s="1"/>
  <c r="F1654" i="3"/>
  <c r="J1654" i="3" s="1"/>
  <c r="F1698" i="3"/>
  <c r="J1698" i="3" s="1"/>
  <c r="F1082" i="3"/>
  <c r="J1082" i="3" s="1"/>
  <c r="F1606" i="3"/>
  <c r="J1606" i="3" s="1"/>
  <c r="F1779" i="3"/>
  <c r="J1779" i="3" s="1"/>
  <c r="F752" i="3"/>
  <c r="J752" i="3" s="1"/>
  <c r="F1546" i="3"/>
  <c r="J1546" i="3" s="1"/>
  <c r="F522" i="3"/>
  <c r="J522" i="3" s="1"/>
  <c r="F1851" i="3"/>
  <c r="J1851" i="3" s="1"/>
  <c r="F1545" i="3"/>
  <c r="J1545" i="3" s="1"/>
  <c r="F1569" i="3"/>
  <c r="J1569" i="3" s="1"/>
  <c r="F202" i="3"/>
  <c r="J202" i="3" s="1"/>
  <c r="F1191" i="3"/>
  <c r="J1191" i="3" s="1"/>
  <c r="F1723" i="3"/>
  <c r="J1723" i="3" s="1"/>
  <c r="F1313" i="3"/>
  <c r="J1313" i="3" s="1"/>
  <c r="F171" i="3"/>
  <c r="J171" i="3" s="1"/>
  <c r="F1492" i="3"/>
  <c r="J1492" i="3" s="1"/>
  <c r="F1238" i="3"/>
  <c r="J1238" i="3" s="1"/>
  <c r="F1664" i="3"/>
  <c r="J1664" i="3" s="1"/>
  <c r="F716" i="3"/>
  <c r="J716" i="3" s="1"/>
  <c r="F474" i="3"/>
  <c r="J474" i="3" s="1"/>
  <c r="F1858" i="3"/>
  <c r="J1858" i="3" s="1"/>
  <c r="F1173" i="3"/>
  <c r="J1173" i="3" s="1"/>
  <c r="F1208" i="3"/>
  <c r="J1208" i="3" s="1"/>
  <c r="F1674" i="3"/>
  <c r="J1674" i="3" s="1"/>
  <c r="F1285" i="3"/>
  <c r="J1285" i="3" s="1"/>
  <c r="F958" i="3"/>
  <c r="J958" i="3" s="1"/>
  <c r="F1066" i="3"/>
  <c r="J1066" i="3" s="1"/>
  <c r="F722" i="3"/>
  <c r="J722" i="3" s="1"/>
  <c r="F1722" i="3"/>
  <c r="J1722" i="3" s="1"/>
  <c r="F1437" i="3"/>
  <c r="J1437" i="3" s="1"/>
  <c r="F1823" i="3"/>
  <c r="J1823" i="3" s="1"/>
  <c r="F1925" i="3"/>
  <c r="J1925" i="3" s="1"/>
  <c r="F1240" i="3"/>
  <c r="J1240" i="3" s="1"/>
  <c r="F1426" i="3"/>
  <c r="J1426" i="3" s="1"/>
  <c r="F1381" i="3"/>
  <c r="J1381" i="3" s="1"/>
  <c r="F1863" i="3"/>
  <c r="J1863" i="3" s="1"/>
  <c r="F1138" i="3"/>
  <c r="J1138" i="3" s="1"/>
  <c r="F1770" i="3"/>
  <c r="J1770" i="3" s="1"/>
  <c r="F905" i="3"/>
  <c r="J905" i="3" s="1"/>
  <c r="F1123" i="3"/>
  <c r="J1123" i="3" s="1"/>
  <c r="F1864" i="3"/>
  <c r="J1864" i="3" s="1"/>
  <c r="F1762" i="3"/>
  <c r="J1762" i="3" s="1"/>
  <c r="F1888" i="3"/>
  <c r="J1888" i="3" s="1"/>
  <c r="F1358" i="3"/>
  <c r="J1358" i="3" s="1"/>
  <c r="F1922" i="3"/>
  <c r="J1922" i="3" s="1"/>
  <c r="F1741" i="3"/>
  <c r="J1741" i="3" s="1"/>
  <c r="F591" i="3"/>
  <c r="J591" i="3" s="1"/>
  <c r="F1367" i="3"/>
  <c r="J1367" i="3" s="1"/>
  <c r="F1643" i="3"/>
  <c r="J1643" i="3" s="1"/>
  <c r="F1859" i="3"/>
  <c r="J1859" i="3" s="1"/>
  <c r="F1319" i="3"/>
  <c r="J1319" i="3" s="1"/>
  <c r="F382" i="3"/>
  <c r="J382" i="3" s="1"/>
  <c r="F1844" i="3"/>
  <c r="J1844" i="3" s="1"/>
  <c r="F425" i="3"/>
  <c r="J425" i="3" s="1"/>
  <c r="F1200" i="3"/>
  <c r="J1200" i="3" s="1"/>
  <c r="F1521" i="3"/>
  <c r="J1521" i="3" s="1"/>
  <c r="F815" i="3"/>
  <c r="J815" i="3" s="1"/>
  <c r="F344" i="3"/>
  <c r="J344" i="3" s="1"/>
  <c r="F694" i="3"/>
  <c r="J694" i="3" s="1"/>
  <c r="F1140" i="3"/>
  <c r="J1140" i="3" s="1"/>
  <c r="F1540" i="3"/>
  <c r="J1540" i="3" s="1"/>
  <c r="F1549" i="3"/>
  <c r="J1549" i="3" s="1"/>
  <c r="F1500" i="3"/>
  <c r="J1500" i="3" s="1"/>
  <c r="F1449" i="3"/>
  <c r="J1449" i="3" s="1"/>
  <c r="F1644" i="3"/>
  <c r="J1644" i="3" s="1"/>
  <c r="F1204" i="3"/>
  <c r="J1204" i="3" s="1"/>
  <c r="F1254" i="3"/>
  <c r="J1254" i="3" s="1"/>
  <c r="F1511" i="3"/>
  <c r="J1511" i="3" s="1"/>
  <c r="F1427" i="3"/>
  <c r="J1427" i="3" s="1"/>
  <c r="F1172" i="3"/>
  <c r="J1172" i="3" s="1"/>
  <c r="F1329" i="3"/>
  <c r="J1329" i="3" s="1"/>
  <c r="F1387" i="3"/>
  <c r="J1387" i="3" s="1"/>
  <c r="F1517" i="3"/>
  <c r="J1517" i="3" s="1"/>
  <c r="F1302" i="3"/>
  <c r="J1302" i="3" s="1"/>
  <c r="F537" i="3"/>
  <c r="J537" i="3" s="1"/>
  <c r="F1728" i="3"/>
  <c r="J1728" i="3" s="1"/>
  <c r="F1630" i="3"/>
  <c r="J1630" i="3" s="1"/>
  <c r="F632" i="3"/>
  <c r="J632" i="3" s="1"/>
  <c r="F1802" i="3"/>
  <c r="J1802" i="3" s="1"/>
  <c r="F1637" i="3"/>
  <c r="J1637" i="3" s="1"/>
  <c r="F1563" i="3"/>
  <c r="J1563" i="3" s="1"/>
  <c r="F1287" i="3"/>
  <c r="J1287" i="3" s="1"/>
  <c r="F1163" i="3"/>
  <c r="J1163" i="3" s="1"/>
  <c r="F633" i="3"/>
  <c r="J633" i="3" s="1"/>
  <c r="F1273" i="3"/>
  <c r="J1273" i="3" s="1"/>
  <c r="F116" i="3"/>
  <c r="J116" i="3" s="1"/>
  <c r="F1918" i="3"/>
  <c r="J1918" i="3" s="1"/>
  <c r="F1205" i="3"/>
  <c r="J1205" i="3" s="1"/>
  <c r="F939" i="3"/>
  <c r="J939" i="3" s="1"/>
  <c r="F1737" i="3"/>
  <c r="J1737" i="3" s="1"/>
  <c r="F1895" i="3"/>
  <c r="J1895" i="3" s="1"/>
  <c r="F1531" i="3"/>
  <c r="J1531" i="3" s="1"/>
  <c r="F1336" i="3"/>
  <c r="J1336" i="3" s="1"/>
  <c r="F1773" i="3"/>
  <c r="J1773" i="3" s="1"/>
  <c r="F1613" i="3"/>
  <c r="J1613" i="3" s="1"/>
  <c r="F1868" i="3"/>
  <c r="J1868" i="3" s="1"/>
  <c r="F1234" i="3"/>
  <c r="J1234" i="3" s="1"/>
  <c r="F464" i="3"/>
  <c r="J464" i="3" s="1"/>
  <c r="F1307" i="3"/>
  <c r="J1307" i="3" s="1"/>
  <c r="F1786" i="3"/>
  <c r="J1786" i="3" s="1"/>
  <c r="F580" i="3"/>
  <c r="J580" i="3" s="1"/>
  <c r="F1108" i="3"/>
  <c r="J1108" i="3" s="1"/>
  <c r="F1306" i="3"/>
  <c r="J1306" i="3" s="1"/>
  <c r="F1501" i="3"/>
  <c r="J1501" i="3" s="1"/>
  <c r="F1269" i="3"/>
  <c r="J1269" i="3" s="1"/>
  <c r="F1414" i="3"/>
  <c r="J1414" i="3" s="1"/>
  <c r="F414" i="3"/>
  <c r="J414" i="3" s="1"/>
  <c r="F1266" i="3"/>
  <c r="J1266" i="3" s="1"/>
  <c r="F1816" i="3"/>
  <c r="J1816" i="3" s="1"/>
  <c r="F1193" i="3"/>
  <c r="J1193" i="3" s="1"/>
  <c r="F1673" i="3"/>
  <c r="J1673" i="3" s="1"/>
  <c r="F1218" i="3"/>
  <c r="J1218" i="3" s="1"/>
  <c r="F1077" i="3"/>
  <c r="J1077" i="3" s="1"/>
  <c r="F1216" i="3"/>
  <c r="J1216" i="3" s="1"/>
  <c r="F1712" i="3"/>
  <c r="J1712" i="3" s="1"/>
  <c r="F924" i="3"/>
  <c r="J924" i="3" s="1"/>
  <c r="F405" i="3"/>
  <c r="J405" i="3" s="1"/>
  <c r="F1394" i="3"/>
  <c r="J1394" i="3" s="1"/>
  <c r="F1550" i="3"/>
  <c r="J1550" i="3" s="1"/>
  <c r="F1916" i="3"/>
  <c r="J1916" i="3" s="1"/>
  <c r="F1745" i="3"/>
  <c r="J1745" i="3" s="1"/>
  <c r="F1719" i="3"/>
  <c r="J1719" i="3" s="1"/>
  <c r="F1345" i="3"/>
  <c r="J1345" i="3" s="1"/>
  <c r="F1852" i="3"/>
  <c r="J1852" i="3" s="1"/>
  <c r="F1777" i="3"/>
  <c r="J1777" i="3" s="1"/>
  <c r="F1057" i="3"/>
  <c r="J1057" i="3" s="1"/>
  <c r="F1242" i="3"/>
  <c r="J1242" i="3" s="1"/>
  <c r="F1603" i="3"/>
  <c r="J1603" i="3" s="1"/>
  <c r="F1893" i="3"/>
  <c r="J1893" i="3" s="1"/>
  <c r="F1484" i="3"/>
  <c r="J1484" i="3" s="1"/>
  <c r="F1314" i="3"/>
  <c r="J1314" i="3" s="1"/>
  <c r="F1338" i="3"/>
  <c r="J1338" i="3" s="1"/>
  <c r="F1701" i="3"/>
  <c r="J1701" i="3" s="1"/>
  <c r="F1154" i="3"/>
  <c r="J1154" i="3" s="1"/>
  <c r="F1710" i="3"/>
  <c r="J1710" i="3" s="1"/>
  <c r="F1255" i="3"/>
  <c r="J1255" i="3" s="1"/>
  <c r="F1382" i="3"/>
  <c r="J1382" i="3" s="1"/>
  <c r="F1419" i="3"/>
  <c r="J1419" i="3" s="1"/>
  <c r="F1288" i="3"/>
  <c r="J1288" i="3" s="1"/>
  <c r="F1919" i="3"/>
  <c r="J1919" i="3" s="1"/>
  <c r="F891" i="3"/>
  <c r="J891" i="3" s="1"/>
  <c r="F1751" i="3"/>
  <c r="J1751" i="3" s="1"/>
  <c r="F1063" i="3"/>
  <c r="J1063" i="3" s="1"/>
  <c r="F1738" i="3"/>
  <c r="J1738" i="3" s="1"/>
  <c r="F1518" i="3"/>
  <c r="J1518" i="3" s="1"/>
  <c r="F762" i="3"/>
  <c r="J762" i="3" s="1"/>
  <c r="F1817" i="3"/>
  <c r="J1817" i="3" s="1"/>
  <c r="F1115" i="3"/>
  <c r="J1115" i="3" s="1"/>
  <c r="F270" i="3"/>
  <c r="J270" i="3" s="1"/>
  <c r="F1565" i="3"/>
  <c r="J1565" i="3" s="1"/>
  <c r="F1357" i="3"/>
  <c r="J1357" i="3" s="1"/>
  <c r="F1818" i="3"/>
  <c r="J1818" i="3" s="1"/>
  <c r="F1245" i="3"/>
  <c r="J1245" i="3" s="1"/>
  <c r="F1464" i="3"/>
  <c r="J1464" i="3" s="1"/>
  <c r="F1878" i="3"/>
  <c r="J1878" i="3" s="1"/>
  <c r="F561" i="3"/>
  <c r="J561" i="3" s="1"/>
  <c r="F1640" i="3"/>
  <c r="J1640" i="3" s="1"/>
  <c r="F1790" i="3"/>
  <c r="J1790" i="3" s="1"/>
  <c r="F1402" i="3"/>
  <c r="J1402" i="3" s="1"/>
  <c r="F1797" i="3"/>
  <c r="J1797" i="3" s="1"/>
  <c r="F686" i="3"/>
  <c r="J686" i="3" s="1"/>
  <c r="F1157" i="3"/>
  <c r="J1157" i="3" s="1"/>
  <c r="F441" i="3"/>
  <c r="J441" i="3" s="1"/>
  <c r="F1320" i="3"/>
  <c r="J1320" i="3" s="1"/>
  <c r="F1225" i="3"/>
  <c r="J1225" i="3" s="1"/>
  <c r="F1323" i="3"/>
  <c r="J1323" i="3" s="1"/>
  <c r="F220" i="3"/>
  <c r="J220" i="3" s="1"/>
  <c r="F1661" i="3"/>
  <c r="J1661" i="3" s="1"/>
  <c r="F1814" i="3"/>
  <c r="J1814" i="3" s="1"/>
  <c r="F1861" i="3"/>
  <c r="J1861" i="3" s="1"/>
  <c r="F1227" i="3"/>
  <c r="J1227" i="3" s="1"/>
  <c r="F1528" i="3"/>
  <c r="J1528" i="3" s="1"/>
  <c r="F1304" i="3"/>
  <c r="J1304" i="3" s="1"/>
  <c r="F1141" i="3"/>
  <c r="J1141" i="3" s="1"/>
  <c r="F1562" i="3"/>
  <c r="J1562" i="3" s="1"/>
  <c r="F1725" i="3"/>
  <c r="J1725" i="3" s="1"/>
  <c r="F1896" i="3"/>
  <c r="J1896" i="3" s="1"/>
  <c r="F298" i="3"/>
  <c r="J298" i="3" s="1"/>
  <c r="F394" i="3"/>
  <c r="J394" i="3" s="1"/>
  <c r="F1595" i="3"/>
  <c r="J1595" i="3" s="1"/>
  <c r="F1556" i="3"/>
  <c r="J1556" i="3" s="1"/>
  <c r="F1274" i="3"/>
  <c r="J1274" i="3" s="1"/>
  <c r="F1236" i="3"/>
  <c r="J1236" i="3" s="1"/>
  <c r="F1398" i="3"/>
  <c r="J1398" i="3" s="1"/>
  <c r="F1739" i="3"/>
  <c r="J1739" i="3" s="1"/>
  <c r="F1677" i="3"/>
  <c r="J1677" i="3" s="1"/>
  <c r="F1605" i="3"/>
  <c r="J1605" i="3" s="1"/>
  <c r="F873" i="3"/>
  <c r="J873" i="3" s="1"/>
  <c r="F1902" i="3"/>
  <c r="J1902" i="3" s="1"/>
  <c r="F159" i="3"/>
  <c r="J159" i="3" s="1"/>
  <c r="F793" i="3"/>
  <c r="J793" i="3" s="1"/>
  <c r="F1796" i="3"/>
  <c r="J1796" i="3" s="1"/>
  <c r="F1522" i="3"/>
  <c r="J1522" i="3" s="1"/>
  <c r="F1604" i="3"/>
  <c r="J1604" i="3" s="1"/>
  <c r="F1716" i="3"/>
  <c r="J1716" i="3" s="1"/>
  <c r="F1309" i="3"/>
  <c r="J1309" i="3" s="1"/>
  <c r="F180" i="3"/>
  <c r="J180" i="3" s="1"/>
  <c r="F695" i="3"/>
  <c r="J695" i="3" s="1"/>
  <c r="F351" i="3"/>
  <c r="J351" i="3" s="1"/>
  <c r="F1091" i="3"/>
  <c r="J1091" i="3" s="1"/>
  <c r="F1713" i="3"/>
  <c r="J1713" i="3" s="1"/>
  <c r="F1566" i="3"/>
  <c r="J1566" i="3" s="1"/>
  <c r="F674" i="3"/>
  <c r="J674" i="3" s="1"/>
  <c r="F1133" i="3"/>
  <c r="J1133" i="3" s="1"/>
  <c r="F1326" i="3"/>
  <c r="J1326" i="3" s="1"/>
  <c r="F1111" i="3"/>
  <c r="J1111" i="3" s="1"/>
  <c r="F785" i="3"/>
  <c r="J785" i="3" s="1"/>
  <c r="F523" i="3"/>
  <c r="J523" i="3" s="1"/>
  <c r="F256" i="3"/>
  <c r="J256" i="3" s="1"/>
  <c r="F1167" i="3"/>
  <c r="J1167" i="3" s="1"/>
  <c r="F1891" i="3"/>
  <c r="J1891" i="3" s="1"/>
  <c r="F1256" i="3"/>
  <c r="J1256" i="3" s="1"/>
  <c r="F1809" i="3"/>
  <c r="J1809" i="3" s="1"/>
  <c r="F1529" i="3"/>
  <c r="J1529" i="3" s="1"/>
  <c r="F1289" i="3"/>
  <c r="J1289" i="3" s="1"/>
  <c r="F1114" i="3"/>
  <c r="J1114" i="3" s="1"/>
  <c r="F1911" i="3"/>
  <c r="J1911" i="3" s="1"/>
  <c r="F1811" i="3"/>
  <c r="J1811" i="3" s="1"/>
  <c r="F1848" i="3"/>
  <c r="J1848" i="3" s="1"/>
  <c r="F874" i="3"/>
  <c r="J874" i="3" s="1"/>
  <c r="F1748" i="3"/>
  <c r="J1748" i="3" s="1"/>
  <c r="F1209" i="3"/>
  <c r="J1209" i="3" s="1"/>
  <c r="F1879" i="3"/>
  <c r="J1879" i="3" s="1"/>
  <c r="F1491" i="3"/>
  <c r="J1491" i="3" s="1"/>
  <c r="F1655" i="3"/>
  <c r="J1655" i="3" s="1"/>
  <c r="F1194" i="3"/>
  <c r="J1194" i="3" s="1"/>
  <c r="F1036" i="3"/>
  <c r="J1036" i="3" s="1"/>
  <c r="F1693" i="3"/>
  <c r="J1693" i="3" s="1"/>
  <c r="F875" i="3"/>
  <c r="J875" i="3" s="1"/>
  <c r="F1376" i="3"/>
  <c r="J1376" i="3" s="1"/>
  <c r="F1401" i="3"/>
  <c r="J1401" i="3" s="1"/>
  <c r="F1344" i="3"/>
  <c r="J1344" i="3" s="1"/>
  <c r="F1377" i="3"/>
  <c r="J1377" i="3" s="1"/>
  <c r="F1827" i="3"/>
  <c r="J1827" i="3" s="1"/>
  <c r="F1190" i="3"/>
  <c r="J1190" i="3" s="1"/>
  <c r="F1374" i="3"/>
  <c r="J1374" i="3" s="1"/>
  <c r="F123" i="3"/>
  <c r="J123" i="3" s="1"/>
  <c r="F475" i="3"/>
  <c r="J475" i="3" s="1"/>
  <c r="F1890" i="3"/>
  <c r="J1890" i="3" s="1"/>
  <c r="F1261" i="3"/>
  <c r="J1261" i="3" s="1"/>
  <c r="F1388" i="3"/>
  <c r="J1388" i="3" s="1"/>
  <c r="F1332" i="3"/>
  <c r="J1332" i="3" s="1"/>
  <c r="F1920" i="3"/>
  <c r="J1920" i="3" s="1"/>
  <c r="F1101" i="3"/>
  <c r="J1101" i="3" s="1"/>
  <c r="F1072" i="3"/>
  <c r="J1072" i="3" s="1"/>
  <c r="F1497" i="3"/>
  <c r="J1497" i="3" s="1"/>
  <c r="F257" i="3"/>
  <c r="J257" i="3" s="1"/>
  <c r="F1594" i="3"/>
  <c r="J1594" i="3" s="1"/>
  <c r="F1853" i="3"/>
  <c r="J1853" i="3" s="1"/>
  <c r="F1428" i="3"/>
  <c r="J1428" i="3" s="1"/>
  <c r="F1081" i="3"/>
  <c r="J1081" i="3" s="1"/>
  <c r="F1559" i="3"/>
  <c r="J1559" i="3" s="1"/>
  <c r="F1088" i="3"/>
  <c r="J1088" i="3" s="1"/>
  <c r="F271" i="3"/>
  <c r="J271" i="3" s="1"/>
  <c r="F541" i="3"/>
  <c r="J541" i="3" s="1"/>
  <c r="F1283" i="3"/>
  <c r="J1283" i="3" s="1"/>
  <c r="F1211" i="3"/>
  <c r="J1211" i="3" s="1"/>
  <c r="F1647" i="3"/>
  <c r="J1647" i="3" s="1"/>
  <c r="F1346" i="3"/>
  <c r="J1346" i="3" s="1"/>
  <c r="F542" i="3"/>
  <c r="J542" i="3" s="1"/>
  <c r="F1607" i="3"/>
  <c r="J1607" i="3" s="1"/>
  <c r="F1704" i="3"/>
  <c r="J1704" i="3" s="1"/>
  <c r="F753" i="3"/>
  <c r="J753" i="3" s="1"/>
  <c r="F31" i="3"/>
  <c r="J31" i="3" s="1"/>
  <c r="F1913" i="3"/>
  <c r="J1913" i="3" s="1"/>
  <c r="F1456" i="3"/>
  <c r="J1456" i="3" s="1"/>
  <c r="F1874" i="3"/>
  <c r="J1874" i="3" s="1"/>
  <c r="F860" i="3"/>
  <c r="J860" i="3" s="1"/>
  <c r="F1277" i="3"/>
  <c r="J1277" i="3" s="1"/>
  <c r="F1576" i="3"/>
  <c r="J1576" i="3" s="1"/>
  <c r="F1881" i="3"/>
  <c r="J1881" i="3" s="1"/>
  <c r="F1831" i="3"/>
  <c r="J1831" i="3" s="1"/>
  <c r="F1826" i="3"/>
  <c r="J1826" i="3" s="1"/>
  <c r="F1353" i="3"/>
  <c r="J1353" i="3" s="1"/>
  <c r="F1355" i="3"/>
  <c r="J1355" i="3" s="1"/>
  <c r="F1573" i="3"/>
  <c r="J1573" i="3" s="1"/>
  <c r="F1064" i="3"/>
  <c r="J1064" i="3" s="1"/>
  <c r="F1684" i="3"/>
  <c r="J1684" i="3" s="1"/>
  <c r="F1914" i="3"/>
  <c r="J1914" i="3" s="1"/>
  <c r="F1165" i="3"/>
  <c r="J1165" i="3" s="1"/>
  <c r="F1199" i="3"/>
  <c r="J1199" i="3" s="1"/>
  <c r="F1161" i="3"/>
  <c r="J1161" i="3" s="1"/>
  <c r="F1570" i="3"/>
  <c r="J1570" i="3" s="1"/>
  <c r="F307" i="3"/>
  <c r="J307" i="3" s="1"/>
  <c r="F1857" i="3"/>
  <c r="J1857" i="3" s="1"/>
  <c r="F1702" i="3"/>
  <c r="J1702" i="3" s="1"/>
  <c r="F468" i="3"/>
  <c r="J468" i="3" s="1"/>
  <c r="F1574" i="3"/>
  <c r="J1574" i="3" s="1"/>
  <c r="F1490" i="3"/>
  <c r="J1490" i="3" s="1"/>
  <c r="F1086" i="3"/>
  <c r="J1086" i="3" s="1"/>
  <c r="F1431" i="3"/>
  <c r="J1431" i="3" s="1"/>
  <c r="F1668" i="3"/>
  <c r="J1668" i="3" s="1"/>
  <c r="F1577" i="3"/>
  <c r="J1577" i="3" s="1"/>
  <c r="F1804" i="3"/>
  <c r="J1804" i="3" s="1"/>
  <c r="F1223" i="3"/>
  <c r="J1223" i="3" s="1"/>
  <c r="F651" i="3"/>
  <c r="J651" i="3" s="1"/>
  <c r="F974" i="3"/>
  <c r="J974" i="3" s="1"/>
  <c r="F1434" i="3"/>
  <c r="J1434" i="3" s="1"/>
  <c r="F1262" i="3"/>
  <c r="J1262" i="3" s="1"/>
  <c r="F1421" i="3"/>
  <c r="J1421" i="3" s="1"/>
  <c r="F700" i="3"/>
  <c r="J700" i="3" s="1"/>
  <c r="F1663" i="3"/>
  <c r="J1663" i="3" s="1"/>
  <c r="F1078" i="3"/>
  <c r="J1078" i="3" s="1"/>
  <c r="F1776" i="3"/>
  <c r="J1776" i="3" s="1"/>
  <c r="F22" i="3"/>
  <c r="J22" i="3" s="1"/>
  <c r="F1685" i="3"/>
  <c r="J1685" i="3" s="1"/>
  <c r="F124" i="3"/>
  <c r="J124" i="3" s="1"/>
  <c r="F1177" i="3"/>
  <c r="J1177" i="3" s="1"/>
  <c r="F1342" i="3"/>
  <c r="J1342" i="3" s="1"/>
  <c r="F1600" i="3"/>
  <c r="J1600" i="3" s="1"/>
  <c r="F1650" i="3"/>
  <c r="J1650" i="3" s="1"/>
  <c r="F1443" i="3"/>
  <c r="J1443" i="3" s="1"/>
  <c r="F1295" i="3"/>
  <c r="J1295" i="3" s="1"/>
  <c r="F1429" i="3"/>
  <c r="J1429" i="3" s="1"/>
  <c r="F1252" i="3"/>
  <c r="J1252" i="3" s="1"/>
  <c r="F1759" i="3"/>
  <c r="J1759" i="3" s="1"/>
  <c r="F1085" i="3"/>
  <c r="J1085" i="3" s="1"/>
  <c r="F1112" i="3"/>
  <c r="J1112" i="3" s="1"/>
  <c r="F1337" i="3"/>
  <c r="J1337" i="3" s="1"/>
  <c r="F1222" i="3"/>
  <c r="J1222" i="3" s="1"/>
  <c r="F854" i="3"/>
  <c r="J854" i="3" s="1"/>
  <c r="F1145" i="3"/>
  <c r="J1145" i="3" s="1"/>
  <c r="F1028" i="3"/>
  <c r="J1028" i="3" s="1"/>
  <c r="F1883" i="3"/>
  <c r="J1883" i="3" s="1"/>
  <c r="F1821" i="3"/>
  <c r="J1821" i="3" s="1"/>
  <c r="F1659" i="3"/>
  <c r="J1659" i="3" s="1"/>
  <c r="F1694" i="3"/>
  <c r="J1694" i="3" s="1"/>
  <c r="F617" i="3"/>
  <c r="J617" i="3" s="1"/>
  <c r="F161" i="3"/>
  <c r="J161" i="3" s="1"/>
  <c r="F1410" i="3"/>
  <c r="J1410" i="3" s="1"/>
  <c r="F1585" i="3"/>
  <c r="J1585" i="3" s="1"/>
  <c r="F1291" i="3"/>
  <c r="J1291" i="3" s="1"/>
  <c r="F36" i="3"/>
  <c r="J36" i="3" s="1"/>
  <c r="F1430" i="3"/>
  <c r="J1430" i="3" s="1"/>
  <c r="F1460" i="3"/>
  <c r="J1460" i="3" s="1"/>
  <c r="F1279" i="3"/>
  <c r="J1279" i="3" s="1"/>
  <c r="F65" i="3"/>
  <c r="J65" i="3" s="1"/>
  <c r="F86" i="3"/>
  <c r="J86" i="3" s="1"/>
  <c r="F1422" i="3"/>
  <c r="J1422" i="3" s="1"/>
  <c r="F1658" i="3"/>
  <c r="J1658" i="3" s="1"/>
  <c r="F1142" i="3"/>
  <c r="J1142" i="3" s="1"/>
  <c r="F1432" i="3"/>
  <c r="J1432" i="3" s="1"/>
  <c r="F1162" i="3"/>
  <c r="J1162" i="3" s="1"/>
  <c r="F87" i="3"/>
  <c r="J87" i="3" s="1"/>
  <c r="F1383" i="3"/>
  <c r="J1383" i="3" s="1"/>
  <c r="F1747" i="3"/>
  <c r="J1747" i="3" s="1"/>
  <c r="F1623" i="3"/>
  <c r="J1623" i="3" s="1"/>
  <c r="F1602" i="3"/>
  <c r="J1602" i="3" s="1"/>
  <c r="F1303" i="3"/>
  <c r="J1303" i="3" s="1"/>
  <c r="F1742" i="3"/>
  <c r="J1742" i="3" s="1"/>
  <c r="F1885" i="3"/>
  <c r="J1885" i="3" s="1"/>
  <c r="F1860" i="3"/>
  <c r="J1860" i="3" s="1"/>
  <c r="F976" i="3"/>
  <c r="J976" i="3" s="1"/>
  <c r="F584" i="3"/>
  <c r="J584" i="3" s="1"/>
  <c r="F1867" i="3"/>
  <c r="J1867" i="3" s="1"/>
  <c r="F514" i="3"/>
  <c r="J514" i="3" s="1"/>
  <c r="F1415" i="3"/>
  <c r="J1415" i="3" s="1"/>
  <c r="F825" i="3"/>
  <c r="J825" i="3" s="1"/>
  <c r="F1102" i="3"/>
  <c r="J1102" i="3" s="1"/>
  <c r="F1048" i="3"/>
  <c r="J1048" i="3" s="1"/>
  <c r="F1534" i="3"/>
  <c r="J1534" i="3" s="1"/>
  <c r="F1417" i="3"/>
  <c r="J1417" i="3" s="1"/>
  <c r="F1119" i="3"/>
  <c r="J1119" i="3" s="1"/>
  <c r="F1750" i="3"/>
  <c r="J1750" i="3" s="1"/>
  <c r="F1228" i="3"/>
  <c r="J1228" i="3" s="1"/>
  <c r="F1134" i="3"/>
  <c r="J1134" i="3" s="1"/>
  <c r="F1730" i="3"/>
  <c r="J1730" i="3" s="1"/>
  <c r="F1267" i="3"/>
  <c r="J1267" i="3" s="1"/>
  <c r="F415" i="3"/>
  <c r="J415" i="3" s="1"/>
  <c r="F1248" i="3"/>
  <c r="J1248" i="3" s="1"/>
  <c r="F1909" i="3"/>
  <c r="J1909" i="3" s="1"/>
  <c r="F1275" i="3"/>
  <c r="J1275" i="3" s="1"/>
  <c r="F1335" i="3"/>
  <c r="J1335" i="3" s="1"/>
  <c r="F1478" i="3"/>
  <c r="J1478" i="3" s="1"/>
  <c r="F1109" i="3"/>
  <c r="J1109" i="3" s="1"/>
  <c r="F1621" i="3"/>
  <c r="J1621" i="3" s="1"/>
  <c r="F1083" i="3"/>
  <c r="J1083" i="3" s="1"/>
  <c r="F1181" i="3"/>
  <c r="J1181" i="3" s="1"/>
  <c r="F1609" i="3"/>
  <c r="J1609" i="3" s="1"/>
  <c r="F1766" i="3"/>
  <c r="J1766" i="3" s="1"/>
  <c r="F1793" i="3"/>
  <c r="J1793" i="3" s="1"/>
  <c r="F426" i="3"/>
  <c r="J426" i="3" s="1"/>
  <c r="F1207" i="3"/>
  <c r="J1207" i="3" s="1"/>
  <c r="F1250" i="3"/>
  <c r="J1250" i="3" s="1"/>
  <c r="F1153" i="3"/>
  <c r="J1153" i="3" s="1"/>
  <c r="F1752" i="3"/>
  <c r="J1752" i="3" s="1"/>
  <c r="F1721" i="3"/>
  <c r="J1721" i="3" s="1"/>
  <c r="F1263" i="3"/>
  <c r="J1263" i="3" s="1"/>
  <c r="F1239" i="3"/>
  <c r="J1239" i="3" s="1"/>
  <c r="F622" i="3"/>
  <c r="J622" i="3" s="1"/>
  <c r="F1875" i="3"/>
  <c r="J1875" i="3" s="1"/>
  <c r="F1475" i="3"/>
  <c r="J1475" i="3" s="1"/>
  <c r="F1065" i="3"/>
  <c r="J1065" i="3" s="1"/>
  <c r="F1504" i="3"/>
  <c r="J1504" i="3" s="1"/>
  <c r="F1445" i="3"/>
  <c r="J1445" i="3" s="1"/>
  <c r="F985" i="3"/>
  <c r="J985" i="3" s="1"/>
  <c r="F1608" i="3"/>
  <c r="J1608" i="3" s="1"/>
  <c r="F1700" i="3"/>
  <c r="J1700" i="3" s="1"/>
  <c r="F1457" i="3"/>
  <c r="J1457" i="3" s="1"/>
  <c r="F143" i="3"/>
  <c r="J143" i="3" s="1"/>
  <c r="F1903" i="3"/>
  <c r="J1903" i="3" s="1"/>
  <c r="F1662" i="3"/>
  <c r="J1662" i="3" s="1"/>
  <c r="F1339" i="3"/>
  <c r="J1339" i="3" s="1"/>
  <c r="F1887" i="3"/>
  <c r="J1887" i="3" s="1"/>
  <c r="F1635" i="3"/>
  <c r="J1635" i="3" s="1"/>
  <c r="F1071" i="3"/>
  <c r="J1071" i="3" s="1"/>
  <c r="F1310" i="3"/>
  <c r="J1310" i="3" s="1"/>
  <c r="F1733" i="3"/>
  <c r="J1733" i="3" s="1"/>
  <c r="F1169" i="3"/>
  <c r="J1169" i="3" s="1"/>
  <c r="F1774" i="3"/>
  <c r="J1774" i="3" s="1"/>
  <c r="F1619" i="3"/>
  <c r="J1619" i="3" s="1"/>
  <c r="F362" i="3"/>
  <c r="J362" i="3" s="1"/>
  <c r="F1755" i="3"/>
  <c r="J1755" i="3" s="1"/>
  <c r="F1794" i="3"/>
  <c r="J1794" i="3" s="1"/>
  <c r="F1731" i="3"/>
  <c r="J1731" i="3" s="1"/>
  <c r="F1732" i="3"/>
  <c r="J1732" i="3" s="1"/>
  <c r="F1278" i="3"/>
  <c r="J1278" i="3" s="1"/>
  <c r="F1601" i="3"/>
  <c r="J1601" i="3" s="1"/>
  <c r="F1378" i="3"/>
  <c r="J1378" i="3" s="1"/>
  <c r="F770" i="3"/>
  <c r="J770" i="3" s="1"/>
  <c r="F1551" i="3"/>
  <c r="J1551" i="3" s="1"/>
  <c r="F1185" i="3"/>
  <c r="J1185" i="3" s="1"/>
  <c r="F1106" i="3"/>
  <c r="J1106" i="3" s="1"/>
  <c r="F1120" i="3"/>
  <c r="J1120" i="3" s="1"/>
  <c r="F1143" i="3"/>
  <c r="J1143" i="3" s="1"/>
  <c r="F1080" i="3"/>
  <c r="J1080" i="3" s="1"/>
  <c r="F1435" i="3"/>
  <c r="J1435" i="3" s="1"/>
  <c r="F1166" i="3"/>
  <c r="J1166" i="3" s="1"/>
  <c r="F925" i="3"/>
  <c r="J925" i="3" s="1"/>
  <c r="F1715" i="3"/>
  <c r="J1715" i="3" s="1"/>
  <c r="F1333" i="3"/>
  <c r="J1333" i="3" s="1"/>
  <c r="F1479" i="3"/>
  <c r="J1479" i="3" s="1"/>
  <c r="F1670" i="3"/>
  <c r="J1670" i="3" s="1"/>
  <c r="F1706" i="3"/>
  <c r="J1706" i="3" s="1"/>
  <c r="F1697" i="3"/>
  <c r="J1697" i="3" s="1"/>
  <c r="F1373" i="3"/>
  <c r="J1373" i="3" s="1"/>
  <c r="F1451" i="3"/>
  <c r="J1451" i="3" s="1"/>
  <c r="F1395" i="3"/>
  <c r="J1395" i="3" s="1"/>
  <c r="F618" i="3"/>
  <c r="J618" i="3" s="1"/>
  <c r="F1487" i="3"/>
  <c r="J1487" i="3" s="1"/>
  <c r="F623" i="3"/>
  <c r="J623" i="3" s="1"/>
  <c r="F1135" i="3"/>
  <c r="J1135" i="3" s="1"/>
  <c r="F1708" i="3"/>
  <c r="J1708" i="3" s="1"/>
  <c r="F1442" i="3"/>
  <c r="J1442" i="3" s="1"/>
  <c r="F1760" i="3"/>
  <c r="J1760" i="3" s="1"/>
  <c r="F1241" i="3"/>
  <c r="J1241" i="3" s="1"/>
  <c r="F1440" i="3"/>
  <c r="J1440" i="3" s="1"/>
  <c r="F1758" i="3"/>
  <c r="J1758" i="3" s="1"/>
  <c r="F1686" i="3"/>
  <c r="J1686" i="3" s="1"/>
  <c r="F213" i="3"/>
  <c r="J213" i="3" s="1"/>
  <c r="F1690" i="3"/>
  <c r="J1690" i="3" s="1"/>
  <c r="F1651" i="3"/>
  <c r="J1651" i="3" s="1"/>
  <c r="F1315" i="3"/>
  <c r="J1315" i="3" s="1"/>
  <c r="F1446" i="3"/>
  <c r="J1446" i="3" s="1"/>
  <c r="F1073" i="3"/>
  <c r="J1073" i="3" s="1"/>
  <c r="F1297" i="3"/>
  <c r="J1297" i="3" s="1"/>
  <c r="F553" i="3"/>
  <c r="J553" i="3" s="1"/>
  <c r="F1666" i="3"/>
  <c r="J1666" i="3" s="1"/>
  <c r="F1768" i="3"/>
  <c r="J1768" i="3" s="1"/>
  <c r="F1578" i="3"/>
  <c r="J1578" i="3" s="1"/>
  <c r="F1679" i="3"/>
  <c r="J1679" i="3" s="1"/>
  <c r="F1113" i="3"/>
  <c r="J1113" i="3" s="1"/>
  <c r="F1175" i="3"/>
  <c r="J1175" i="3" s="1"/>
  <c r="F1819" i="3"/>
  <c r="J1819" i="3" s="1"/>
  <c r="F163" i="3"/>
  <c r="J163" i="3" s="1"/>
  <c r="F1327" i="3"/>
  <c r="J1327" i="3" s="1"/>
  <c r="F1129" i="3"/>
  <c r="J1129" i="3" s="1"/>
  <c r="F1224" i="3"/>
  <c r="J1224" i="3" s="1"/>
  <c r="F1807" i="3"/>
  <c r="J1807" i="3" s="1"/>
  <c r="F1753" i="3"/>
  <c r="J1753" i="3" s="1"/>
  <c r="F458" i="3"/>
  <c r="J458" i="3" s="1"/>
  <c r="F1311" i="3"/>
  <c r="J1311" i="3" s="1"/>
  <c r="F1656" i="3"/>
  <c r="J1656" i="3" s="1"/>
  <c r="F1523" i="3"/>
  <c r="J1523" i="3" s="1"/>
  <c r="F1158" i="3"/>
  <c r="J1158" i="3" s="1"/>
  <c r="F1714" i="3"/>
  <c r="J1714" i="3" s="1"/>
  <c r="F1886" i="3"/>
  <c r="J1886" i="3" s="1"/>
  <c r="F1617" i="3"/>
  <c r="J1617" i="3" s="1"/>
  <c r="F144" i="3"/>
  <c r="J144" i="3" s="1"/>
  <c r="F1795" i="3"/>
  <c r="J1795" i="3" s="1"/>
  <c r="F1792" i="3"/>
  <c r="J1792" i="3" s="1"/>
  <c r="F1584" i="3"/>
  <c r="J1584" i="3" s="1"/>
  <c r="F1822" i="3"/>
  <c r="J1822" i="3" s="1"/>
  <c r="F1182" i="3"/>
  <c r="J1182" i="3" s="1"/>
  <c r="F1068" i="3"/>
  <c r="J1068" i="3" s="1"/>
  <c r="F1407" i="3"/>
  <c r="J1407" i="3" s="1"/>
  <c r="F1520" i="3"/>
  <c r="J1520" i="3" s="1"/>
  <c r="F1393" i="3"/>
  <c r="J1393" i="3" s="1"/>
  <c r="F1029" i="3"/>
  <c r="J1029" i="3" s="1"/>
  <c r="F1675" i="3"/>
  <c r="J1675" i="3" s="1"/>
  <c r="F1260" i="3"/>
  <c r="J1260" i="3" s="1"/>
  <c r="F1174" i="3"/>
  <c r="J1174" i="3" s="1"/>
  <c r="F1571" i="3"/>
  <c r="J1571" i="3" s="1"/>
  <c r="F281" i="3"/>
  <c r="J281" i="3" s="1"/>
  <c r="F1717" i="3"/>
  <c r="J1717" i="3" s="1"/>
  <c r="F1843" i="3"/>
  <c r="J1843" i="3" s="1"/>
  <c r="F1729" i="3"/>
  <c r="J1729" i="3" s="1"/>
  <c r="F1907" i="3"/>
  <c r="J1907" i="3" s="1"/>
  <c r="F1098" i="3"/>
  <c r="J1098" i="3" s="1"/>
  <c r="F1372" i="3"/>
  <c r="J1372" i="3" s="1"/>
  <c r="F1257" i="3"/>
  <c r="J1257" i="3" s="1"/>
  <c r="F619" i="3"/>
  <c r="J619" i="3" s="1"/>
  <c r="F1103" i="3"/>
  <c r="J1103" i="3" s="1"/>
  <c r="F1379" i="3"/>
  <c r="J1379" i="3" s="1"/>
  <c r="F1560" i="3"/>
  <c r="J1560" i="3" s="1"/>
  <c r="F1507" i="3"/>
  <c r="J1507" i="3" s="1"/>
  <c r="F367" i="3"/>
  <c r="J367" i="3" s="1"/>
  <c r="F1420" i="3"/>
  <c r="J1420" i="3" s="1"/>
  <c r="F1835" i="3"/>
  <c r="J1835" i="3" s="1"/>
  <c r="F66" i="3"/>
  <c r="J66" i="3" s="1"/>
  <c r="F1232" i="3"/>
  <c r="J1232" i="3" s="1"/>
  <c r="F1880" i="3"/>
  <c r="J1880" i="3" s="1"/>
  <c r="F1196" i="3"/>
  <c r="J1196" i="3" s="1"/>
  <c r="F723" i="3"/>
  <c r="J723" i="3" s="1"/>
  <c r="F1258" i="3"/>
  <c r="J1258" i="3" s="1"/>
  <c r="F1805" i="3"/>
  <c r="J1805" i="3" s="1"/>
  <c r="F1423" i="3"/>
  <c r="J1423" i="3" s="1"/>
  <c r="F1094" i="3"/>
  <c r="J1094" i="3" s="1"/>
  <c r="F1292" i="3"/>
  <c r="J1292" i="3" s="1"/>
  <c r="F1370" i="3"/>
  <c r="J1370" i="3" s="1"/>
  <c r="F1910" i="3"/>
  <c r="J1910" i="3" s="1"/>
  <c r="F315" i="3"/>
  <c r="J315" i="3" s="1"/>
  <c r="F1928" i="3"/>
  <c r="J1928" i="3" s="1"/>
  <c r="F789" i="3"/>
  <c r="J789" i="3" s="1"/>
  <c r="F1641" i="3"/>
  <c r="J1641" i="3" s="1"/>
  <c r="F1152" i="3"/>
  <c r="J1152" i="3" s="1"/>
  <c r="F489" i="3"/>
  <c r="J489" i="3" s="1"/>
  <c r="F225" i="3"/>
  <c r="J225" i="3" s="1"/>
  <c r="F1869" i="3"/>
  <c r="J1869" i="3" s="1"/>
  <c r="F1087" i="3"/>
  <c r="J1087" i="3" s="1"/>
  <c r="F1842" i="3"/>
  <c r="J1842" i="3" s="1"/>
  <c r="F1788" i="3"/>
  <c r="J1788" i="3" s="1"/>
  <c r="F1408" i="3"/>
  <c r="J1408" i="3" s="1"/>
  <c r="F1280" i="3"/>
  <c r="J1280" i="3" s="1"/>
  <c r="F1626" i="3"/>
  <c r="J1626" i="3" s="1"/>
  <c r="F1840" i="3"/>
  <c r="J1840" i="3" s="1"/>
  <c r="F1246" i="3"/>
  <c r="J1246" i="3" s="1"/>
  <c r="F1334" i="3"/>
  <c r="J1334" i="3" s="1"/>
  <c r="F1930" i="3"/>
  <c r="J1930" i="3" s="1"/>
  <c r="F1676" i="3"/>
  <c r="J1676" i="3" s="1"/>
  <c r="F443" i="3"/>
  <c r="J443" i="3" s="1"/>
  <c r="F1493" i="3"/>
  <c r="J1493" i="3" s="1"/>
  <c r="F509" i="3"/>
  <c r="J509" i="3" s="1"/>
  <c r="F1389" i="3"/>
  <c r="J1389" i="3" s="1"/>
  <c r="F727" i="3"/>
  <c r="J727" i="3" s="1"/>
  <c r="F1557" i="3"/>
  <c r="J1557" i="3" s="1"/>
  <c r="F1757" i="3"/>
  <c r="J1757" i="3" s="1"/>
  <c r="F1264" i="3"/>
  <c r="J1264" i="3" s="1"/>
  <c r="F395" i="3"/>
  <c r="J395" i="3" s="1"/>
  <c r="F1505" i="3"/>
  <c r="J1505" i="3" s="1"/>
  <c r="F1482" i="3"/>
  <c r="J1482" i="3" s="1"/>
  <c r="F330" i="3"/>
  <c r="J330" i="3" s="1"/>
  <c r="F1305" i="3"/>
  <c r="J1305" i="3" s="1"/>
  <c r="F1588" i="3"/>
  <c r="J1588" i="3" s="1"/>
  <c r="F1915" i="3"/>
  <c r="J1915" i="3" s="1"/>
  <c r="F709" i="3"/>
  <c r="J709" i="3" s="1"/>
  <c r="F1093" i="3"/>
  <c r="J1093" i="3" s="1"/>
  <c r="F1170" i="3"/>
  <c r="J1170" i="3" s="1"/>
  <c r="F1125" i="3"/>
  <c r="J1125" i="3" s="1"/>
  <c r="F1506" i="3"/>
  <c r="J1506" i="3" s="1"/>
  <c r="F1197" i="3"/>
  <c r="J1197" i="3" s="1"/>
  <c r="F1743" i="3"/>
  <c r="J1743" i="3" s="1"/>
  <c r="F1667" i="3"/>
  <c r="J1667" i="3" s="1"/>
  <c r="F1624" i="3"/>
  <c r="J1624" i="3" s="1"/>
  <c r="F1231" i="3"/>
  <c r="J1231" i="3" s="1"/>
  <c r="F1865" i="3"/>
  <c r="J1865" i="3" s="1"/>
  <c r="F1503" i="3"/>
  <c r="J1503" i="3" s="1"/>
  <c r="F147" i="3"/>
  <c r="J147" i="3" s="1"/>
  <c r="F1632" i="3"/>
  <c r="J1632" i="3" s="1"/>
  <c r="F1627" i="3"/>
  <c r="J1627" i="3" s="1"/>
  <c r="F1226" i="3"/>
  <c r="J1226" i="3" s="1"/>
  <c r="F1897" i="3"/>
  <c r="J1897" i="3" s="1"/>
  <c r="F1483" i="3"/>
  <c r="J1483" i="3" s="1"/>
  <c r="F1476" i="3"/>
  <c r="J1476" i="3" s="1"/>
  <c r="F790" i="3"/>
  <c r="J790" i="3" s="1"/>
  <c r="F1474" i="3"/>
  <c r="J1474" i="3" s="1"/>
  <c r="F1898" i="3"/>
  <c r="J1898" i="3" s="1"/>
  <c r="F1020" i="3"/>
  <c r="J1020" i="3" s="1"/>
  <c r="F1778" i="3"/>
  <c r="J1778" i="3" s="1"/>
  <c r="F1746" i="3"/>
  <c r="J1746" i="3" s="1"/>
  <c r="F1832" i="3"/>
  <c r="J1832" i="3" s="1"/>
  <c r="F1924" i="3"/>
  <c r="J1924" i="3" s="1"/>
  <c r="F1371" i="3"/>
  <c r="J1371" i="3" s="1"/>
  <c r="F1441" i="3"/>
  <c r="J1441" i="3" s="1"/>
  <c r="F1192" i="3"/>
  <c r="J1192" i="3" s="1"/>
  <c r="F959" i="3"/>
  <c r="J959" i="3" s="1"/>
  <c r="F1368" i="3"/>
  <c r="J1368" i="3" s="1"/>
  <c r="F195" i="3"/>
  <c r="J195" i="3" s="1"/>
  <c r="F476" i="3"/>
  <c r="J476" i="3" s="1"/>
  <c r="F293" i="3"/>
  <c r="J293" i="3" s="1"/>
  <c r="F1089" i="3"/>
  <c r="J1089" i="3" s="1"/>
  <c r="F1515" i="3"/>
  <c r="J1515" i="3" s="1"/>
  <c r="F1074" i="3"/>
  <c r="J1074" i="3" s="1"/>
  <c r="F106" i="3"/>
  <c r="J106" i="3" s="1"/>
  <c r="F1418" i="3"/>
  <c r="J1418" i="3" s="1"/>
  <c r="F1356" i="3"/>
  <c r="J1356" i="3" s="1"/>
  <c r="F5" i="3"/>
  <c r="J5" i="3" s="1"/>
  <c r="F1136" i="3"/>
  <c r="J1136" i="3" s="1"/>
  <c r="F1477" i="3"/>
  <c r="J1477" i="3" s="1"/>
  <c r="F331" i="3"/>
  <c r="J331" i="3" s="1"/>
  <c r="F836" i="3"/>
  <c r="J836" i="3" s="1"/>
  <c r="F1681" i="3"/>
  <c r="J1681" i="3" s="1"/>
  <c r="F1622" i="3"/>
  <c r="J1622" i="3" s="1"/>
  <c r="F1592" i="3"/>
  <c r="J1592" i="3" s="1"/>
  <c r="F524" i="3"/>
  <c r="J524" i="3" s="1"/>
  <c r="F448" i="3"/>
  <c r="J448" i="3" s="1"/>
  <c r="F1593" i="3"/>
  <c r="J1593" i="3" s="1"/>
  <c r="F1221" i="3"/>
  <c r="J1221" i="3" s="1"/>
  <c r="F1744" i="3"/>
  <c r="J1744" i="3" s="1"/>
  <c r="F1438" i="3"/>
  <c r="J1438" i="3" s="1"/>
  <c r="F1284" i="3"/>
  <c r="J1284" i="3" s="1"/>
  <c r="F1926" i="3"/>
  <c r="J1926" i="3" s="1"/>
  <c r="F1687" i="3"/>
  <c r="J1687" i="3" s="1"/>
  <c r="F1502" i="3"/>
  <c r="J1502" i="3" s="1"/>
  <c r="F1084" i="3"/>
  <c r="J1084" i="3" s="1"/>
  <c r="F1463" i="3"/>
  <c r="J1463" i="3" s="1"/>
  <c r="F324" i="3"/>
  <c r="J324" i="3" s="1"/>
  <c r="F1782" i="3"/>
  <c r="J1782" i="3" s="1"/>
  <c r="F1259" i="3"/>
  <c r="J1259" i="3" s="1"/>
  <c r="F1756" i="3"/>
  <c r="J1756" i="3" s="1"/>
  <c r="F1413" i="3"/>
  <c r="J1413" i="3" s="1"/>
  <c r="F1290" i="3"/>
  <c r="J1290" i="3" s="1"/>
  <c r="F1917" i="3"/>
  <c r="J1917" i="3" s="1"/>
  <c r="F1433" i="3"/>
  <c r="J1433" i="3" s="1"/>
  <c r="F1612" i="3"/>
  <c r="J1612" i="3" s="1"/>
  <c r="F1812" i="3"/>
  <c r="J1812" i="3" s="1"/>
  <c r="F1882" i="3"/>
  <c r="J1882" i="3" s="1"/>
  <c r="F1351" i="3"/>
  <c r="J1351" i="3" s="1"/>
  <c r="F1488" i="3"/>
  <c r="J1488" i="3" s="1"/>
  <c r="F1833" i="3"/>
  <c r="J1833" i="3" s="1"/>
  <c r="F1092" i="3"/>
  <c r="J1092" i="3" s="1"/>
  <c r="F1354" i="3"/>
  <c r="J1354" i="3" s="1"/>
  <c r="F1180" i="3"/>
  <c r="J1180" i="3" s="1"/>
  <c r="F416" i="3"/>
  <c r="J416" i="3" s="1"/>
  <c r="F1265" i="3"/>
  <c r="J1265" i="3" s="1"/>
  <c r="F1849" i="3"/>
  <c r="J1849" i="3" s="1"/>
  <c r="F1803" i="3"/>
  <c r="J1803" i="3" s="1"/>
  <c r="F1646" i="3"/>
  <c r="J1646" i="3" s="1"/>
  <c r="F181" i="3"/>
  <c r="J181" i="3" s="1"/>
  <c r="F1384" i="3"/>
  <c r="J1384" i="3" s="1"/>
  <c r="F1485" i="3"/>
  <c r="J1485" i="3" s="1"/>
  <c r="F1847" i="3"/>
  <c r="J1847" i="3" s="1"/>
  <c r="F1404" i="3"/>
  <c r="J1404" i="3" s="1"/>
  <c r="F1736" i="3"/>
  <c r="J1736" i="3" s="1"/>
  <c r="F1486" i="3"/>
  <c r="J1486" i="3" s="1"/>
  <c r="F1763" i="3"/>
  <c r="J1763" i="3" s="1"/>
  <c r="F1539" i="3"/>
  <c r="J1539" i="3" s="1"/>
  <c r="F1268" i="3"/>
  <c r="J1268" i="3" s="1"/>
  <c r="F1498" i="3"/>
  <c r="J1498" i="3" s="1"/>
  <c r="F554" i="3"/>
  <c r="J554" i="3" s="1"/>
  <c r="F40" i="3"/>
  <c r="J40" i="3" s="1"/>
  <c r="F1396" i="3"/>
  <c r="J1396" i="3" s="1"/>
  <c r="F1589" i="3"/>
  <c r="J1589" i="3" s="1"/>
  <c r="F1921" i="3"/>
  <c r="J1921" i="3" s="1"/>
  <c r="F1784" i="3"/>
  <c r="J1784" i="3" s="1"/>
  <c r="F1780" i="3"/>
  <c r="J1780" i="3" s="1"/>
  <c r="F1249" i="3"/>
  <c r="J1249" i="3" s="1"/>
  <c r="F1472" i="3"/>
  <c r="J1472" i="3" s="1"/>
  <c r="F1572" i="3"/>
  <c r="J1572" i="3" s="1"/>
  <c r="F1508" i="3"/>
  <c r="J1508" i="3" s="1"/>
  <c r="F1526" i="3"/>
  <c r="J1526" i="3" s="1"/>
  <c r="F1155" i="3"/>
  <c r="J1155" i="3" s="1"/>
  <c r="F1178" i="3"/>
  <c r="J1178" i="3" s="1"/>
  <c r="F1610" i="3"/>
  <c r="J1610" i="3" s="1"/>
  <c r="F592" i="3"/>
  <c r="J592" i="3" s="1"/>
  <c r="F1359" i="3"/>
  <c r="J1359" i="3" s="1"/>
  <c r="F338" i="3"/>
  <c r="J338" i="3" s="1"/>
  <c r="F1217" i="3"/>
  <c r="J1217" i="3" s="1"/>
  <c r="F1148" i="3"/>
  <c r="J1148" i="3" s="1"/>
  <c r="F1564" i="3"/>
  <c r="J1564" i="3" s="1"/>
  <c r="F1206" i="3"/>
  <c r="J1206" i="3" s="1"/>
  <c r="F1808" i="3"/>
  <c r="J1808" i="3" s="1"/>
  <c r="F1149" i="3"/>
  <c r="J1149" i="3" s="1"/>
  <c r="F1126" i="3"/>
  <c r="J1126" i="3" s="1"/>
  <c r="F1581" i="3"/>
  <c r="J1581" i="3" s="1"/>
  <c r="F1642" i="3"/>
  <c r="J1642" i="3" s="1"/>
  <c r="F1904" i="3"/>
  <c r="J1904" i="3" s="1"/>
  <c r="F1839" i="3"/>
  <c r="J1839" i="3" s="1"/>
  <c r="F1575" i="3"/>
  <c r="J1575" i="3" s="1"/>
  <c r="F1179" i="3"/>
  <c r="J1179" i="3" s="1"/>
  <c r="F1021" i="3"/>
  <c r="J1021" i="3" s="1"/>
  <c r="F830" i="3"/>
  <c r="J830" i="3" s="1"/>
  <c r="F1405" i="3"/>
  <c r="J1405" i="3" s="1"/>
  <c r="F1695" i="3"/>
  <c r="J1695" i="3" s="1"/>
  <c r="F1104" i="3"/>
  <c r="J1104" i="3" s="1"/>
  <c r="F1846" i="3"/>
  <c r="J1846" i="3" s="1"/>
  <c r="F299" i="3"/>
  <c r="J299" i="3" s="1"/>
  <c r="F1740" i="3"/>
  <c r="J1740" i="3" s="1"/>
  <c r="F107" i="3"/>
  <c r="J107" i="3" s="1"/>
  <c r="F249" i="3"/>
  <c r="J249" i="3" s="1"/>
  <c r="F1614" i="3"/>
  <c r="J1614" i="3" s="1"/>
  <c r="F640" i="3"/>
  <c r="J640" i="3" s="1"/>
  <c r="F1286" i="3"/>
  <c r="J1286" i="3" s="1"/>
  <c r="F1321" i="3"/>
  <c r="J1321" i="3" s="1"/>
  <c r="F1253" i="3"/>
  <c r="J1253" i="3" s="1"/>
  <c r="F681" i="3"/>
  <c r="J681" i="3" s="1"/>
  <c r="F1447" i="3"/>
  <c r="J1447" i="3" s="1"/>
  <c r="F1121" i="3"/>
  <c r="J1121" i="3" s="1"/>
  <c r="F1349" i="3"/>
  <c r="J1349" i="3" s="1"/>
  <c r="F1631" i="3"/>
  <c r="J1631" i="3" s="1"/>
  <c r="F839" i="3"/>
  <c r="J839" i="3" s="1"/>
  <c r="F1069" i="3"/>
  <c r="J1069" i="3" s="1"/>
  <c r="F1620" i="3"/>
  <c r="J1620" i="3" s="1"/>
  <c r="F1611" i="3"/>
  <c r="J1611" i="3" s="1"/>
  <c r="F1548" i="3"/>
  <c r="J1548" i="3" s="1"/>
  <c r="F51" i="3"/>
  <c r="J51" i="3" s="1"/>
  <c r="F1183" i="3"/>
  <c r="J1183" i="3" s="1"/>
  <c r="F1293" i="3"/>
  <c r="J1293" i="3" s="1"/>
  <c r="F1586" i="3"/>
  <c r="J1586" i="3" s="1"/>
  <c r="F547" i="3"/>
  <c r="J547" i="3" s="1"/>
  <c r="F1590" i="3"/>
  <c r="J1590" i="3" s="1"/>
  <c r="F1409" i="3"/>
  <c r="J1409" i="3" s="1"/>
  <c r="F1137" i="3"/>
  <c r="J1137" i="3" s="1"/>
  <c r="F1538" i="3"/>
  <c r="J1538" i="3" s="1"/>
  <c r="F1519" i="3"/>
  <c r="J1519" i="3" s="1"/>
  <c r="F1628" i="3"/>
  <c r="J1628" i="3" s="1"/>
  <c r="F754" i="3"/>
  <c r="J754" i="3" s="1"/>
  <c r="F1798" i="3"/>
  <c r="J1798" i="3" s="1"/>
  <c r="F1771" i="3"/>
  <c r="J1771" i="3" s="1"/>
  <c r="F1845" i="3"/>
  <c r="J1845" i="3" s="1"/>
  <c r="F573" i="3"/>
  <c r="J573" i="3" s="1"/>
  <c r="F1397" i="3"/>
  <c r="J1397" i="3" s="1"/>
  <c r="F1652" i="3"/>
  <c r="J1652" i="3" s="1"/>
  <c r="F1532" i="3"/>
  <c r="J1532" i="3" s="1"/>
  <c r="F646" i="3"/>
  <c r="J646" i="3" s="1"/>
  <c r="F1156" i="3"/>
  <c r="J1156" i="3" s="1"/>
  <c r="F624" i="3"/>
  <c r="J624" i="3" s="1"/>
  <c r="F1720" i="3"/>
  <c r="J1720" i="3" s="1"/>
  <c r="F1579" i="3"/>
  <c r="J1579" i="3" s="1"/>
  <c r="F93" i="3"/>
  <c r="J93" i="3" s="1"/>
  <c r="F562" i="3"/>
  <c r="J562" i="3" s="1"/>
  <c r="F1271" i="3"/>
  <c r="J1271" i="3" s="1"/>
  <c r="F1281" i="3"/>
  <c r="J1281" i="3" s="1"/>
  <c r="F188" i="3"/>
  <c r="J188" i="3" s="1"/>
  <c r="F1468" i="3"/>
  <c r="J1468" i="3" s="1"/>
  <c r="F1452" i="3"/>
  <c r="J1452" i="3" s="1"/>
  <c r="F6" i="3"/>
  <c r="J6" i="3" s="1"/>
  <c r="F1764" i="3"/>
  <c r="J1764" i="3" s="1"/>
  <c r="F480" i="3"/>
  <c r="J480" i="3" s="1"/>
  <c r="F1726" i="3"/>
  <c r="J1726" i="3" s="1"/>
  <c r="F1516" i="3"/>
  <c r="J1516" i="3" s="1"/>
  <c r="F1912" i="3"/>
  <c r="J1912" i="3" s="1"/>
  <c r="F1533" i="3"/>
  <c r="J1533" i="3" s="1"/>
  <c r="F1558" i="3"/>
  <c r="J1558" i="3" s="1"/>
  <c r="F1186" i="3"/>
  <c r="J1186" i="3" s="1"/>
  <c r="F1836" i="3"/>
  <c r="J1836" i="3" s="1"/>
  <c r="F1392" i="3"/>
  <c r="J1392" i="3" s="1"/>
  <c r="F1473" i="3"/>
  <c r="J1473" i="3" s="1"/>
  <c r="F1070" i="3"/>
  <c r="J1070" i="3" s="1"/>
  <c r="F1580" i="3"/>
  <c r="J1580" i="3" s="1"/>
  <c r="F1596" i="3"/>
  <c r="J1596" i="3" s="1"/>
  <c r="F1331" i="3"/>
  <c r="J1331" i="3" s="1"/>
  <c r="F1900" i="3"/>
  <c r="J1900" i="3" s="1"/>
  <c r="F1219" i="3"/>
  <c r="J1219" i="3" s="1"/>
  <c r="F1237" i="3"/>
  <c r="J1237" i="3" s="1"/>
  <c r="F1765" i="3"/>
  <c r="J1765" i="3" s="1"/>
  <c r="F282" i="3"/>
  <c r="J282" i="3" s="1"/>
  <c r="F1754" i="3"/>
  <c r="J1754" i="3" s="1"/>
  <c r="F1079" i="3"/>
  <c r="J1079" i="3" s="1"/>
  <c r="F1787" i="3"/>
  <c r="J1787" i="3" s="1"/>
  <c r="F1330" i="3"/>
  <c r="J1330" i="3" s="1"/>
  <c r="F1214" i="3"/>
  <c r="J1214" i="3" s="1"/>
  <c r="F1470" i="3"/>
  <c r="J1470" i="3" s="1"/>
  <c r="F1699" i="3"/>
  <c r="J1699" i="3" s="1"/>
  <c r="F1535" i="3"/>
  <c r="J1535" i="3" s="1"/>
  <c r="F1514" i="3"/>
  <c r="J1514" i="3" s="1"/>
  <c r="F1348" i="3"/>
  <c r="J1348" i="3" s="1"/>
  <c r="F1665" i="3"/>
  <c r="J1665" i="3" s="1"/>
  <c r="F1400" i="3"/>
  <c r="J1400" i="3" s="1"/>
  <c r="F656" i="3"/>
  <c r="J656" i="3" s="1"/>
  <c r="F1251" i="3"/>
  <c r="J1251" i="3" s="1"/>
  <c r="F205" i="3"/>
  <c r="J205" i="3" s="1"/>
  <c r="F1300" i="3"/>
  <c r="J1300" i="3" s="1"/>
  <c r="F1150" i="3"/>
  <c r="J1150" i="3" s="1"/>
  <c r="F1467" i="3"/>
  <c r="J1467" i="3" s="1"/>
  <c r="F1131" i="3"/>
  <c r="J1131" i="3" s="1"/>
  <c r="F710" i="3"/>
  <c r="J710" i="3" s="1"/>
  <c r="F880" i="3"/>
  <c r="J880" i="3" s="1"/>
  <c r="F1499" i="3"/>
  <c r="J1499" i="3" s="1"/>
  <c r="F1791" i="3"/>
  <c r="J1791" i="3" s="1"/>
  <c r="F1122" i="3"/>
  <c r="J1122" i="3" s="1"/>
  <c r="F32" i="3"/>
  <c r="J32" i="3" s="1"/>
  <c r="F1212" i="3"/>
  <c r="J1212" i="3" s="1"/>
  <c r="F1343" i="3"/>
  <c r="J1343" i="3" s="1"/>
  <c r="F1638" i="3"/>
  <c r="J1638" i="3" s="1"/>
  <c r="F1884" i="3"/>
  <c r="J1884" i="3" s="1"/>
  <c r="F855" i="3"/>
  <c r="J855" i="3" s="1"/>
  <c r="F203" i="3"/>
  <c r="J203" i="3" s="1"/>
  <c r="F847" i="3"/>
  <c r="J847" i="3" s="1"/>
  <c r="F1872" i="3"/>
  <c r="J1872" i="3" s="1"/>
  <c r="F1201" i="3"/>
  <c r="J1201" i="3" s="1"/>
  <c r="F1512" i="3"/>
  <c r="J1512" i="3" s="1"/>
  <c r="F266" i="3"/>
  <c r="J266" i="3" s="1"/>
  <c r="F1707" i="3"/>
  <c r="J1707" i="3" s="1"/>
  <c r="F1876" i="3"/>
  <c r="J1876" i="3" s="1"/>
  <c r="F1543" i="3"/>
  <c r="J1543" i="3" s="1"/>
  <c r="F1530" i="3"/>
  <c r="J1530" i="3" s="1"/>
  <c r="F1785" i="3"/>
  <c r="J1785" i="3" s="1"/>
  <c r="F1587" i="3"/>
  <c r="J1587" i="3" s="1"/>
  <c r="F1184" i="3"/>
  <c r="J1184" i="3" s="1"/>
  <c r="F1369" i="3"/>
  <c r="J1369" i="3" s="1"/>
  <c r="F1724" i="3"/>
  <c r="J1724" i="3" s="1"/>
  <c r="F1489" i="3"/>
  <c r="J1489" i="3" s="1"/>
  <c r="F1458" i="3"/>
  <c r="J1458" i="3" s="1"/>
  <c r="F1230" i="3"/>
  <c r="J1230" i="3" s="1"/>
  <c r="F377" i="3"/>
  <c r="J377" i="3" s="1"/>
  <c r="F1718" i="3"/>
  <c r="J1718" i="3" s="1"/>
  <c r="F1634" i="3"/>
  <c r="J1634" i="3" s="1"/>
  <c r="F1198" i="3"/>
  <c r="J1198" i="3" s="1"/>
  <c r="F1416" i="3"/>
  <c r="J1416" i="3" s="1"/>
  <c r="F1075" i="3"/>
  <c r="J1075" i="3" s="1"/>
  <c r="F1908" i="3"/>
  <c r="J1908" i="3" s="1"/>
  <c r="F1002" i="3"/>
  <c r="J1002" i="3" s="1"/>
  <c r="F1412" i="3"/>
  <c r="J1412" i="3" s="1"/>
  <c r="F356" i="3"/>
  <c r="J356" i="3" s="1"/>
  <c r="F1058" i="3"/>
  <c r="J1058" i="3" s="1"/>
  <c r="F634" i="3"/>
  <c r="J634" i="3" s="1"/>
  <c r="F992" i="3"/>
  <c r="J992" i="3" s="1"/>
  <c r="F1597" i="3"/>
  <c r="J1597" i="3" s="1"/>
  <c r="F1735" i="3"/>
  <c r="J1735" i="3" s="1"/>
  <c r="F1481" i="3"/>
  <c r="J1481" i="3" s="1"/>
  <c r="F1800" i="3"/>
  <c r="J1800" i="3" s="1"/>
  <c r="F283" i="3"/>
  <c r="J283" i="3" s="1"/>
  <c r="F1799" i="3"/>
  <c r="J1799" i="3" s="1"/>
  <c r="F1680" i="3"/>
  <c r="J1680" i="3" s="1"/>
  <c r="F1877" i="3"/>
  <c r="J1877" i="3" s="1"/>
  <c r="F1453" i="3"/>
  <c r="J1453" i="3" s="1"/>
  <c r="F1340" i="3"/>
  <c r="J1340" i="3" s="1"/>
  <c r="F1567" i="3"/>
  <c r="J1567" i="3" s="1"/>
  <c r="F1454" i="3"/>
  <c r="J1454" i="3" s="1"/>
  <c r="F378" i="3"/>
  <c r="J378" i="3" s="1"/>
  <c r="F1168" i="3"/>
  <c r="J1168" i="3" s="1"/>
  <c r="F1598" i="3"/>
  <c r="J1598" i="3" s="1"/>
  <c r="F352" i="3"/>
  <c r="J352" i="3" s="1"/>
  <c r="F1116" i="3"/>
  <c r="J1116" i="3" s="1"/>
  <c r="F529" i="3"/>
  <c r="J529" i="3" s="1"/>
  <c r="F1061" i="3"/>
  <c r="J1061" i="3" s="1"/>
  <c r="F1660" i="3"/>
  <c r="J1660" i="3" s="1"/>
  <c r="F1494" i="3"/>
  <c r="J1494" i="3" s="1"/>
  <c r="F1362" i="3"/>
  <c r="J1362" i="3" s="1"/>
  <c r="F1901" i="3"/>
  <c r="J1901" i="3" s="1"/>
  <c r="F1213" i="3"/>
  <c r="J1213" i="3" s="1"/>
  <c r="F1229" i="3"/>
  <c r="J1229" i="3" s="1"/>
  <c r="F703" i="3"/>
  <c r="J703" i="3" s="1"/>
  <c r="F1599" i="3"/>
  <c r="J1599" i="3" s="1"/>
  <c r="F1582" i="3"/>
  <c r="J1582" i="3" s="1"/>
  <c r="F1090" i="3"/>
  <c r="J1090" i="3" s="1"/>
  <c r="F543" i="3"/>
  <c r="J543" i="3" s="1"/>
  <c r="F1159" i="3"/>
  <c r="J1159" i="3" s="1"/>
  <c r="F1536" i="3"/>
  <c r="J1536" i="3" s="1"/>
  <c r="E335" i="3"/>
  <c r="E2" i="3"/>
  <c r="E1010" i="3"/>
  <c r="E275" i="3"/>
  <c r="E800" i="3"/>
  <c r="E88" i="3"/>
  <c r="E56" i="3"/>
  <c r="E574" i="3"/>
  <c r="E449" i="3"/>
  <c r="E955" i="3"/>
  <c r="E77" i="3"/>
  <c r="E736" i="3"/>
  <c r="E73" i="3"/>
  <c r="E80" i="3"/>
  <c r="E644" i="3"/>
  <c r="E41" i="3"/>
  <c r="E368" i="3"/>
  <c r="E548" i="3"/>
  <c r="E231" i="3"/>
  <c r="E1041" i="3"/>
  <c r="E164" i="3"/>
  <c r="E1042" i="3"/>
  <c r="E876" i="3"/>
  <c r="E993" i="3"/>
  <c r="E881" i="3"/>
  <c r="E568" i="3"/>
  <c r="E28" i="3"/>
  <c r="E499" i="3"/>
  <c r="E603" i="3"/>
  <c r="E490" i="3"/>
  <c r="E491" i="3"/>
  <c r="E100" i="3"/>
  <c r="E931" i="3"/>
  <c r="E906" i="3"/>
  <c r="E737" i="3"/>
  <c r="E165" i="3"/>
  <c r="E896" i="3"/>
  <c r="E454" i="3"/>
  <c r="E156" i="3"/>
  <c r="E226" i="3"/>
  <c r="E728" i="3"/>
  <c r="E525" i="3"/>
  <c r="E717" i="3"/>
  <c r="E160" i="3"/>
  <c r="E994" i="3"/>
  <c r="E289" i="3"/>
  <c r="E3" i="3"/>
  <c r="E1022" i="3"/>
  <c r="E30" i="3"/>
  <c r="E383" i="3"/>
  <c r="E635" i="3"/>
  <c r="E916" i="3"/>
  <c r="E977" i="3"/>
  <c r="E742" i="3"/>
  <c r="E575" i="3"/>
  <c r="E724" i="3"/>
  <c r="E500" i="3"/>
  <c r="E294" i="3"/>
  <c r="E325" i="3"/>
  <c r="E625" i="3"/>
  <c r="E450" i="3"/>
  <c r="E196" i="3"/>
  <c r="E357" i="3"/>
  <c r="E243" i="3"/>
  <c r="E986" i="3"/>
  <c r="E1037" i="3"/>
  <c r="E145" i="3"/>
  <c r="E42" i="3"/>
  <c r="E907" i="3"/>
  <c r="E569" i="3"/>
  <c r="E840" i="3"/>
  <c r="E1043" i="3"/>
  <c r="E23" i="3"/>
  <c r="E308" i="3"/>
  <c r="E258" i="3"/>
  <c r="E81" i="3"/>
  <c r="E128" i="3"/>
  <c r="E816" i="3"/>
  <c r="E43" i="3"/>
  <c r="E604" i="3"/>
  <c r="E826" i="3"/>
  <c r="E917" i="3"/>
  <c r="E960" i="3"/>
  <c r="E62" i="3"/>
  <c r="E316" i="3"/>
  <c r="E1003" i="3"/>
  <c r="E57" i="3"/>
  <c r="E538" i="3"/>
  <c r="E596" i="3"/>
  <c r="E91" i="3"/>
  <c r="E738" i="3"/>
  <c r="E276" i="3"/>
  <c r="E1023" i="3"/>
  <c r="E1053" i="3"/>
  <c r="E70" i="3"/>
  <c r="E172" i="3"/>
  <c r="E687" i="3"/>
  <c r="E372" i="3"/>
  <c r="E300" i="3"/>
  <c r="E101" i="3"/>
  <c r="E794" i="3"/>
  <c r="E417" i="3"/>
  <c r="E795" i="3"/>
  <c r="E827" i="3"/>
  <c r="E1049" i="3"/>
  <c r="E918" i="3"/>
  <c r="E423" i="3"/>
  <c r="E306" i="3"/>
  <c r="E396" i="3"/>
  <c r="E182" i="3"/>
  <c r="E908" i="3"/>
  <c r="E706" i="3"/>
  <c r="E284" i="3"/>
  <c r="E555" i="3"/>
  <c r="E384" i="3"/>
  <c r="E358" i="3"/>
  <c r="E74" i="3"/>
  <c r="E763" i="3"/>
  <c r="E810" i="3"/>
  <c r="E998" i="3"/>
  <c r="E221" i="3"/>
  <c r="E856" i="3"/>
  <c r="E926" i="3"/>
  <c r="E581" i="3"/>
  <c r="E764" i="3"/>
  <c r="E675" i="3"/>
  <c r="E63" i="3"/>
  <c r="E451" i="3"/>
  <c r="E877" i="3"/>
  <c r="E912" i="3"/>
  <c r="E501" i="3"/>
  <c r="E711" i="3"/>
  <c r="E418" i="3"/>
  <c r="E950" i="3"/>
  <c r="E563" i="3"/>
  <c r="E549" i="3"/>
  <c r="E191" i="3"/>
  <c r="E385" i="3"/>
  <c r="E492" i="3"/>
  <c r="E234" i="3"/>
  <c r="E1024" i="3"/>
  <c r="E729" i="3"/>
  <c r="E647" i="3"/>
  <c r="E309" i="3"/>
  <c r="E290" i="3"/>
  <c r="E386" i="3"/>
  <c r="E965" i="3"/>
  <c r="E183" i="3"/>
  <c r="E636" i="3"/>
  <c r="E71" i="3"/>
  <c r="E771" i="3"/>
  <c r="E556" i="3"/>
  <c r="E564" i="3"/>
  <c r="E765" i="3"/>
  <c r="E718" i="3"/>
  <c r="E166" i="3"/>
  <c r="E515" i="3"/>
  <c r="E317" i="3"/>
  <c r="E336" i="3"/>
  <c r="E259" i="3"/>
  <c r="E431" i="3"/>
  <c r="E882" i="3"/>
  <c r="E102" i="3"/>
  <c r="E610" i="3"/>
  <c r="E481" i="3"/>
  <c r="E119" i="3"/>
  <c r="E730" i="3"/>
  <c r="E987" i="3"/>
  <c r="E244" i="3"/>
  <c r="E67" i="3"/>
  <c r="E345" i="3"/>
  <c r="E494" i="3"/>
  <c r="E919" i="3"/>
  <c r="E831" i="3"/>
  <c r="E832" i="3"/>
  <c r="E52" i="3"/>
  <c r="E89" i="3"/>
  <c r="E245" i="3"/>
  <c r="E1030" i="3"/>
  <c r="E806" i="3"/>
  <c r="E988" i="3"/>
  <c r="E913" i="3"/>
  <c r="E772" i="3"/>
  <c r="E277" i="3"/>
  <c r="E652" i="3"/>
  <c r="E267" i="3"/>
  <c r="E438" i="3"/>
  <c r="E397" i="3"/>
  <c r="E17" i="3"/>
  <c r="E272" i="3"/>
  <c r="E246" i="3"/>
  <c r="E1004" i="3"/>
  <c r="E157" i="3"/>
  <c r="E1013" i="3"/>
  <c r="E1025" i="3"/>
  <c r="E653" i="3"/>
  <c r="E318" i="3"/>
  <c r="E951" i="3"/>
  <c r="E833" i="3"/>
  <c r="E961" i="3"/>
  <c r="E260" i="3"/>
  <c r="E530" i="3"/>
  <c r="E310" i="3"/>
  <c r="E755" i="3"/>
  <c r="E206" i="3"/>
  <c r="E1054" i="3"/>
  <c r="E366" i="3"/>
  <c r="E502" i="3"/>
  <c r="E641" i="3"/>
  <c r="E725" i="3"/>
  <c r="E892" i="3"/>
  <c r="E465" i="3"/>
  <c r="E402" i="3"/>
  <c r="E339" i="3"/>
  <c r="E469" i="3"/>
  <c r="E701" i="3"/>
  <c r="E682" i="3"/>
  <c r="E643" i="3"/>
  <c r="E129" i="3"/>
  <c r="E978" i="3"/>
  <c r="E645" i="3"/>
  <c r="E1031" i="3"/>
  <c r="E419" i="3"/>
  <c r="E261" i="3"/>
  <c r="E482" i="3"/>
  <c r="E408" i="3"/>
  <c r="E557" i="3"/>
  <c r="E58" i="3"/>
  <c r="E776" i="3"/>
  <c r="E285" i="3"/>
  <c r="E1005" i="3"/>
  <c r="E189" i="3"/>
  <c r="E24" i="3"/>
  <c r="E340" i="3"/>
  <c r="E756" i="3"/>
  <c r="E803" i="3"/>
  <c r="E801" i="3"/>
  <c r="E979" i="3"/>
  <c r="E565" i="3"/>
  <c r="E379" i="3"/>
  <c r="E197" i="3"/>
  <c r="E250" i="3"/>
  <c r="E432" i="3"/>
  <c r="E295" i="3"/>
  <c r="E503" i="3"/>
  <c r="E786" i="3"/>
  <c r="E319" i="3"/>
  <c r="E683" i="3"/>
  <c r="E749" i="3"/>
  <c r="E897" i="3"/>
  <c r="E934" i="3"/>
  <c r="E442" i="3"/>
  <c r="E337" i="3"/>
  <c r="E1038" i="3"/>
  <c r="E665" i="3"/>
  <c r="E989" i="3"/>
  <c r="E878" i="3"/>
  <c r="E1006" i="3"/>
  <c r="E666" i="3"/>
  <c r="E626" i="3"/>
  <c r="E214" i="3"/>
  <c r="E997" i="3"/>
  <c r="E459" i="3"/>
  <c r="E215" i="3"/>
  <c r="E173" i="3"/>
  <c r="E980" i="3"/>
  <c r="E743" i="3"/>
  <c r="E667" i="3"/>
  <c r="E235" i="3"/>
  <c r="E739" i="3"/>
  <c r="E879" i="3"/>
  <c r="E75" i="3"/>
  <c r="E712" i="3"/>
  <c r="E44" i="3"/>
  <c r="E94" i="3"/>
  <c r="E914" i="3"/>
  <c r="E64" i="3"/>
  <c r="E1039" i="3"/>
  <c r="E7" i="3"/>
  <c r="E558" i="3"/>
  <c r="E174" i="3"/>
  <c r="E858" i="3"/>
  <c r="E301" i="3"/>
  <c r="E82" i="3"/>
  <c r="E966" i="3"/>
  <c r="E192" i="3"/>
  <c r="E13" i="3"/>
  <c r="E278" i="3"/>
  <c r="E691" i="3"/>
  <c r="E620" i="3"/>
  <c r="E484" i="3"/>
  <c r="E76" i="3"/>
  <c r="E848" i="3"/>
  <c r="E868" i="3"/>
  <c r="E910" i="3"/>
  <c r="E841" i="3"/>
  <c r="E657" i="3"/>
  <c r="E900" i="3"/>
  <c r="E661" i="3"/>
  <c r="E25" i="3"/>
  <c r="E8" i="3"/>
  <c r="E303" i="3"/>
  <c r="E757" i="3"/>
  <c r="E559" i="3"/>
  <c r="E18" i="3"/>
  <c r="E26" i="3"/>
  <c r="E719" i="3"/>
  <c r="E981" i="3"/>
  <c r="E359" i="3"/>
  <c r="E731" i="3"/>
  <c r="E369" i="3"/>
  <c r="E27" i="3"/>
  <c r="E688" i="3"/>
  <c r="E952" i="3"/>
  <c r="E920" i="3"/>
  <c r="E585" i="3"/>
  <c r="E227" i="3"/>
  <c r="E137" i="3"/>
  <c r="E125" i="3"/>
  <c r="E713" i="3"/>
  <c r="E193" i="3"/>
  <c r="E311" i="3"/>
  <c r="E247" i="3"/>
  <c r="E849" i="3"/>
  <c r="E714" i="3"/>
  <c r="E332" i="3"/>
  <c r="E460" i="3"/>
  <c r="E346" i="3"/>
  <c r="E531" i="3"/>
  <c r="E103" i="3"/>
  <c r="E485" i="3"/>
  <c r="E544" i="3"/>
  <c r="E627" i="3"/>
  <c r="E777" i="3"/>
  <c r="E320" i="3"/>
  <c r="E953" i="3"/>
  <c r="E291" i="3"/>
  <c r="E387" i="3"/>
  <c r="E935" i="3"/>
  <c r="E104" i="3"/>
  <c r="E898" i="3"/>
  <c r="E893" i="3"/>
  <c r="E1032" i="3"/>
  <c r="E45" i="3"/>
  <c r="E120" i="3"/>
  <c r="E545" i="3"/>
  <c r="E504" i="3"/>
  <c r="E495" i="3"/>
  <c r="E758" i="3"/>
  <c r="E648" i="3"/>
  <c r="E72" i="3"/>
  <c r="E869" i="3"/>
  <c r="E14" i="3"/>
  <c r="E956" i="3"/>
  <c r="E216" i="3"/>
  <c r="E108" i="3"/>
  <c r="E684" i="3"/>
  <c r="E593" i="3"/>
  <c r="E883" i="3"/>
  <c r="E433" i="3"/>
  <c r="E778" i="3"/>
  <c r="E126" i="3"/>
  <c r="E720" i="3"/>
  <c r="E53" i="3"/>
  <c r="E296" i="3"/>
  <c r="E273" i="3"/>
  <c r="E943" i="3"/>
  <c r="E787" i="3"/>
  <c r="E649" i="3"/>
  <c r="E353" i="3"/>
  <c r="E59" i="3"/>
  <c r="E95" i="3"/>
  <c r="E936" i="3"/>
  <c r="E363" i="3"/>
  <c r="E744" i="3"/>
  <c r="E779" i="3"/>
  <c r="E901" i="3"/>
  <c r="E46" i="3"/>
  <c r="E228" i="3"/>
  <c r="E409" i="3"/>
  <c r="E29" i="3"/>
  <c r="E268" i="3"/>
  <c r="E807" i="3"/>
  <c r="E184" i="3"/>
  <c r="E1015" i="3"/>
  <c r="E970" i="3"/>
  <c r="E532" i="3"/>
  <c r="E96" i="3"/>
  <c r="E388" i="3"/>
  <c r="E204" i="3"/>
  <c r="E780" i="3"/>
  <c r="E312" i="3"/>
  <c r="E788" i="3"/>
  <c r="E516" i="3"/>
  <c r="E927" i="3"/>
  <c r="E740" i="3"/>
  <c r="E434" i="3"/>
  <c r="E510" i="3"/>
  <c r="E1026" i="3"/>
  <c r="E1007" i="3"/>
  <c r="E175" i="3"/>
  <c r="E940" i="3"/>
  <c r="E990" i="3"/>
  <c r="E105" i="3"/>
  <c r="E689" i="3"/>
  <c r="E1011" i="3"/>
  <c r="E452" i="3"/>
  <c r="E68" i="3"/>
  <c r="E130" i="3"/>
  <c r="E594" i="3"/>
  <c r="E302" i="3"/>
  <c r="E97" i="3"/>
  <c r="E444" i="3"/>
  <c r="E834" i="3"/>
  <c r="E1044" i="3"/>
  <c r="E842" i="3"/>
  <c r="E817" i="3"/>
  <c r="E533" i="3"/>
  <c r="E1055" i="3"/>
  <c r="E427" i="3"/>
  <c r="E37" i="3"/>
  <c r="E861" i="3"/>
  <c r="E354" i="3"/>
  <c r="E611" i="3"/>
  <c r="E668" i="3"/>
  <c r="E297" i="3"/>
  <c r="E466" i="3"/>
  <c r="E759" i="3"/>
  <c r="E496" i="3"/>
  <c r="E586" i="3"/>
  <c r="E236" i="3"/>
  <c r="E932" i="3"/>
  <c r="E804" i="3"/>
  <c r="E909" i="3"/>
  <c r="E505" i="3"/>
  <c r="E109" i="3"/>
  <c r="E1050" i="3"/>
  <c r="E850" i="3"/>
  <c r="E380" i="3"/>
  <c r="E326" i="3"/>
  <c r="E971" i="3"/>
  <c r="E90" i="3"/>
  <c r="E110" i="3"/>
  <c r="E347" i="3"/>
  <c r="E198" i="3"/>
  <c r="E506" i="3"/>
  <c r="E972" i="3"/>
  <c r="E862" i="3"/>
  <c r="E199" i="3"/>
  <c r="E1008" i="3"/>
  <c r="E517" i="3"/>
  <c r="E420" i="3"/>
  <c r="E470" i="3"/>
  <c r="E138" i="3"/>
  <c r="E121" i="3"/>
  <c r="E9" i="3"/>
  <c r="E403" i="3"/>
  <c r="E601" i="3"/>
  <c r="E471" i="3"/>
  <c r="E1033" i="3"/>
  <c r="E355" i="3"/>
  <c r="E132" i="3"/>
  <c r="E162" i="3"/>
  <c r="E117" i="3"/>
  <c r="E237" i="3"/>
  <c r="E587" i="3"/>
  <c r="E605" i="3"/>
  <c r="E766" i="3"/>
  <c r="E767" i="3"/>
  <c r="E702" i="3"/>
  <c r="E550" i="3"/>
  <c r="E133" i="3"/>
  <c r="E33" i="3"/>
  <c r="E118" i="3"/>
  <c r="E461" i="3"/>
  <c r="E760" i="3"/>
  <c r="E122" i="3"/>
  <c r="E818" i="3"/>
  <c r="E828" i="3"/>
  <c r="E428" i="3"/>
  <c r="E511" i="3"/>
  <c r="E19" i="3"/>
  <c r="E373" i="3"/>
  <c r="E560" i="3"/>
  <c r="E518" i="3"/>
  <c r="E1059" i="3"/>
  <c r="E111" i="3"/>
  <c r="E991" i="3"/>
  <c r="E773" i="3"/>
  <c r="E321" i="3"/>
  <c r="E791" i="3"/>
  <c r="E493" i="3"/>
  <c r="E217" i="3"/>
  <c r="E937" i="3"/>
  <c r="E507" i="3"/>
  <c r="E218" i="3"/>
  <c r="E176" i="3"/>
  <c r="E348" i="3"/>
  <c r="E398" i="3"/>
  <c r="E349" i="3"/>
  <c r="E676" i="3"/>
  <c r="E190" i="3"/>
  <c r="E78" i="3"/>
  <c r="E207" i="3"/>
  <c r="E595" i="3"/>
  <c r="E360" i="3"/>
  <c r="E570" i="3"/>
  <c r="E389" i="3"/>
  <c r="E658" i="3"/>
  <c r="E98" i="3"/>
  <c r="E472" i="3"/>
  <c r="E333" i="3"/>
  <c r="E327" i="3"/>
  <c r="E982" i="3"/>
  <c r="E857" i="3"/>
  <c r="E677" i="3"/>
  <c r="E819" i="3"/>
  <c r="E843" i="3"/>
  <c r="E251" i="3"/>
  <c r="E628" i="3"/>
  <c r="E139" i="3"/>
  <c r="E167" i="3"/>
  <c r="E399" i="3"/>
  <c r="E10" i="3"/>
  <c r="E534" i="3"/>
  <c r="E439" i="3"/>
  <c r="E851" i="3"/>
  <c r="E508" i="3"/>
  <c r="E435" i="3"/>
  <c r="E597" i="3"/>
  <c r="E440" i="3"/>
  <c r="E588" i="3"/>
  <c r="E895" i="3"/>
  <c r="E820" i="3"/>
  <c r="E168" i="3"/>
  <c r="E390" i="3"/>
  <c r="E424" i="3"/>
  <c r="E835" i="3"/>
  <c r="E944" i="3"/>
  <c r="E254" i="3"/>
  <c r="E654" i="3"/>
  <c r="E410" i="3"/>
  <c r="E229" i="3"/>
  <c r="E535" i="3"/>
  <c r="E421" i="3"/>
  <c r="E374" i="3"/>
  <c r="E999" i="3"/>
  <c r="E945" i="3"/>
  <c r="E863" i="3"/>
  <c r="E669" i="3"/>
  <c r="E796" i="3"/>
  <c r="E322" i="3"/>
  <c r="E429" i="3"/>
  <c r="E497" i="3"/>
  <c r="E364" i="3"/>
  <c r="E526" i="3"/>
  <c r="E477" i="3"/>
  <c r="E148" i="3"/>
  <c r="E781" i="3"/>
  <c r="E255" i="3"/>
  <c r="E811" i="3"/>
  <c r="E745" i="3"/>
  <c r="E232" i="3"/>
  <c r="E933" i="3"/>
  <c r="E1045" i="3"/>
  <c r="E750" i="3"/>
  <c r="E34" i="3"/>
  <c r="E995" i="3"/>
  <c r="E637" i="3"/>
  <c r="E967" i="3"/>
  <c r="E269" i="3"/>
  <c r="E598" i="3"/>
  <c r="E375" i="3"/>
  <c r="E946" i="3"/>
  <c r="E83" i="3"/>
  <c r="E551" i="3"/>
  <c r="E921" i="3"/>
  <c r="E685" i="3"/>
  <c r="E177" i="3"/>
  <c r="E864" i="3"/>
  <c r="E400" i="3"/>
  <c r="E313" i="3"/>
  <c r="E334" i="3"/>
  <c r="E902" i="3"/>
  <c r="E200" i="3"/>
  <c r="E975" i="3"/>
  <c r="E576" i="3"/>
  <c r="E498" i="3"/>
  <c r="E92" i="3"/>
  <c r="E606" i="3"/>
  <c r="E829" i="3"/>
  <c r="E655" i="3"/>
  <c r="E805" i="3"/>
  <c r="E539" i="3"/>
  <c r="E726" i="3"/>
  <c r="E692" i="3"/>
  <c r="E947" i="3"/>
  <c r="E571" i="3"/>
  <c r="E746" i="3"/>
  <c r="E49" i="3"/>
  <c r="E473" i="3"/>
  <c r="E957" i="3"/>
  <c r="E732" i="3"/>
  <c r="E821" i="3"/>
  <c r="E870" i="3"/>
  <c r="E112" i="3"/>
  <c r="E140" i="3"/>
  <c r="E1046" i="3"/>
  <c r="E328" i="3"/>
  <c r="E903" i="3"/>
  <c r="E911" i="3"/>
  <c r="E462" i="3"/>
  <c r="E208" i="3"/>
  <c r="E884" i="3"/>
  <c r="E616" i="3"/>
  <c r="E60" i="3"/>
  <c r="E782" i="3"/>
  <c r="E885" i="3"/>
  <c r="E928" i="3"/>
  <c r="E886" i="3"/>
  <c r="E540" i="3"/>
  <c r="E1016" i="3"/>
  <c r="E436" i="3"/>
  <c r="E589" i="3"/>
  <c r="E141" i="3"/>
  <c r="E15" i="3"/>
  <c r="E131" i="3"/>
  <c r="E341" i="3"/>
  <c r="E286" i="3"/>
  <c r="E696" i="3"/>
  <c r="E1014" i="3"/>
  <c r="E704" i="3"/>
  <c r="E768" i="3"/>
  <c r="E802" i="3"/>
  <c r="E941" i="3"/>
  <c r="E797" i="3"/>
  <c r="E287" i="3"/>
  <c r="E607" i="3"/>
  <c r="E486" i="3"/>
  <c r="E527" i="3"/>
  <c r="E642" i="3"/>
  <c r="E1051" i="3"/>
  <c r="E929" i="3"/>
  <c r="E808" i="3"/>
  <c r="E942" i="3"/>
  <c r="E690" i="3"/>
  <c r="E194" i="3"/>
  <c r="E453" i="3"/>
  <c r="E35" i="3"/>
  <c r="E659" i="3"/>
  <c r="E134" i="3"/>
  <c r="E381" i="3"/>
  <c r="E566" i="3"/>
  <c r="E113" i="3"/>
  <c r="E149" i="3"/>
  <c r="E996" i="3"/>
  <c r="E185" i="3"/>
  <c r="E455" i="3"/>
  <c r="E406" i="3"/>
  <c r="E445" i="3"/>
  <c r="E621" i="3"/>
  <c r="E262" i="3"/>
  <c r="E707" i="3"/>
  <c r="E660" i="3"/>
  <c r="E456" i="3"/>
  <c r="E650" i="3"/>
  <c r="E127" i="3"/>
  <c r="E599" i="3"/>
  <c r="E983" i="3"/>
  <c r="E954" i="3"/>
  <c r="E612" i="3"/>
  <c r="E422" i="3"/>
  <c r="E84" i="3"/>
  <c r="E391" i="3"/>
  <c r="E61" i="3"/>
  <c r="E968" i="3"/>
  <c r="E150" i="3"/>
  <c r="E679" i="3"/>
  <c r="E446" i="3"/>
  <c r="E887" i="3"/>
  <c r="E142" i="3"/>
  <c r="E930" i="3"/>
  <c r="E209" i="3"/>
  <c r="E1009" i="3"/>
  <c r="E323" i="3"/>
  <c r="E705" i="3"/>
  <c r="E222" i="3"/>
  <c r="E761" i="3"/>
  <c r="E201" i="3"/>
  <c r="E437" i="3"/>
  <c r="E774" i="3"/>
  <c r="E582" i="3"/>
  <c r="E638" i="3"/>
  <c r="E304" i="3"/>
  <c r="E546" i="3"/>
  <c r="E859" i="3"/>
  <c r="E238" i="3"/>
  <c r="E239" i="3"/>
  <c r="E871" i="3"/>
  <c r="E904" i="3"/>
  <c r="E590" i="3"/>
  <c r="E536" i="3"/>
  <c r="E38" i="3"/>
  <c r="E1000" i="3"/>
  <c r="E844" i="3"/>
  <c r="E252" i="3"/>
  <c r="E613" i="3"/>
  <c r="E812" i="3"/>
  <c r="E583" i="3"/>
  <c r="E519" i="3"/>
  <c r="E11" i="3"/>
  <c r="E962" i="3"/>
  <c r="E274" i="3"/>
  <c r="E263" i="3"/>
  <c r="E365" i="3"/>
  <c r="E1017" i="3"/>
  <c r="E963" i="3"/>
  <c r="E79" i="3"/>
  <c r="E798" i="3"/>
  <c r="E135" i="3"/>
  <c r="E733" i="3"/>
  <c r="E240" i="3"/>
  <c r="E478" i="3"/>
  <c r="E430" i="3"/>
  <c r="E253" i="3"/>
  <c r="E629" i="3"/>
  <c r="E151" i="3"/>
  <c r="E342" i="3"/>
  <c r="E915" i="3"/>
  <c r="E670" i="3"/>
  <c r="E721" i="3"/>
  <c r="E872" i="3"/>
  <c r="E411" i="3"/>
  <c r="E822" i="3"/>
  <c r="E520" i="3"/>
  <c r="E837" i="3"/>
  <c r="E528" i="3"/>
  <c r="E809" i="3"/>
  <c r="E152" i="3"/>
  <c r="E457" i="3"/>
  <c r="E463" i="3"/>
  <c r="E630" i="3"/>
  <c r="E852" i="3"/>
  <c r="E223" i="3"/>
  <c r="E922" i="3"/>
  <c r="E964" i="3"/>
  <c r="E392" i="3"/>
  <c r="E846" i="3"/>
  <c r="E813" i="3"/>
  <c r="E114" i="3"/>
  <c r="E923" i="3"/>
  <c r="E169" i="3"/>
  <c r="E412" i="3"/>
  <c r="E158" i="3"/>
  <c r="E314" i="3"/>
  <c r="E404" i="3"/>
  <c r="E153" i="3"/>
  <c r="E233" i="3"/>
  <c r="E487" i="3"/>
  <c r="E948" i="3"/>
  <c r="E186" i="3"/>
  <c r="E697" i="3"/>
  <c r="E521" i="3"/>
  <c r="E572" i="3"/>
  <c r="E823" i="3"/>
  <c r="E178" i="3"/>
  <c r="E799" i="3"/>
  <c r="E512" i="3"/>
  <c r="E577" i="3"/>
  <c r="E241" i="3"/>
  <c r="E662" i="3"/>
  <c r="E865" i="3"/>
  <c r="E734" i="3"/>
  <c r="E949" i="3"/>
  <c r="E888" i="3"/>
  <c r="E224" i="3"/>
  <c r="E769" i="3"/>
  <c r="E210" i="3"/>
  <c r="E671" i="3"/>
  <c r="E370" i="3"/>
  <c r="E179" i="3"/>
  <c r="E242" i="3"/>
  <c r="E413" i="3"/>
  <c r="E614" i="3"/>
  <c r="E853" i="3"/>
  <c r="E69" i="3"/>
  <c r="E467" i="3"/>
  <c r="E16" i="3"/>
  <c r="E663" i="3"/>
  <c r="E170" i="3"/>
  <c r="E248" i="3"/>
  <c r="E513" i="3"/>
  <c r="E775" i="3"/>
  <c r="E693" i="3"/>
  <c r="E899" i="3"/>
  <c r="E678" i="3"/>
  <c r="E552" i="3"/>
  <c r="E938" i="3"/>
  <c r="E672" i="3"/>
  <c r="E567" i="3"/>
  <c r="E969" i="3"/>
  <c r="E602" i="3"/>
  <c r="E673" i="3"/>
  <c r="E211" i="3"/>
  <c r="E115" i="3"/>
  <c r="E783" i="3"/>
  <c r="E39" i="3"/>
  <c r="E1034" i="3"/>
  <c r="E288" i="3"/>
  <c r="E376" i="3"/>
  <c r="E47" i="3"/>
  <c r="E361" i="3"/>
  <c r="E292" i="3"/>
  <c r="E735" i="3"/>
  <c r="E371" i="3"/>
  <c r="E219" i="3"/>
  <c r="E1060" i="3"/>
  <c r="E631" i="3"/>
  <c r="E784" i="3"/>
  <c r="E1012" i="3"/>
  <c r="E1052" i="3"/>
  <c r="E1047" i="3"/>
  <c r="E680" i="3"/>
  <c r="E751" i="3"/>
  <c r="E698" i="3"/>
  <c r="E146" i="3"/>
  <c r="E792" i="3"/>
  <c r="E154" i="3"/>
  <c r="E350" i="3"/>
  <c r="E1056" i="3"/>
  <c r="E747" i="3"/>
  <c r="E479" i="3"/>
  <c r="E741" i="3"/>
  <c r="E1027" i="3"/>
  <c r="E54" i="3"/>
  <c r="E1035" i="3"/>
  <c r="E984" i="3"/>
  <c r="E600" i="3"/>
  <c r="E748" i="3"/>
  <c r="E279" i="3"/>
  <c r="E578" i="3"/>
  <c r="E136" i="3"/>
  <c r="E1001" i="3"/>
  <c r="E845" i="3"/>
  <c r="E1018" i="3"/>
  <c r="E329" i="3"/>
  <c r="E393" i="3"/>
  <c r="E48" i="3"/>
  <c r="E615" i="3"/>
  <c r="E343" i="3"/>
  <c r="E1328" i="3"/>
  <c r="E20" i="3"/>
  <c r="E1905" i="3"/>
  <c r="E1657" i="3"/>
  <c r="E1820" i="3"/>
  <c r="E1648" i="3"/>
  <c r="E1128" i="3"/>
  <c r="E1927" i="3"/>
  <c r="E1380" i="3"/>
  <c r="E1691" i="3"/>
  <c r="E973" i="3"/>
  <c r="E1390" i="3"/>
  <c r="E1862" i="3"/>
  <c r="E579" i="3"/>
  <c r="E1815" i="3"/>
  <c r="E1541" i="3"/>
  <c r="E1176" i="3"/>
  <c r="E1783" i="3"/>
  <c r="E1561" i="3"/>
  <c r="E1391" i="3"/>
  <c r="E1524" i="3"/>
  <c r="E1062" i="3"/>
  <c r="E838" i="3"/>
  <c r="E1247" i="3"/>
  <c r="E1692" i="3"/>
  <c r="E889" i="3"/>
  <c r="E1436" i="3"/>
  <c r="E1906" i="3"/>
  <c r="E1711" i="3"/>
  <c r="E1870" i="3"/>
  <c r="E1424" i="3"/>
  <c r="E1866" i="3"/>
  <c r="E4" i="3"/>
  <c r="E1513" i="3"/>
  <c r="E1202" i="3"/>
  <c r="E1363" i="3"/>
  <c r="E99" i="3"/>
  <c r="E608" i="3"/>
  <c r="E1873" i="3"/>
  <c r="E1235" i="3"/>
  <c r="E1824" i="3"/>
  <c r="E1772" i="3"/>
  <c r="E894" i="3"/>
  <c r="E1188" i="3"/>
  <c r="E1096" i="3"/>
  <c r="E305" i="3"/>
  <c r="E1099" i="3"/>
  <c r="E1825" i="3"/>
  <c r="E1480" i="3"/>
  <c r="E1892" i="3"/>
  <c r="E1552" i="3"/>
  <c r="E1801" i="3"/>
  <c r="E1130" i="3"/>
  <c r="E1386" i="3"/>
  <c r="E1364" i="3"/>
  <c r="E1117" i="3"/>
  <c r="E1854" i="3"/>
  <c r="E1856" i="3"/>
  <c r="E1789" i="3"/>
  <c r="E264" i="3"/>
  <c r="E483" i="3"/>
  <c r="E1553" i="3"/>
  <c r="E1294" i="3"/>
  <c r="E1767" i="3"/>
  <c r="E1146" i="3"/>
  <c r="E230" i="3"/>
  <c r="E21" i="3"/>
  <c r="E1215" i="3"/>
  <c r="E1703" i="3"/>
  <c r="E708" i="3"/>
  <c r="E1554" i="3"/>
  <c r="E1127" i="3"/>
  <c r="E890" i="3"/>
  <c r="E1669" i="3"/>
  <c r="E1316" i="3"/>
  <c r="E1459" i="3"/>
  <c r="E1633" i="3"/>
  <c r="E1299" i="3"/>
  <c r="E1471" i="3"/>
  <c r="E50" i="3"/>
  <c r="E609" i="3"/>
  <c r="E401" i="3"/>
  <c r="E1889" i="3"/>
  <c r="E1834" i="3"/>
  <c r="E1615" i="3"/>
  <c r="E1850" i="3"/>
  <c r="E824" i="3"/>
  <c r="E1444" i="3"/>
  <c r="E187" i="3"/>
  <c r="E1775" i="3"/>
  <c r="E1244" i="3"/>
  <c r="E1496" i="3"/>
  <c r="E1461" i="3"/>
  <c r="E814" i="3"/>
  <c r="E1301" i="3"/>
  <c r="E699" i="3"/>
  <c r="E212" i="3"/>
  <c r="E1189" i="3"/>
  <c r="E1469" i="3"/>
  <c r="E1509" i="3"/>
  <c r="E1195" i="3"/>
  <c r="E1899" i="3"/>
  <c r="E1682" i="3"/>
  <c r="E1837" i="3"/>
  <c r="E1318" i="3"/>
  <c r="E1527" i="3"/>
  <c r="E1749" i="3"/>
  <c r="E1649" i="3"/>
  <c r="E1838" i="3"/>
  <c r="E1385" i="3"/>
  <c r="E1298" i="3"/>
  <c r="E1769" i="3"/>
  <c r="E1855" i="3"/>
  <c r="E1448" i="3"/>
  <c r="E1322" i="3"/>
  <c r="E1841" i="3"/>
  <c r="E866" i="3"/>
  <c r="E1671" i="3"/>
  <c r="E1806" i="3"/>
  <c r="E1350" i="3"/>
  <c r="E1325" i="3"/>
  <c r="E1124" i="3"/>
  <c r="E1678" i="3"/>
  <c r="E1110" i="3"/>
  <c r="E1781" i="3"/>
  <c r="E1555" i="3"/>
  <c r="E1147" i="3"/>
  <c r="E1696" i="3"/>
  <c r="E1709" i="3"/>
  <c r="E1411" i="3"/>
  <c r="E1360" i="3"/>
  <c r="E1544" i="3"/>
  <c r="E1095" i="3"/>
  <c r="E1139" i="3"/>
  <c r="E1312" i="3"/>
  <c r="E407" i="3"/>
  <c r="E1645" i="3"/>
  <c r="E1160" i="3"/>
  <c r="E1151" i="3"/>
  <c r="E1828" i="3"/>
  <c r="E1510" i="3"/>
  <c r="E1629" i="3"/>
  <c r="E1829" i="3"/>
  <c r="E1144" i="3"/>
  <c r="E1466" i="3"/>
  <c r="E55" i="3"/>
  <c r="E1403" i="3"/>
  <c r="E1894" i="3"/>
  <c r="E1040" i="3"/>
  <c r="E447" i="3"/>
  <c r="E1105" i="3"/>
  <c r="E1653" i="3"/>
  <c r="E1276" i="3"/>
  <c r="E1365" i="3"/>
  <c r="E1465" i="3"/>
  <c r="E1688" i="3"/>
  <c r="E1100" i="3"/>
  <c r="E1616" i="3"/>
  <c r="E1352" i="3"/>
  <c r="E1568" i="3"/>
  <c r="E1639" i="3"/>
  <c r="E1366" i="3"/>
  <c r="E1324" i="3"/>
  <c r="E1727" i="3"/>
  <c r="E85" i="3"/>
  <c r="E488" i="3"/>
  <c r="E1171" i="3"/>
  <c r="E1076" i="3"/>
  <c r="E1272" i="3"/>
  <c r="E1618" i="3"/>
  <c r="E1107" i="3"/>
  <c r="E1187" i="3"/>
  <c r="E1591" i="3"/>
  <c r="E1495" i="3"/>
  <c r="E1243" i="3"/>
  <c r="E1347" i="3"/>
  <c r="E1462" i="3"/>
  <c r="E1425" i="3"/>
  <c r="E1220" i="3"/>
  <c r="E1296" i="3"/>
  <c r="E1672" i="3"/>
  <c r="E1455" i="3"/>
  <c r="E1210" i="3"/>
  <c r="E1118" i="3"/>
  <c r="E1203" i="3"/>
  <c r="E639" i="3"/>
  <c r="E1923" i="3"/>
  <c r="E1705" i="3"/>
  <c r="E1270" i="3"/>
  <c r="E1810" i="3"/>
  <c r="E1399" i="3"/>
  <c r="E1761" i="3"/>
  <c r="E12" i="3"/>
  <c r="E1583" i="3"/>
  <c r="E1813" i="3"/>
  <c r="E1439" i="3"/>
  <c r="E1341" i="3"/>
  <c r="E1282" i="3"/>
  <c r="E280" i="3"/>
  <c r="E1019" i="3"/>
  <c r="E1406" i="3"/>
  <c r="E1233" i="3"/>
  <c r="E1537" i="3"/>
  <c r="E1683" i="3"/>
  <c r="E1375" i="3"/>
  <c r="E1542" i="3"/>
  <c r="E1317" i="3"/>
  <c r="E1689" i="3"/>
  <c r="E265" i="3"/>
  <c r="E1067" i="3"/>
  <c r="E1132" i="3"/>
  <c r="E1450" i="3"/>
  <c r="E715" i="3"/>
  <c r="E1871" i="3"/>
  <c r="E1164" i="3"/>
  <c r="E1308" i="3"/>
  <c r="E1830" i="3"/>
  <c r="E1625" i="3"/>
  <c r="E1361" i="3"/>
  <c r="E664" i="3"/>
  <c r="E155" i="3"/>
  <c r="E1929" i="3"/>
  <c r="E1547" i="3"/>
  <c r="E1525" i="3"/>
  <c r="E1734" i="3"/>
  <c r="E1097" i="3"/>
  <c r="E1636" i="3"/>
  <c r="E867" i="3"/>
  <c r="E1654" i="3"/>
  <c r="E1698" i="3"/>
  <c r="E1082" i="3"/>
  <c r="E1606" i="3"/>
  <c r="E1779" i="3"/>
  <c r="E752" i="3"/>
  <c r="E1546" i="3"/>
  <c r="E522" i="3"/>
  <c r="E1851" i="3"/>
  <c r="E1545" i="3"/>
  <c r="E1569" i="3"/>
  <c r="E202" i="3"/>
  <c r="E1191" i="3"/>
  <c r="E1723" i="3"/>
  <c r="E1313" i="3"/>
  <c r="E171" i="3"/>
  <c r="E1492" i="3"/>
  <c r="E1238" i="3"/>
  <c r="E1664" i="3"/>
  <c r="E716" i="3"/>
  <c r="E474" i="3"/>
  <c r="E1858" i="3"/>
  <c r="E1173" i="3"/>
  <c r="E1208" i="3"/>
  <c r="E1674" i="3"/>
  <c r="E1285" i="3"/>
  <c r="E958" i="3"/>
  <c r="E1066" i="3"/>
  <c r="E722" i="3"/>
  <c r="E1722" i="3"/>
  <c r="E1437" i="3"/>
  <c r="E1823" i="3"/>
  <c r="E1925" i="3"/>
  <c r="E1240" i="3"/>
  <c r="E1426" i="3"/>
  <c r="E1381" i="3"/>
  <c r="E1863" i="3"/>
  <c r="E1138" i="3"/>
  <c r="E1770" i="3"/>
  <c r="E905" i="3"/>
  <c r="E1123" i="3"/>
  <c r="E1864" i="3"/>
  <c r="E1762" i="3"/>
  <c r="E1888" i="3"/>
  <c r="E1358" i="3"/>
  <c r="E1922" i="3"/>
  <c r="E1741" i="3"/>
  <c r="E591" i="3"/>
  <c r="E1367" i="3"/>
  <c r="E1643" i="3"/>
  <c r="E1859" i="3"/>
  <c r="E1319" i="3"/>
  <c r="E382" i="3"/>
  <c r="E1844" i="3"/>
  <c r="E425" i="3"/>
  <c r="E1200" i="3"/>
  <c r="E1521" i="3"/>
  <c r="E815" i="3"/>
  <c r="E344" i="3"/>
  <c r="E694" i="3"/>
  <c r="E1140" i="3"/>
  <c r="E1540" i="3"/>
  <c r="E1549" i="3"/>
  <c r="E1500" i="3"/>
  <c r="E1449" i="3"/>
  <c r="E1644" i="3"/>
  <c r="E1204" i="3"/>
  <c r="E1254" i="3"/>
  <c r="E1511" i="3"/>
  <c r="E1427" i="3"/>
  <c r="E1172" i="3"/>
  <c r="E1329" i="3"/>
  <c r="E1387" i="3"/>
  <c r="E1517" i="3"/>
  <c r="E1302" i="3"/>
  <c r="E537" i="3"/>
  <c r="E1728" i="3"/>
  <c r="E1630" i="3"/>
  <c r="E632" i="3"/>
  <c r="E1802" i="3"/>
  <c r="E1637" i="3"/>
  <c r="E1563" i="3"/>
  <c r="E1287" i="3"/>
  <c r="E1163" i="3"/>
  <c r="E633" i="3"/>
  <c r="E1273" i="3"/>
  <c r="E116" i="3"/>
  <c r="E1918" i="3"/>
  <c r="E1205" i="3"/>
  <c r="E939" i="3"/>
  <c r="E1737" i="3"/>
  <c r="E1895" i="3"/>
  <c r="E1531" i="3"/>
  <c r="E1336" i="3"/>
  <c r="E1773" i="3"/>
  <c r="E1613" i="3"/>
  <c r="E1868" i="3"/>
  <c r="E1234" i="3"/>
  <c r="E464" i="3"/>
  <c r="E1307" i="3"/>
  <c r="E1786" i="3"/>
  <c r="E580" i="3"/>
  <c r="E1108" i="3"/>
  <c r="E1306" i="3"/>
  <c r="E1501" i="3"/>
  <c r="E1269" i="3"/>
  <c r="E1414" i="3"/>
  <c r="E414" i="3"/>
  <c r="E1266" i="3"/>
  <c r="E1816" i="3"/>
  <c r="E1193" i="3"/>
  <c r="E1673" i="3"/>
  <c r="E1218" i="3"/>
  <c r="E1077" i="3"/>
  <c r="E1216" i="3"/>
  <c r="E1712" i="3"/>
  <c r="E924" i="3"/>
  <c r="E405" i="3"/>
  <c r="E1394" i="3"/>
  <c r="E1550" i="3"/>
  <c r="E1916" i="3"/>
  <c r="E1745" i="3"/>
  <c r="E1719" i="3"/>
  <c r="E1345" i="3"/>
  <c r="E1852" i="3"/>
  <c r="E1777" i="3"/>
  <c r="E1057" i="3"/>
  <c r="E1242" i="3"/>
  <c r="E1603" i="3"/>
  <c r="E1893" i="3"/>
  <c r="E1484" i="3"/>
  <c r="E1314" i="3"/>
  <c r="E1338" i="3"/>
  <c r="E1701" i="3"/>
  <c r="E1154" i="3"/>
  <c r="E1710" i="3"/>
  <c r="E1255" i="3"/>
  <c r="E1382" i="3"/>
  <c r="E1419" i="3"/>
  <c r="E1288" i="3"/>
  <c r="E1919" i="3"/>
  <c r="E891" i="3"/>
  <c r="E1751" i="3"/>
  <c r="E1063" i="3"/>
  <c r="E1738" i="3"/>
  <c r="E1518" i="3"/>
  <c r="E762" i="3"/>
  <c r="E1817" i="3"/>
  <c r="E1115" i="3"/>
  <c r="E270" i="3"/>
  <c r="E1565" i="3"/>
  <c r="E1357" i="3"/>
  <c r="E1818" i="3"/>
  <c r="E1245" i="3"/>
  <c r="E1464" i="3"/>
  <c r="E1878" i="3"/>
  <c r="E561" i="3"/>
  <c r="E1640" i="3"/>
  <c r="E1790" i="3"/>
  <c r="E1402" i="3"/>
  <c r="E1797" i="3"/>
  <c r="E686" i="3"/>
  <c r="E1157" i="3"/>
  <c r="E441" i="3"/>
  <c r="E1320" i="3"/>
  <c r="E1225" i="3"/>
  <c r="E1323" i="3"/>
  <c r="E220" i="3"/>
  <c r="E1661" i="3"/>
  <c r="E1814" i="3"/>
  <c r="E1861" i="3"/>
  <c r="E1227" i="3"/>
  <c r="E1528" i="3"/>
  <c r="E1304" i="3"/>
  <c r="E1141" i="3"/>
  <c r="E1562" i="3"/>
  <c r="E1725" i="3"/>
  <c r="E1896" i="3"/>
  <c r="E298" i="3"/>
  <c r="E394" i="3"/>
  <c r="E1595" i="3"/>
  <c r="E1556" i="3"/>
  <c r="E1274" i="3"/>
  <c r="E1236" i="3"/>
  <c r="E1398" i="3"/>
  <c r="E1739" i="3"/>
  <c r="E1677" i="3"/>
  <c r="E1605" i="3"/>
  <c r="E873" i="3"/>
  <c r="E1902" i="3"/>
  <c r="E159" i="3"/>
  <c r="E793" i="3"/>
  <c r="E1796" i="3"/>
  <c r="E1522" i="3"/>
  <c r="E1604" i="3"/>
  <c r="E1716" i="3"/>
  <c r="E1309" i="3"/>
  <c r="E180" i="3"/>
  <c r="E695" i="3"/>
  <c r="E351" i="3"/>
  <c r="E1091" i="3"/>
  <c r="E1713" i="3"/>
  <c r="E1566" i="3"/>
  <c r="E674" i="3"/>
  <c r="E1133" i="3"/>
  <c r="E1326" i="3"/>
  <c r="E1111" i="3"/>
  <c r="E785" i="3"/>
  <c r="E523" i="3"/>
  <c r="E256" i="3"/>
  <c r="E1167" i="3"/>
  <c r="E1891" i="3"/>
  <c r="E1256" i="3"/>
  <c r="E1809" i="3"/>
  <c r="E1529" i="3"/>
  <c r="E1289" i="3"/>
  <c r="E1114" i="3"/>
  <c r="E1911" i="3"/>
  <c r="E1811" i="3"/>
  <c r="E1848" i="3"/>
  <c r="E874" i="3"/>
  <c r="E1748" i="3"/>
  <c r="E1209" i="3"/>
  <c r="E1879" i="3"/>
  <c r="E1491" i="3"/>
  <c r="E1655" i="3"/>
  <c r="E1194" i="3"/>
  <c r="E1036" i="3"/>
  <c r="E1693" i="3"/>
  <c r="E875" i="3"/>
  <c r="E1376" i="3"/>
  <c r="E1401" i="3"/>
  <c r="E1344" i="3"/>
  <c r="E1377" i="3"/>
  <c r="E1827" i="3"/>
  <c r="E1190" i="3"/>
  <c r="E1374" i="3"/>
  <c r="E123" i="3"/>
  <c r="E475" i="3"/>
  <c r="E1890" i="3"/>
  <c r="E1261" i="3"/>
  <c r="E1388" i="3"/>
  <c r="E1332" i="3"/>
  <c r="E1920" i="3"/>
  <c r="E1101" i="3"/>
  <c r="E1072" i="3"/>
  <c r="E1497" i="3"/>
  <c r="E257" i="3"/>
  <c r="E1594" i="3"/>
  <c r="E1853" i="3"/>
  <c r="E1428" i="3"/>
  <c r="E1081" i="3"/>
  <c r="E1559" i="3"/>
  <c r="E1088" i="3"/>
  <c r="E271" i="3"/>
  <c r="E541" i="3"/>
  <c r="E1283" i="3"/>
  <c r="E1211" i="3"/>
  <c r="E1647" i="3"/>
  <c r="E1346" i="3"/>
  <c r="E542" i="3"/>
  <c r="E1607" i="3"/>
  <c r="E1704" i="3"/>
  <c r="E753" i="3"/>
  <c r="E31" i="3"/>
  <c r="E1913" i="3"/>
  <c r="E1456" i="3"/>
  <c r="E1874" i="3"/>
  <c r="E860" i="3"/>
  <c r="E1277" i="3"/>
  <c r="E1576" i="3"/>
  <c r="E1881" i="3"/>
  <c r="E1831" i="3"/>
  <c r="E1826" i="3"/>
  <c r="E1353" i="3"/>
  <c r="E1355" i="3"/>
  <c r="E1573" i="3"/>
  <c r="E1064" i="3"/>
  <c r="E1684" i="3"/>
  <c r="E1914" i="3"/>
  <c r="E1165" i="3"/>
  <c r="E1199" i="3"/>
  <c r="E1161" i="3"/>
  <c r="E1570" i="3"/>
  <c r="E307" i="3"/>
  <c r="E1857" i="3"/>
  <c r="E1702" i="3"/>
  <c r="E468" i="3"/>
  <c r="E1574" i="3"/>
  <c r="E1490" i="3"/>
  <c r="E1086" i="3"/>
  <c r="E1431" i="3"/>
  <c r="E1668" i="3"/>
  <c r="E1577" i="3"/>
  <c r="E1804" i="3"/>
  <c r="E1223" i="3"/>
  <c r="E651" i="3"/>
  <c r="E974" i="3"/>
  <c r="E1434" i="3"/>
  <c r="E1262" i="3"/>
  <c r="E1421" i="3"/>
  <c r="E700" i="3"/>
  <c r="E1663" i="3"/>
  <c r="E1078" i="3"/>
  <c r="E1776" i="3"/>
  <c r="E22" i="3"/>
  <c r="E1685" i="3"/>
  <c r="E124" i="3"/>
  <c r="E1177" i="3"/>
  <c r="E1342" i="3"/>
  <c r="E1600" i="3"/>
  <c r="E1650" i="3"/>
  <c r="E1443" i="3"/>
  <c r="E1295" i="3"/>
  <c r="E1429" i="3"/>
  <c r="E1252" i="3"/>
  <c r="E1759" i="3"/>
  <c r="E1085" i="3"/>
  <c r="E1112" i="3"/>
  <c r="E1337" i="3"/>
  <c r="E1222" i="3"/>
  <c r="E854" i="3"/>
  <c r="E1145" i="3"/>
  <c r="E1028" i="3"/>
  <c r="E1883" i="3"/>
  <c r="E1821" i="3"/>
  <c r="E1659" i="3"/>
  <c r="E1694" i="3"/>
  <c r="E617" i="3"/>
  <c r="E161" i="3"/>
  <c r="E1410" i="3"/>
  <c r="E1585" i="3"/>
  <c r="E1291" i="3"/>
  <c r="E36" i="3"/>
  <c r="E1430" i="3"/>
  <c r="E1460" i="3"/>
  <c r="E1279" i="3"/>
  <c r="E65" i="3"/>
  <c r="E86" i="3"/>
  <c r="E1422" i="3"/>
  <c r="E1658" i="3"/>
  <c r="E1142" i="3"/>
  <c r="E1432" i="3"/>
  <c r="E1162" i="3"/>
  <c r="E87" i="3"/>
  <c r="E1383" i="3"/>
  <c r="E1747" i="3"/>
  <c r="E1623" i="3"/>
  <c r="E1602" i="3"/>
  <c r="E1303" i="3"/>
  <c r="E1742" i="3"/>
  <c r="E1885" i="3"/>
  <c r="E1860" i="3"/>
  <c r="E976" i="3"/>
  <c r="E584" i="3"/>
  <c r="E1867" i="3"/>
  <c r="E514" i="3"/>
  <c r="E1415" i="3"/>
  <c r="E825" i="3"/>
  <c r="E1102" i="3"/>
  <c r="E1048" i="3"/>
  <c r="E1534" i="3"/>
  <c r="E1417" i="3"/>
  <c r="E1119" i="3"/>
  <c r="E1750" i="3"/>
  <c r="E1228" i="3"/>
  <c r="E1134" i="3"/>
  <c r="E1730" i="3"/>
  <c r="E1267" i="3"/>
  <c r="E415" i="3"/>
  <c r="E1248" i="3"/>
  <c r="E1909" i="3"/>
  <c r="E1275" i="3"/>
  <c r="E1335" i="3"/>
  <c r="E1478" i="3"/>
  <c r="E1109" i="3"/>
  <c r="E1621" i="3"/>
  <c r="E1083" i="3"/>
  <c r="E1181" i="3"/>
  <c r="E1609" i="3"/>
  <c r="E1766" i="3"/>
  <c r="E1793" i="3"/>
  <c r="E426" i="3"/>
  <c r="E1207" i="3"/>
  <c r="E1250" i="3"/>
  <c r="E1153" i="3"/>
  <c r="E1752" i="3"/>
  <c r="E1721" i="3"/>
  <c r="E1263" i="3"/>
  <c r="E1239" i="3"/>
  <c r="E622" i="3"/>
  <c r="E1875" i="3"/>
  <c r="E1475" i="3"/>
  <c r="E1065" i="3"/>
  <c r="E1504" i="3"/>
  <c r="E1445" i="3"/>
  <c r="E985" i="3"/>
  <c r="E1608" i="3"/>
  <c r="E1700" i="3"/>
  <c r="E1457" i="3"/>
  <c r="E143" i="3"/>
  <c r="E1903" i="3"/>
  <c r="E1662" i="3"/>
  <c r="E1339" i="3"/>
  <c r="E1887" i="3"/>
  <c r="E1635" i="3"/>
  <c r="E1071" i="3"/>
  <c r="E1310" i="3"/>
  <c r="E1733" i="3"/>
  <c r="E1169" i="3"/>
  <c r="E1774" i="3"/>
  <c r="E1619" i="3"/>
  <c r="E362" i="3"/>
  <c r="E1755" i="3"/>
  <c r="E1794" i="3"/>
  <c r="E1731" i="3"/>
  <c r="E1732" i="3"/>
  <c r="E1278" i="3"/>
  <c r="E1601" i="3"/>
  <c r="E1378" i="3"/>
  <c r="E770" i="3"/>
  <c r="E1551" i="3"/>
  <c r="E1185" i="3"/>
  <c r="E1106" i="3"/>
  <c r="E1120" i="3"/>
  <c r="E1143" i="3"/>
  <c r="E1080" i="3"/>
  <c r="E1435" i="3"/>
  <c r="E1166" i="3"/>
  <c r="E925" i="3"/>
  <c r="E1715" i="3"/>
  <c r="E1333" i="3"/>
  <c r="E1479" i="3"/>
  <c r="E1670" i="3"/>
  <c r="E1706" i="3"/>
  <c r="E1697" i="3"/>
  <c r="E1373" i="3"/>
  <c r="E1451" i="3"/>
  <c r="E1395" i="3"/>
  <c r="E618" i="3"/>
  <c r="E1487" i="3"/>
  <c r="E623" i="3"/>
  <c r="E1135" i="3"/>
  <c r="E1708" i="3"/>
  <c r="E1442" i="3"/>
  <c r="E1760" i="3"/>
  <c r="E1241" i="3"/>
  <c r="E1440" i="3"/>
  <c r="E1758" i="3"/>
  <c r="E1686" i="3"/>
  <c r="E213" i="3"/>
  <c r="E1690" i="3"/>
  <c r="E1651" i="3"/>
  <c r="E1315" i="3"/>
  <c r="E1446" i="3"/>
  <c r="E1073" i="3"/>
  <c r="E1297" i="3"/>
  <c r="E553" i="3"/>
  <c r="E1666" i="3"/>
  <c r="E1768" i="3"/>
  <c r="E1578" i="3"/>
  <c r="E1679" i="3"/>
  <c r="E1113" i="3"/>
  <c r="E1175" i="3"/>
  <c r="E1819" i="3"/>
  <c r="E163" i="3"/>
  <c r="E1327" i="3"/>
  <c r="E1129" i="3"/>
  <c r="E1224" i="3"/>
  <c r="E1807" i="3"/>
  <c r="E1753" i="3"/>
  <c r="E458" i="3"/>
  <c r="E1311" i="3"/>
  <c r="E1656" i="3"/>
  <c r="E1523" i="3"/>
  <c r="E1158" i="3"/>
  <c r="E1714" i="3"/>
  <c r="E1886" i="3"/>
  <c r="E1617" i="3"/>
  <c r="E144" i="3"/>
  <c r="E1795" i="3"/>
  <c r="E1792" i="3"/>
  <c r="E1584" i="3"/>
  <c r="E1822" i="3"/>
  <c r="E1182" i="3"/>
  <c r="E1068" i="3"/>
  <c r="E1407" i="3"/>
  <c r="E1520" i="3"/>
  <c r="E1393" i="3"/>
  <c r="E1029" i="3"/>
  <c r="E1675" i="3"/>
  <c r="E1260" i="3"/>
  <c r="E1174" i="3"/>
  <c r="E1571" i="3"/>
  <c r="E281" i="3"/>
  <c r="E1717" i="3"/>
  <c r="E1843" i="3"/>
  <c r="E1729" i="3"/>
  <c r="E1907" i="3"/>
  <c r="E1098" i="3"/>
  <c r="E1372" i="3"/>
  <c r="E1257" i="3"/>
  <c r="E619" i="3"/>
  <c r="E1103" i="3"/>
  <c r="E1379" i="3"/>
  <c r="E1560" i="3"/>
  <c r="E1507" i="3"/>
  <c r="E367" i="3"/>
  <c r="E1420" i="3"/>
  <c r="E1835" i="3"/>
  <c r="E66" i="3"/>
  <c r="E1232" i="3"/>
  <c r="E1880" i="3"/>
  <c r="E1196" i="3"/>
  <c r="E723" i="3"/>
  <c r="E1258" i="3"/>
  <c r="E1805" i="3"/>
  <c r="E1423" i="3"/>
  <c r="E1094" i="3"/>
  <c r="E1292" i="3"/>
  <c r="E1370" i="3"/>
  <c r="E1910" i="3"/>
  <c r="E315" i="3"/>
  <c r="E1928" i="3"/>
  <c r="E789" i="3"/>
  <c r="E1641" i="3"/>
  <c r="E1152" i="3"/>
  <c r="E489" i="3"/>
  <c r="E225" i="3"/>
  <c r="E1869" i="3"/>
  <c r="E1087" i="3"/>
  <c r="E1842" i="3"/>
  <c r="E1788" i="3"/>
  <c r="E1408" i="3"/>
  <c r="E1280" i="3"/>
  <c r="E1626" i="3"/>
  <c r="E1840" i="3"/>
  <c r="E1246" i="3"/>
  <c r="E1334" i="3"/>
  <c r="E1930" i="3"/>
  <c r="E1676" i="3"/>
  <c r="E443" i="3"/>
  <c r="E1493" i="3"/>
  <c r="E509" i="3"/>
  <c r="E1389" i="3"/>
  <c r="E727" i="3"/>
  <c r="E1557" i="3"/>
  <c r="E1757" i="3"/>
  <c r="E1264" i="3"/>
  <c r="E395" i="3"/>
  <c r="E1505" i="3"/>
  <c r="E1482" i="3"/>
  <c r="E330" i="3"/>
  <c r="E1305" i="3"/>
  <c r="E1588" i="3"/>
  <c r="E1915" i="3"/>
  <c r="E709" i="3"/>
  <c r="E1093" i="3"/>
  <c r="E1170" i="3"/>
  <c r="E1125" i="3"/>
  <c r="E1506" i="3"/>
  <c r="E1197" i="3"/>
  <c r="E1743" i="3"/>
  <c r="E1667" i="3"/>
  <c r="E1624" i="3"/>
  <c r="E1231" i="3"/>
  <c r="E1865" i="3"/>
  <c r="E1503" i="3"/>
  <c r="E147" i="3"/>
  <c r="E1632" i="3"/>
  <c r="E1627" i="3"/>
  <c r="E1226" i="3"/>
  <c r="E1897" i="3"/>
  <c r="E1483" i="3"/>
  <c r="E1476" i="3"/>
  <c r="E790" i="3"/>
  <c r="E1474" i="3"/>
  <c r="E1898" i="3"/>
  <c r="E1020" i="3"/>
  <c r="E1778" i="3"/>
  <c r="E1746" i="3"/>
  <c r="E1832" i="3"/>
  <c r="E1924" i="3"/>
  <c r="E1371" i="3"/>
  <c r="E1441" i="3"/>
  <c r="E1192" i="3"/>
  <c r="E959" i="3"/>
  <c r="E1368" i="3"/>
  <c r="E195" i="3"/>
  <c r="E476" i="3"/>
  <c r="E293" i="3"/>
  <c r="E1089" i="3"/>
  <c r="E1515" i="3"/>
  <c r="E1074" i="3"/>
  <c r="E106" i="3"/>
  <c r="E1418" i="3"/>
  <c r="E1356" i="3"/>
  <c r="E5" i="3"/>
  <c r="E1136" i="3"/>
  <c r="E1477" i="3"/>
  <c r="E331" i="3"/>
  <c r="E836" i="3"/>
  <c r="E1681" i="3"/>
  <c r="E1622" i="3"/>
  <c r="E1592" i="3"/>
  <c r="E524" i="3"/>
  <c r="E448" i="3"/>
  <c r="E1593" i="3"/>
  <c r="E1221" i="3"/>
  <c r="E1744" i="3"/>
  <c r="E1438" i="3"/>
  <c r="E1284" i="3"/>
  <c r="E1926" i="3"/>
  <c r="E1687" i="3"/>
  <c r="E1502" i="3"/>
  <c r="E1084" i="3"/>
  <c r="E1463" i="3"/>
  <c r="E324" i="3"/>
  <c r="E1782" i="3"/>
  <c r="E1259" i="3"/>
  <c r="E1756" i="3"/>
  <c r="E1413" i="3"/>
  <c r="E1290" i="3"/>
  <c r="E1917" i="3"/>
  <c r="E1433" i="3"/>
  <c r="E1612" i="3"/>
  <c r="E1812" i="3"/>
  <c r="E1882" i="3"/>
  <c r="E1351" i="3"/>
  <c r="E1488" i="3"/>
  <c r="E1833" i="3"/>
  <c r="E1092" i="3"/>
  <c r="E1354" i="3"/>
  <c r="E1180" i="3"/>
  <c r="E416" i="3"/>
  <c r="E1265" i="3"/>
  <c r="E1849" i="3"/>
  <c r="E1803" i="3"/>
  <c r="E1646" i="3"/>
  <c r="E181" i="3"/>
  <c r="E1384" i="3"/>
  <c r="E1485" i="3"/>
  <c r="E1847" i="3"/>
  <c r="E1404" i="3"/>
  <c r="E1736" i="3"/>
  <c r="E1486" i="3"/>
  <c r="E1763" i="3"/>
  <c r="E1539" i="3"/>
  <c r="E1268" i="3"/>
  <c r="E1498" i="3"/>
  <c r="E554" i="3"/>
  <c r="E40" i="3"/>
  <c r="E1396" i="3"/>
  <c r="E1589" i="3"/>
  <c r="E1921" i="3"/>
  <c r="E1784" i="3"/>
  <c r="E1780" i="3"/>
  <c r="E1249" i="3"/>
  <c r="E1472" i="3"/>
  <c r="E1572" i="3"/>
  <c r="E1508" i="3"/>
  <c r="E1526" i="3"/>
  <c r="E1155" i="3"/>
  <c r="E1178" i="3"/>
  <c r="E1610" i="3"/>
  <c r="E592" i="3"/>
  <c r="E1359" i="3"/>
  <c r="E338" i="3"/>
  <c r="E1217" i="3"/>
  <c r="E1148" i="3"/>
  <c r="E1564" i="3"/>
  <c r="E1206" i="3"/>
  <c r="E1808" i="3"/>
  <c r="E1149" i="3"/>
  <c r="E1126" i="3"/>
  <c r="E1581" i="3"/>
  <c r="E1642" i="3"/>
  <c r="E1904" i="3"/>
  <c r="E1839" i="3"/>
  <c r="E1575" i="3"/>
  <c r="E1179" i="3"/>
  <c r="E1021" i="3"/>
  <c r="E830" i="3"/>
  <c r="E1405" i="3"/>
  <c r="E1695" i="3"/>
  <c r="E1104" i="3"/>
  <c r="E1846" i="3"/>
  <c r="E299" i="3"/>
  <c r="E1740" i="3"/>
  <c r="E107" i="3"/>
  <c r="E249" i="3"/>
  <c r="E1614" i="3"/>
  <c r="E640" i="3"/>
  <c r="E1286" i="3"/>
  <c r="E1321" i="3"/>
  <c r="E1253" i="3"/>
  <c r="E681" i="3"/>
  <c r="E1447" i="3"/>
  <c r="E1121" i="3"/>
  <c r="E1349" i="3"/>
  <c r="E1631" i="3"/>
  <c r="E839" i="3"/>
  <c r="E1069" i="3"/>
  <c r="E1620" i="3"/>
  <c r="E1611" i="3"/>
  <c r="E1548" i="3"/>
  <c r="E51" i="3"/>
  <c r="E1183" i="3"/>
  <c r="E1293" i="3"/>
  <c r="E1586" i="3"/>
  <c r="E547" i="3"/>
  <c r="E1590" i="3"/>
  <c r="E1409" i="3"/>
  <c r="E1137" i="3"/>
  <c r="E1538" i="3"/>
  <c r="E1519" i="3"/>
  <c r="E1628" i="3"/>
  <c r="E754" i="3"/>
  <c r="E1798" i="3"/>
  <c r="E1771" i="3"/>
  <c r="E1845" i="3"/>
  <c r="E573" i="3"/>
  <c r="E1397" i="3"/>
  <c r="E1652" i="3"/>
  <c r="E1532" i="3"/>
  <c r="E646" i="3"/>
  <c r="E1156" i="3"/>
  <c r="E624" i="3"/>
  <c r="E1720" i="3"/>
  <c r="E1579" i="3"/>
  <c r="E93" i="3"/>
  <c r="E562" i="3"/>
  <c r="E1271" i="3"/>
  <c r="E1281" i="3"/>
  <c r="E188" i="3"/>
  <c r="E1468" i="3"/>
  <c r="E1452" i="3"/>
  <c r="E6" i="3"/>
  <c r="E1764" i="3"/>
  <c r="E480" i="3"/>
  <c r="E1726" i="3"/>
  <c r="E1516" i="3"/>
  <c r="E1912" i="3"/>
  <c r="E1533" i="3"/>
  <c r="E1558" i="3"/>
  <c r="E1186" i="3"/>
  <c r="E1836" i="3"/>
  <c r="E1392" i="3"/>
  <c r="E1473" i="3"/>
  <c r="E1070" i="3"/>
  <c r="E1580" i="3"/>
  <c r="E1596" i="3"/>
  <c r="E1331" i="3"/>
  <c r="E1900" i="3"/>
  <c r="E1219" i="3"/>
  <c r="E1237" i="3"/>
  <c r="E1765" i="3"/>
  <c r="E282" i="3"/>
  <c r="E1754" i="3"/>
  <c r="E1079" i="3"/>
  <c r="E1787" i="3"/>
  <c r="E1330" i="3"/>
  <c r="E1214" i="3"/>
  <c r="E1470" i="3"/>
  <c r="E1699" i="3"/>
  <c r="E1535" i="3"/>
  <c r="E1514" i="3"/>
  <c r="E1348" i="3"/>
  <c r="E1665" i="3"/>
  <c r="E1400" i="3"/>
  <c r="E656" i="3"/>
  <c r="E1251" i="3"/>
  <c r="E205" i="3"/>
  <c r="E1300" i="3"/>
  <c r="E1150" i="3"/>
  <c r="E1467" i="3"/>
  <c r="E1131" i="3"/>
  <c r="E710" i="3"/>
  <c r="E880" i="3"/>
  <c r="E1499" i="3"/>
  <c r="E1791" i="3"/>
  <c r="E1122" i="3"/>
  <c r="E32" i="3"/>
  <c r="E1212" i="3"/>
  <c r="E1343" i="3"/>
  <c r="E1638" i="3"/>
  <c r="E1884" i="3"/>
  <c r="E855" i="3"/>
  <c r="E203" i="3"/>
  <c r="E847" i="3"/>
  <c r="E1872" i="3"/>
  <c r="E1201" i="3"/>
  <c r="E1512" i="3"/>
  <c r="E266" i="3"/>
  <c r="E1707" i="3"/>
  <c r="E1876" i="3"/>
  <c r="E1543" i="3"/>
  <c r="E1530" i="3"/>
  <c r="E1785" i="3"/>
  <c r="E1587" i="3"/>
  <c r="E1184" i="3"/>
  <c r="E1369" i="3"/>
  <c r="E1724" i="3"/>
  <c r="E1489" i="3"/>
  <c r="E1458" i="3"/>
  <c r="E1230" i="3"/>
  <c r="E377" i="3"/>
  <c r="E1718" i="3"/>
  <c r="E1634" i="3"/>
  <c r="E1198" i="3"/>
  <c r="E1416" i="3"/>
  <c r="E1075" i="3"/>
  <c r="E1908" i="3"/>
  <c r="E1002" i="3"/>
  <c r="E1412" i="3"/>
  <c r="E356" i="3"/>
  <c r="E1058" i="3"/>
  <c r="E634" i="3"/>
  <c r="E992" i="3"/>
  <c r="E1597" i="3"/>
  <c r="E1735" i="3"/>
  <c r="E1481" i="3"/>
  <c r="E1800" i="3"/>
  <c r="E283" i="3"/>
  <c r="E1799" i="3"/>
  <c r="E1680" i="3"/>
  <c r="E1877" i="3"/>
  <c r="E1453" i="3"/>
  <c r="E1340" i="3"/>
  <c r="E1567" i="3"/>
  <c r="E1454" i="3"/>
  <c r="E378" i="3"/>
  <c r="E1168" i="3"/>
  <c r="E1598" i="3"/>
  <c r="E352" i="3"/>
  <c r="E1116" i="3"/>
  <c r="E529" i="3"/>
  <c r="E1061" i="3"/>
  <c r="E1660" i="3"/>
  <c r="E1494" i="3"/>
  <c r="E1362" i="3"/>
  <c r="E1901" i="3"/>
  <c r="E1213" i="3"/>
  <c r="E1229" i="3"/>
  <c r="E703" i="3"/>
  <c r="E1599" i="3"/>
  <c r="E1582" i="3"/>
  <c r="E1090" i="3"/>
  <c r="E543" i="3"/>
  <c r="E1159" i="3"/>
  <c r="E1536" i="3"/>
</calcChain>
</file>

<file path=xl/connections.xml><?xml version="1.0" encoding="utf-8"?>
<connections xmlns="http://schemas.openxmlformats.org/spreadsheetml/2006/main">
  <connection id="1" keepAlive="1" name="Requête - CLIENTS CHURN" description="Connexion à la requête « CLIENTS CHURN » dans le classeur." type="5" refreshedVersion="6" background="1" saveData="1">
    <dbPr connection="Provider=Microsoft.Mashup.OleDb.1;Data Source=$Workbook$;Location=CLIENTS CHURN;Extended Properties=&quot;&quot;" command="SELECT * FROM [CLIENTS CHURN]"/>
  </connection>
  <connection id="2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keepAlive="1" name="Requête - Exemple de fichier (2)" description="Connexion à la requête « Exemple de fichier (2) » dans le classeur." type="5" refreshedVersion="0" background="1">
    <dbPr connection="Provider=Microsoft.Mashup.OleDb.1;Data Source=$Workbook$;Location=&quot;Exemple de fichier (2)&quot;;Extended Properties=&quot;&quot;" command="SELECT * FROM [Exemple de fichier (2)]"/>
  </connection>
  <connection id="4" keepAlive="1" name="Requête - Exemple de fichier (3)" description="Connexion à la requête « Exemple de fichier (3) » dans le classeur." type="5" refreshedVersion="0" background="1">
    <dbPr connection="Provider=Microsoft.Mashup.OleDb.1;Data Source=$Workbook$;Location=&quot;Exemple de fichier (3)&quot;;Extended Properties=&quot;&quot;" command="SELECT * FROM [Exemple de fichier (3)]"/>
  </connection>
  <connection id="5" keepAlive="1" name="Requête - LOG RESEAU" description="Connexion à la requête « LOG RESEAU » dans le classeur." type="5" refreshedVersion="6" background="1" saveData="1">
    <dbPr connection="Provider=Microsoft.Mashup.OleDb.1;Data Source=$Workbook$;Location=LOG RESEAU;Extended Properties=&quot;&quot;" command="SELECT * FROM [LOG RESEAU]"/>
  </connection>
  <connection id="6" keepAlive="1" name="Requête - Paramètre de l'exemple de fichier1" description="Connexion à la requête « Paramètre de l'exemple de fichier1 » dans le classeur." type="5" refreshedVersion="0" background="1">
    <dbPr connection="Provider=Microsoft.Mashup.OleDb.1;Data Source=$Workbook$;Location=&quot;Paramètre de l'exemple de fichier1&quot;;Extended Properties=&quot;&quot;" command="SELECT * FROM [Paramètre de l'exemple de fichier1]"/>
  </connection>
  <connection id="7" keepAlive="1" name="Requête - Paramètre de l'exemple de fichier2" description="Connexion à la requête « Paramètre de l'exemple de fichier2 » dans le classeur." type="5" refreshedVersion="0" background="1">
    <dbPr connection="Provider=Microsoft.Mashup.OleDb.1;Data Source=$Workbook$;Location=&quot;Paramètre de l'exemple de fichier2&quot;;Extended Properties=&quot;&quot;" command="SELECT * FROM [Paramètre de l'exemple de fichier2]"/>
  </connection>
  <connection id="8" keepAlive="1" name="Requête - Paramètre de l'exemple de fichier3" description="Connexion à la requête « Paramètre de l'exemple de fichier3 » dans le classeur." type="5" refreshedVersion="0" background="1">
    <dbPr connection="Provider=Microsoft.Mashup.OleDb.1;Data Source=$Workbook$;Location=&quot;Paramètre de l'exemple de fichier3&quot;;Extended Properties=&quot;&quot;" command="SELECT * FROM [Paramètre de l'exemple de fichier3]"/>
  </connection>
  <connection id="9" keepAlive="1" name="Requête - REGISTRE MAINTENANCE" description="Connexion à la requête « REGISTRE MAINTENANCE » dans le classeur." type="5" refreshedVersion="6" background="1" saveData="1">
    <dbPr connection="Provider=Microsoft.Mashup.OleDb.1;Data Source=$Workbook$;Location=REGISTRE MAINTENANCE;Extended Properties=&quot;&quot;" command="SELECT * FROM [REGISTRE MAINTENANCE]"/>
  </connection>
  <connection id="10" keepAlive="1" name="Requête - Transformer le fichier à partir de CLIENTS CHURN" description="Connexion à la requête « Transformer le fichier à partir de CLIENTS CHURN » dans le classeur." type="5" refreshedVersion="0" background="1">
    <dbPr connection="Provider=Microsoft.Mashup.OleDb.1;Data Source=$Workbook$;Location=&quot;Transformer le fichier à partir de CLIENTS CHURN&quot;;Extended Properties=&quot;&quot;" command="SELECT * FROM [Transformer le fichier à partir de CLIENTS CHURN]"/>
  </connection>
  <connection id="11" keepAlive="1" name="Requête - Transformer le fichier à partir de LOG RESEAU" description="Connexion à la requête « Transformer le fichier à partir de LOG RESEAU » dans le classeur." type="5" refreshedVersion="0" background="1">
    <dbPr connection="Provider=Microsoft.Mashup.OleDb.1;Data Source=$Workbook$;Location=&quot;Transformer le fichier à partir de LOG RESEAU&quot;;Extended Properties=&quot;&quot;" command="SELECT * FROM [Transformer le fichier à partir de LOG RESEAU]"/>
  </connection>
  <connection id="12" keepAlive="1" name="Requête - Transformer le fichier à partir de REGISTRE MAINTENANCE" description="Connexion à la requête « Transformer le fichier à partir de REGISTRE MAINTENANCE » dans le classeur." type="5" refreshedVersion="0" background="1">
    <dbPr connection="Provider=Microsoft.Mashup.OleDb.1;Data Source=$Workbook$;Location=&quot;Transformer le fichier à partir de REGISTRE MAINTENANCE&quot;;Extended Properties=&quot;&quot;" command="SELECT * FROM [Transformer le fichier à partir de REGISTRE MAINTENANCE]"/>
  </connection>
  <connection id="13" keepAlive="1" name="Requête - Transformer l'exemple de fichier à partir de CLIENTS CHURN" description="Connexion à la requête « Transformer l'exemple de fichier à partir de CLIENTS CHURN » dans le classeur." type="5" refreshedVersion="0" background="1">
    <dbPr connection="Provider=Microsoft.Mashup.OleDb.1;Data Source=$Workbook$;Location=&quot;Transformer l'exemple de fichier à partir de CLIENTS CHURN&quot;;Extended Properties=&quot;&quot;" command="SELECT * FROM [Transformer l'exemple de fichier à partir de CLIENTS CHURN]"/>
  </connection>
  <connection id="14" keepAlive="1" name="Requête - Transformer l'exemple de fichier à partir de LOG RESEAU" description="Connexion à la requête « Transformer l'exemple de fichier à partir de LOG RESEAU » dans le classeur." type="5" refreshedVersion="0" background="1">
    <dbPr connection="Provider=Microsoft.Mashup.OleDb.1;Data Source=$Workbook$;Location=&quot;Transformer l'exemple de fichier à partir de LOG RESEAU&quot;;Extended Properties=&quot;&quot;" command="SELECT * FROM [Transformer l'exemple de fichier à partir de LOG RESEAU]"/>
  </connection>
  <connection id="15" keepAlive="1" name="Requête - Transformer l'exemple de fichier à partir de REGISTRE MAINTENANCE" description="Connexion à la requête « Transformer l'exemple de fichier à partir de REGISTRE MAINTENANCE » dans le classeur." type="5" refreshedVersion="0" background="1">
    <dbPr connection="Provider=Microsoft.Mashup.OleDb.1;Data Source=$Workbook$;Location=&quot;Transformer l'exemple de fichier à partir de REGISTRE MAINTENANCE&quot;;Extended Properties=&quot;&quot;" command="SELECT * FROM [Transformer l'exemple de fichier à partir de REGISTRE MAINTENANCE]"/>
  </connection>
</connections>
</file>

<file path=xl/sharedStrings.xml><?xml version="1.0" encoding="utf-8"?>
<sst xmlns="http://schemas.openxmlformats.org/spreadsheetml/2006/main" count="8578" uniqueCount="1726">
  <si>
    <t>ID_Client</t>
  </si>
  <si>
    <t>Province_Client</t>
  </si>
  <si>
    <t>Anciennete_Mois</t>
  </si>
  <si>
    <t>Type_Forfait</t>
  </si>
  <si>
    <t>Duree_Cumulee_Panne_Min</t>
  </si>
  <si>
    <t>Facture_Mensuelle</t>
  </si>
  <si>
    <t>Plaintes_Service_Client</t>
  </si>
  <si>
    <t>CLI-01147</t>
  </si>
  <si>
    <t>Ituri</t>
  </si>
  <si>
    <t>Premium 5G 150Go</t>
  </si>
  <si>
    <t>CLI-00894</t>
  </si>
  <si>
    <t>Tshuapa</t>
  </si>
  <si>
    <t>Pro Monde</t>
  </si>
  <si>
    <t>CLI-00865</t>
  </si>
  <si>
    <t>Mongala</t>
  </si>
  <si>
    <t>CLI-01325</t>
  </si>
  <si>
    <t>Haut-Lomami</t>
  </si>
  <si>
    <t>Bloqué 5Go</t>
  </si>
  <si>
    <t>CLI-01855</t>
  </si>
  <si>
    <t>Sud-Kivu</t>
  </si>
  <si>
    <t>Illimité 50Go</t>
  </si>
  <si>
    <t>CLI-00076</t>
  </si>
  <si>
    <t>Haut-Katanga</t>
  </si>
  <si>
    <t>CLI-00414</t>
  </si>
  <si>
    <t>Bas-Uele</t>
  </si>
  <si>
    <t>CLI-00327</t>
  </si>
  <si>
    <t>CLI-00559</t>
  </si>
  <si>
    <t>Kasai</t>
  </si>
  <si>
    <t>CLI-00280</t>
  </si>
  <si>
    <t>Sud-Ubangi</t>
  </si>
  <si>
    <t>CLI-00060</t>
  </si>
  <si>
    <t>Kasai-Central</t>
  </si>
  <si>
    <t>CLI-00530</t>
  </si>
  <si>
    <t>Sankuru</t>
  </si>
  <si>
    <t>CLI-01618</t>
  </si>
  <si>
    <t>Tanganyika</t>
  </si>
  <si>
    <t>CLI-01646</t>
  </si>
  <si>
    <t>CLI-00569</t>
  </si>
  <si>
    <t>Kwango</t>
  </si>
  <si>
    <t>CLI-01349</t>
  </si>
  <si>
    <t>CLI-01128</t>
  </si>
  <si>
    <t>CLI-00361</t>
  </si>
  <si>
    <t>Mai-Ndombe</t>
  </si>
  <si>
    <t>CLI-01320</t>
  </si>
  <si>
    <t>CLI-01746</t>
  </si>
  <si>
    <t>CLI-00087</t>
  </si>
  <si>
    <t>CLI-01974</t>
  </si>
  <si>
    <t>CLI-01480</t>
  </si>
  <si>
    <t>CLI-00996</t>
  </si>
  <si>
    <t>Kwilu</t>
  </si>
  <si>
    <t>CLI-01603</t>
  </si>
  <si>
    <t>CLI-00041</t>
  </si>
  <si>
    <t>CLI-00114</t>
  </si>
  <si>
    <t>CLI-01761</t>
  </si>
  <si>
    <t>CLI-01837</t>
  </si>
  <si>
    <t>Kasai-Oriental</t>
  </si>
  <si>
    <t>CLI-00172</t>
  </si>
  <si>
    <t>CLI-00643</t>
  </si>
  <si>
    <t>Equateur</t>
  </si>
  <si>
    <t>CLI-01233</t>
  </si>
  <si>
    <t>Kongo-Central</t>
  </si>
  <si>
    <t>CLI-00611</t>
  </si>
  <si>
    <t>Kinshasa</t>
  </si>
  <si>
    <t>CLI-01776</t>
  </si>
  <si>
    <t>CLI-00131</t>
  </si>
  <si>
    <t>Lomami</t>
  </si>
  <si>
    <t>CLI-01845</t>
  </si>
  <si>
    <t>CLI-01957</t>
  </si>
  <si>
    <t>CLI-00834</t>
  </si>
  <si>
    <t>CLI-01972</t>
  </si>
  <si>
    <t>CLI-00745</t>
  </si>
  <si>
    <t>Tshopo</t>
  </si>
  <si>
    <t>CLI-01376</t>
  </si>
  <si>
    <t>CLI-01347</t>
  </si>
  <si>
    <t>CLI-01814</t>
  </si>
  <si>
    <t>CLI-00185</t>
  </si>
  <si>
    <t>Maniema</t>
  </si>
  <si>
    <t>CLI-00813</t>
  </si>
  <si>
    <t>CLI-01932</t>
  </si>
  <si>
    <t>CLI-01720</t>
  </si>
  <si>
    <t>CLI-01484</t>
  </si>
  <si>
    <t>CLI-01726</t>
  </si>
  <si>
    <t>CLI-00288</t>
  </si>
  <si>
    <t>CLI-00484</t>
  </si>
  <si>
    <t>CLI-00230</t>
  </si>
  <si>
    <t>CLI-01170</t>
  </si>
  <si>
    <t>Nord-Ubangi</t>
  </si>
  <si>
    <t>CLI-01505</t>
  </si>
  <si>
    <t>CLI-01025</t>
  </si>
  <si>
    <t>CLI-01911</t>
  </si>
  <si>
    <t>CLI-00248</t>
  </si>
  <si>
    <t>CLI-01069</t>
  </si>
  <si>
    <t>CLI-01361</t>
  </si>
  <si>
    <t>CLI-01698</t>
  </si>
  <si>
    <t>CLI-01189</t>
  </si>
  <si>
    <t>CLI-01588</t>
  </si>
  <si>
    <t>CLI-01908</t>
  </si>
  <si>
    <t>CLI-01076</t>
  </si>
  <si>
    <t>CLI-00516</t>
  </si>
  <si>
    <t>CLI-01017</t>
  </si>
  <si>
    <t>CLI-01812</t>
  </si>
  <si>
    <t>CLI-01964</t>
  </si>
  <si>
    <t>CLI-00488</t>
  </si>
  <si>
    <t>CLI-01229</t>
  </si>
  <si>
    <t>CLI-00251</t>
  </si>
  <si>
    <t>CLI-01584</t>
  </si>
  <si>
    <t>CLI-01653</t>
  </si>
  <si>
    <t>CLI-00642</t>
  </si>
  <si>
    <t>CLI-00675</t>
  </si>
  <si>
    <t>CLI-01705</t>
  </si>
  <si>
    <t>CLI-01197</t>
  </si>
  <si>
    <t>CLI-01510</t>
  </si>
  <si>
    <t>CLI-00799</t>
  </si>
  <si>
    <t>CLI-01651</t>
  </si>
  <si>
    <t>CLI-01533</t>
  </si>
  <si>
    <t>CLI-01524</t>
  </si>
  <si>
    <t>CLI-01950</t>
  </si>
  <si>
    <t>CLI-01916</t>
  </si>
  <si>
    <t>CLI-00867</t>
  </si>
  <si>
    <t>CLI-00447</t>
  </si>
  <si>
    <t>CLI-00296</t>
  </si>
  <si>
    <t>CLI-00219</t>
  </si>
  <si>
    <t>CLI-00359</t>
  </si>
  <si>
    <t>CLI-00439</t>
  </si>
  <si>
    <t>Haut-Uele</t>
  </si>
  <si>
    <t>CLI-00563</t>
  </si>
  <si>
    <t>CLI-00901</t>
  </si>
  <si>
    <t>CLI-00837</t>
  </si>
  <si>
    <t>Nord-Kivu</t>
  </si>
  <si>
    <t>CLI-00521</t>
  </si>
  <si>
    <t>CLI-01768</t>
  </si>
  <si>
    <t>CLI-01208</t>
  </si>
  <si>
    <t>CLI-00115</t>
  </si>
  <si>
    <t>CLI-01005</t>
  </si>
  <si>
    <t>Lualaba</t>
  </si>
  <si>
    <t>CLI-01093</t>
  </si>
  <si>
    <t>CLI-00768</t>
  </si>
  <si>
    <t>CLI-01433</t>
  </si>
  <si>
    <t>CLI-00232</t>
  </si>
  <si>
    <t>CLI-00649</t>
  </si>
  <si>
    <t>CLI-01118</t>
  </si>
  <si>
    <t>CLI-00868</t>
  </si>
  <si>
    <t>CLI-00973</t>
  </si>
  <si>
    <t>CLI-01399</t>
  </si>
  <si>
    <t>CLI-00505</t>
  </si>
  <si>
    <t>CLI-01986</t>
  </si>
  <si>
    <t>CLI-01802</t>
  </si>
  <si>
    <t>CLI-01607</t>
  </si>
  <si>
    <t>CLI-00297</t>
  </si>
  <si>
    <t>CLI-00744</t>
  </si>
  <si>
    <t>CLI-00974</t>
  </si>
  <si>
    <t>CLI-01466</t>
  </si>
  <si>
    <t>CLI-00754</t>
  </si>
  <si>
    <t>CLI-01683</t>
  </si>
  <si>
    <t>CLI-00632</t>
  </si>
  <si>
    <t>CLI-00044</t>
  </si>
  <si>
    <t>CLI-01322</t>
  </si>
  <si>
    <t>CLI-01854</t>
  </si>
  <si>
    <t>CLI-01241</t>
  </si>
  <si>
    <t>CLI-00072</t>
  </si>
  <si>
    <t>CLI-01724</t>
  </si>
  <si>
    <t>CLI-01515</t>
  </si>
  <si>
    <t>CLI-01357</t>
  </si>
  <si>
    <t>CLI-01637</t>
  </si>
  <si>
    <t>CLI-00112</t>
  </si>
  <si>
    <t>CLI-01415</t>
  </si>
  <si>
    <t>CLI-01616</t>
  </si>
  <si>
    <t>CLI-01960</t>
  </si>
  <si>
    <t>CLI-00491</t>
  </si>
  <si>
    <t>CLI-00519</t>
  </si>
  <si>
    <t>CLI-01132</t>
  </si>
  <si>
    <t>CLI-00788</t>
  </si>
  <si>
    <t>CLI-00634</t>
  </si>
  <si>
    <t>CLI-01309</t>
  </si>
  <si>
    <t>CLI-01435</t>
  </si>
  <si>
    <t>CLI-01888</t>
  </si>
  <si>
    <t>CLI-01850</t>
  </si>
  <si>
    <t>CLI-01664</t>
  </si>
  <si>
    <t>CLI-01404</t>
  </si>
  <si>
    <t>CLI-00250</t>
  </si>
  <si>
    <t>CLI-01096</t>
  </si>
  <si>
    <t>CLI-01967</t>
  </si>
  <si>
    <t>CLI-00485</t>
  </si>
  <si>
    <t>CLI-01757</t>
  </si>
  <si>
    <t>CLI-00907</t>
  </si>
  <si>
    <t>CLI-00796</t>
  </si>
  <si>
    <t>CLI-00017</t>
  </si>
  <si>
    <t>CLI-00805</t>
  </si>
  <si>
    <t>CLI-00524</t>
  </si>
  <si>
    <t>CLI-00617</t>
  </si>
  <si>
    <t>CLI-01933</t>
  </si>
  <si>
    <t>CLI-01685</t>
  </si>
  <si>
    <t>CLI-01550</t>
  </si>
  <si>
    <t>CLI-00483</t>
  </si>
  <si>
    <t>CLI-00610</t>
  </si>
  <si>
    <t>CLI-00431</t>
  </si>
  <si>
    <t>CLI-01973</t>
  </si>
  <si>
    <t>CLI-01824</t>
  </si>
  <si>
    <t>CLI-00329</t>
  </si>
  <si>
    <t>CLI-00899</t>
  </si>
  <si>
    <t>CLI-01294</t>
  </si>
  <si>
    <t>CLI-00650</t>
  </si>
  <si>
    <t>CLI-01891</t>
  </si>
  <si>
    <t>CLI-01860</t>
  </si>
  <si>
    <t>CLI-01571</t>
  </si>
  <si>
    <t>CLI-01982</t>
  </si>
  <si>
    <t>CLI-00833</t>
  </si>
  <si>
    <t>CLI-01617</t>
  </si>
  <si>
    <t>CLI-00070</t>
  </si>
  <si>
    <t>CLI-00562</t>
  </si>
  <si>
    <t>CLI-01775</t>
  </si>
  <si>
    <t>CLI-00165</t>
  </si>
  <si>
    <t>CLI-01686</t>
  </si>
  <si>
    <t>CLI-01597</t>
  </si>
  <si>
    <t>CLI-01007</t>
  </si>
  <si>
    <t>CLI-00965</t>
  </si>
  <si>
    <t>CLI-01923</t>
  </si>
  <si>
    <t>CLI-00846</t>
  </si>
  <si>
    <t>CLI-01723</t>
  </si>
  <si>
    <t>CLI-00682</t>
  </si>
  <si>
    <t>CLI-01470</t>
  </si>
  <si>
    <t>CLI-00866</t>
  </si>
  <si>
    <t>CLI-01796</t>
  </si>
  <si>
    <t>CLI-01680</t>
  </si>
  <si>
    <t>CLI-00206</t>
  </si>
  <si>
    <t>CLI-01689</t>
  </si>
  <si>
    <t>CLI-01839</t>
  </si>
  <si>
    <t>CLI-01431</t>
  </si>
  <si>
    <t>CLI-00535</t>
  </si>
  <si>
    <t>CLI-01037</t>
  </si>
  <si>
    <t>CLI-00136</t>
  </si>
  <si>
    <t>CLI-00721</t>
  </si>
  <si>
    <t>CLI-00862</t>
  </si>
  <si>
    <t>CLI-01234</t>
  </si>
  <si>
    <t>CLI-01494</t>
  </si>
  <si>
    <t>CLI-01666</t>
  </si>
  <si>
    <t>CLI-01122</t>
  </si>
  <si>
    <t>CLI-01511</t>
  </si>
  <si>
    <t>CLI-00670</t>
  </si>
  <si>
    <t>CLI-00929</t>
  </si>
  <si>
    <t>CLI-01424</t>
  </si>
  <si>
    <t>CLI-00057</t>
  </si>
  <si>
    <t>CLI-01561</t>
  </si>
  <si>
    <t>CLI-00107</t>
  </si>
  <si>
    <t>CLI-01314</t>
  </si>
  <si>
    <t>CLI-01793</t>
  </si>
  <si>
    <t>CLI-00377</t>
  </si>
  <si>
    <t>CLI-01291</t>
  </si>
  <si>
    <t>CLI-00909</t>
  </si>
  <si>
    <t>CLI-01621</t>
  </si>
  <si>
    <t>CLI-01313</t>
  </si>
  <si>
    <t>CLI-00279</t>
  </si>
  <si>
    <t>CLI-00007</t>
  </si>
  <si>
    <t>CLI-00821</t>
  </si>
  <si>
    <t>CLI-00410</t>
  </si>
  <si>
    <t>CLI-01287</t>
  </si>
  <si>
    <t>CLI-00626</t>
  </si>
  <si>
    <t>CLI-01970</t>
  </si>
  <si>
    <t>CLI-01180</t>
  </si>
  <si>
    <t>CLI-00169</t>
  </si>
  <si>
    <t>CLI-00227</t>
  </si>
  <si>
    <t>CLI-00324</t>
  </si>
  <si>
    <t>CLI-00512</t>
  </si>
  <si>
    <t>CLI-01058</t>
  </si>
  <si>
    <t>CLI-01462</t>
  </si>
  <si>
    <t>CLI-01573</t>
  </si>
  <si>
    <t>CLI-01702</t>
  </si>
  <si>
    <t>CLI-01330</t>
  </si>
  <si>
    <t>CLI-01563</t>
  </si>
  <si>
    <t>CLI-00267</t>
  </si>
  <si>
    <t>CLI-01735</t>
  </si>
  <si>
    <t>CLI-01217</t>
  </si>
  <si>
    <t>CLI-01405</t>
  </si>
  <si>
    <t>CLI-00841</t>
  </si>
  <si>
    <t>CLI-01624</t>
  </si>
  <si>
    <t>CLI-00655</t>
  </si>
  <si>
    <t>CLI-00925</t>
  </si>
  <si>
    <t>CLI-00980</t>
  </si>
  <si>
    <t>CLI-01506</t>
  </si>
  <si>
    <t>CLI-00274</t>
  </si>
  <si>
    <t>CLI-00534</t>
  </si>
  <si>
    <t>CLI-00356</t>
  </si>
  <si>
    <t>CLI-01408</t>
  </si>
  <si>
    <t>CLI-01215</t>
  </si>
  <si>
    <t>CLI-01694</t>
  </si>
  <si>
    <t>CLI-00671</t>
  </si>
  <si>
    <t>CLI-01638</t>
  </si>
  <si>
    <t>CLI-00578</t>
  </si>
  <si>
    <t>CLI-00407</t>
  </si>
  <si>
    <t>CLI-00173</t>
  </si>
  <si>
    <t>CLI-00849</t>
  </si>
  <si>
    <t>CLI-00753</t>
  </si>
  <si>
    <t>CLI-00373</t>
  </si>
  <si>
    <t>CLI-00806</t>
  </si>
  <si>
    <t>CLI-00773</t>
  </si>
  <si>
    <t>CLI-01710</t>
  </si>
  <si>
    <t>CLI-01169</t>
  </si>
  <si>
    <t>CLI-00460</t>
  </si>
  <si>
    <t>CLI-00043</t>
  </si>
  <si>
    <t>CLI-00048</t>
  </si>
  <si>
    <t>CLI-01144</t>
  </si>
  <si>
    <t>CLI-01326</t>
  </si>
  <si>
    <t>CLI-01254</t>
  </si>
  <si>
    <t>CLI-01284</t>
  </si>
  <si>
    <t>CLI-00469</t>
  </si>
  <si>
    <t>CLI-00183</t>
  </si>
  <si>
    <t>CLI-00948</t>
  </si>
  <si>
    <t>CLI-01749</t>
  </si>
  <si>
    <t>CLI-00537</t>
  </si>
  <si>
    <t>CLI-01437</t>
  </si>
  <si>
    <t>CLI-00346</t>
  </si>
  <si>
    <t>CLI-00102</t>
  </si>
  <si>
    <t>CLI-00822</t>
  </si>
  <si>
    <t>CLI-01266</t>
  </si>
  <si>
    <t>CLI-00879</t>
  </si>
  <si>
    <t>CLI-01230</t>
  </si>
  <si>
    <t>CLI-00533</t>
  </si>
  <si>
    <t>CLI-00306</t>
  </si>
  <si>
    <t>CLI-01732</t>
  </si>
  <si>
    <t>CLI-01885</t>
  </si>
  <si>
    <t>CLI-00349</t>
  </si>
  <si>
    <t>CLI-01162</t>
  </si>
  <si>
    <t>CLI-00241</t>
  </si>
  <si>
    <t>CLI-00029</t>
  </si>
  <si>
    <t>CLI-01472</t>
  </si>
  <si>
    <t>CLI-01077</t>
  </si>
  <si>
    <t>CLI-00892</t>
  </si>
  <si>
    <t>CLI-01929</t>
  </si>
  <si>
    <t>CLI-00930</t>
  </si>
  <si>
    <t>CLI-01695</t>
  </si>
  <si>
    <t>CLI-01380</t>
  </si>
  <si>
    <t>CLI-01013</t>
  </si>
  <si>
    <t>CLI-00243</t>
  </si>
  <si>
    <t>CLI-01740</t>
  </si>
  <si>
    <t>CLI-01773</t>
  </si>
  <si>
    <t>CLI-00417</t>
  </si>
  <si>
    <t>CLI-00391</t>
  </si>
  <si>
    <t>CLI-01835</t>
  </si>
  <si>
    <t>CLI-01602</t>
  </si>
  <si>
    <t>CLI-00546</t>
  </si>
  <si>
    <t>CLI-00590</t>
  </si>
  <si>
    <t>CLI-01529</t>
  </si>
  <si>
    <t>CLI-01706</t>
  </si>
  <si>
    <t>CLI-00783</t>
  </si>
  <si>
    <t>CLI-01906</t>
  </si>
  <si>
    <t>CLI-00884</t>
  </si>
  <si>
    <t>CLI-00424</t>
  </si>
  <si>
    <t>CLI-01931</t>
  </si>
  <si>
    <t>CLI-00442</t>
  </si>
  <si>
    <t>CLI-01688</t>
  </si>
  <si>
    <t>CLI-00580</t>
  </si>
  <si>
    <t>CLI-01489</t>
  </si>
  <si>
    <t>CLI-01387</t>
  </si>
  <si>
    <t>CLI-00388</t>
  </si>
  <si>
    <t>CLI-00857</t>
  </si>
  <si>
    <t>CLI-00370</t>
  </si>
  <si>
    <t>CLI-01938</t>
  </si>
  <si>
    <t>CLI-01623</t>
  </si>
  <si>
    <t>CLI-00299</t>
  </si>
  <si>
    <t>CLI-00059</t>
  </si>
  <si>
    <t>CLI-00595</t>
  </si>
  <si>
    <t>CLI-01729</t>
  </si>
  <si>
    <t>CLI-01844</t>
  </si>
  <si>
    <t>CLI-01877</t>
  </si>
  <si>
    <t>CLI-00924</t>
  </si>
  <si>
    <t>CLI-00509</t>
  </si>
  <si>
    <t>CLI-00758</t>
  </si>
  <si>
    <t>CLI-01194</t>
  </si>
  <si>
    <t>CLI-01402</t>
  </si>
  <si>
    <t>CLI-01736</t>
  </si>
  <si>
    <t>CLI-00939</t>
  </si>
  <si>
    <t>CLI-00176</t>
  </si>
  <si>
    <t>CLI-00022</t>
  </si>
  <si>
    <t>CLI-00961</t>
  </si>
  <si>
    <t>CLI-00273</t>
  </si>
  <si>
    <t>CLI-00663</t>
  </si>
  <si>
    <t>CLI-01420</t>
  </si>
  <si>
    <t>CLI-00815</t>
  </si>
  <si>
    <t>CLI-01407</t>
  </si>
  <si>
    <t>CLI-00435</t>
  </si>
  <si>
    <t>CLI-01461</t>
  </si>
  <si>
    <t>CLI-00786</t>
  </si>
  <si>
    <t>CLI-01451</t>
  </si>
  <si>
    <t>CLI-01917</t>
  </si>
  <si>
    <t>CLI-01508</t>
  </si>
  <si>
    <t>CLI-01224</t>
  </si>
  <si>
    <t>CLI-00525</t>
  </si>
  <si>
    <t>CLI-00150</t>
  </si>
  <si>
    <t>CLI-00196</t>
  </si>
  <si>
    <t>CLI-01141</t>
  </si>
  <si>
    <t>CLI-00121</t>
  </si>
  <si>
    <t>CLI-01794</t>
  </si>
  <si>
    <t>CLI-01818</t>
  </si>
  <si>
    <t>CLI-00481</t>
  </si>
  <si>
    <t>CLI-01822</t>
  </si>
  <si>
    <t>CLI-00726</t>
  </si>
  <si>
    <t>CLI-01242</t>
  </si>
  <si>
    <t>CLI-01374</t>
  </si>
  <si>
    <t>CLI-01226</t>
  </si>
  <si>
    <t>CLI-01454</t>
  </si>
  <si>
    <t>CLI-01920</t>
  </si>
  <si>
    <t>CLI-00094</t>
  </si>
  <si>
    <t>CLI-00011</t>
  </si>
  <si>
    <t>CLI-00520</t>
  </si>
  <si>
    <t>CLI-01034</t>
  </si>
  <si>
    <t>CLI-01270</t>
  </si>
  <si>
    <t>CLI-00781</t>
  </si>
  <si>
    <t>CLI-00620</t>
  </si>
  <si>
    <t>CLI-00809</t>
  </si>
  <si>
    <t>CLI-01375</t>
  </si>
  <si>
    <t>CLI-00760</t>
  </si>
  <si>
    <t>CLI-00271</t>
  </si>
  <si>
    <t>CLI-01146</t>
  </si>
  <si>
    <t>CLI-00085</t>
  </si>
  <si>
    <t>CLI-01940</t>
  </si>
  <si>
    <t>CLI-00368</t>
  </si>
  <si>
    <t>CLI-01880</t>
  </si>
  <si>
    <t>CLI-00348</t>
  </si>
  <si>
    <t>CLI-01032</t>
  </si>
  <si>
    <t>CLI-01010</t>
  </si>
  <si>
    <t>CLI-00695</t>
  </si>
  <si>
    <t>CLI-00959</t>
  </si>
  <si>
    <t>CLI-01626</t>
  </si>
  <si>
    <t>CLI-00184</t>
  </si>
  <si>
    <t>CLI-01836</t>
  </si>
  <si>
    <t>CLI-01455</t>
  </si>
  <si>
    <t>CLI-01087</t>
  </si>
  <si>
    <t>CLI-00887</t>
  </si>
  <si>
    <t>CLI-00291</t>
  </si>
  <si>
    <t>CLI-01788</t>
  </si>
  <si>
    <t>CLI-00240</t>
  </si>
  <si>
    <t>CLI-01927</t>
  </si>
  <si>
    <t>CLI-00091</t>
  </si>
  <si>
    <t>CLI-00262</t>
  </si>
  <si>
    <t>CLI-01023</t>
  </si>
  <si>
    <t>CLI-00576</t>
  </si>
  <si>
    <t>CLI-01532</t>
  </si>
  <si>
    <t>CLI-00739</t>
  </si>
  <si>
    <t>CLI-00881</t>
  </si>
  <si>
    <t>CLI-01687</t>
  </si>
  <si>
    <t>CLI-00540</t>
  </si>
  <si>
    <t>CLI-01256</t>
  </si>
  <si>
    <t>CLI-01560</t>
  </si>
  <si>
    <t>CLI-00541</t>
  </si>
  <si>
    <t>CLI-01059</t>
  </si>
  <si>
    <t>CLI-01606</t>
  </si>
  <si>
    <t>CLI-00893</t>
  </si>
  <si>
    <t>CLI-00338</t>
  </si>
  <si>
    <t>CLI-00647</t>
  </si>
  <si>
    <t>CLI-01821</t>
  </si>
  <si>
    <t>CLI-01823</t>
  </si>
  <si>
    <t>CLI-01565</t>
  </si>
  <si>
    <t>CLI-00310</t>
  </si>
  <si>
    <t>CLI-01139</t>
  </si>
  <si>
    <t>CLI-01959</t>
  </si>
  <si>
    <t>CLI-01304</t>
  </si>
  <si>
    <t>CLI-00902</t>
  </si>
  <si>
    <t>CLI-00109</t>
  </si>
  <si>
    <t>CLI-00387</t>
  </si>
  <si>
    <t>CLI-00305</t>
  </si>
  <si>
    <t>CLI-01873</t>
  </si>
  <si>
    <t>CLI-00471</t>
  </si>
  <si>
    <t>CLI-00376</t>
  </si>
  <si>
    <t>CLI-00074</t>
  </si>
  <si>
    <t>CLI-00964</t>
  </si>
  <si>
    <t>CLI-01721</t>
  </si>
  <si>
    <t>CLI-00335</t>
  </si>
  <si>
    <t>CLI-01446</t>
  </si>
  <si>
    <t>CLI-00957</t>
  </si>
  <si>
    <t>CLI-01999</t>
  </si>
  <si>
    <t>CLI-00238</t>
  </si>
  <si>
    <t>CLI-01014</t>
  </si>
  <si>
    <t>CLI-00084</t>
  </si>
  <si>
    <t>CLI-00905</t>
  </si>
  <si>
    <t>CLI-00731</t>
  </si>
  <si>
    <t>CLI-01453</t>
  </si>
  <si>
    <t>CLI-01149</t>
  </si>
  <si>
    <t>CLI-00994</t>
  </si>
  <si>
    <t>CLI-00938</t>
  </si>
  <si>
    <t>CLI-01988</t>
  </si>
  <si>
    <t>CLI-00231</t>
  </si>
  <si>
    <t>CLI-01475</t>
  </si>
  <si>
    <t>CLI-00304</t>
  </si>
  <si>
    <t>CLI-00254</t>
  </si>
  <si>
    <t>CLI-00716</t>
  </si>
  <si>
    <t>CLI-00192</t>
  </si>
  <si>
    <t>CLI-00418</t>
  </si>
  <si>
    <t>CLI-00582</t>
  </si>
  <si>
    <t>CLI-01682</t>
  </si>
  <si>
    <t>CLI-00345</t>
  </si>
  <si>
    <t>CLI-01536</t>
  </si>
  <si>
    <t>CLI-01042</t>
  </si>
  <si>
    <t>CLI-01992</t>
  </si>
  <si>
    <t>CLI-01154</t>
  </si>
  <si>
    <t>CLI-01359</t>
  </si>
  <si>
    <t>CLI-01200</t>
  </si>
  <si>
    <t>CLI-01658</t>
  </si>
  <si>
    <t>CLI-01196</t>
  </si>
  <si>
    <t>CLI-00009</t>
  </si>
  <si>
    <t>CLI-01078</t>
  </si>
  <si>
    <t>CLI-01741</t>
  </si>
  <si>
    <t>CLI-01549</t>
  </si>
  <si>
    <t>CLI-00853</t>
  </si>
  <si>
    <t>CLI-00158</t>
  </si>
  <si>
    <t>CLI-01893</t>
  </si>
  <si>
    <t>CLI-01021</t>
  </si>
  <si>
    <t>CLI-01846</t>
  </si>
  <si>
    <t>CLI-00194</t>
  </si>
  <si>
    <t>CLI-00674</t>
  </si>
  <si>
    <t>CLI-00054</t>
  </si>
  <si>
    <t>CLI-00583</t>
  </si>
  <si>
    <t>CLI-01396</t>
  </si>
  <si>
    <t>CLI-01394</t>
  </si>
  <si>
    <t>CLI-01858</t>
  </si>
  <si>
    <t>CLI-00808</t>
  </si>
  <si>
    <t>CLI-00766</t>
  </si>
  <si>
    <t>CLI-01210</t>
  </si>
  <si>
    <t>CLI-00218</t>
  </si>
  <si>
    <t>CLI-01662</t>
  </si>
  <si>
    <t>CLI-00315</t>
  </si>
  <si>
    <t>CLI-01990</t>
  </si>
  <si>
    <t>CLI-00167</t>
  </si>
  <si>
    <t>CLI-00943</t>
  </si>
  <si>
    <t>CLI-01450</t>
  </si>
  <si>
    <t>CLI-01351</t>
  </si>
  <si>
    <t>CLI-00983</t>
  </si>
  <si>
    <t>CLI-01709</t>
  </si>
  <si>
    <t>CLI-01782</t>
  </si>
  <si>
    <t>CLI-00552</t>
  </si>
  <si>
    <t>CLI-01766</t>
  </si>
  <si>
    <t>CLI-01348</t>
  </si>
  <si>
    <t>CLI-00012</t>
  </si>
  <si>
    <t>CLI-01926</t>
  </si>
  <si>
    <t>CLI-00090</t>
  </si>
  <si>
    <t>CLI-01344</t>
  </si>
  <si>
    <t>CLI-01275</t>
  </si>
  <si>
    <t>CLI-00928</t>
  </si>
  <si>
    <t>CLI-00666</t>
  </si>
  <si>
    <t>CLI-01499</t>
  </si>
  <si>
    <t>CLI-01166</t>
  </si>
  <si>
    <t>CLI-00265</t>
  </si>
  <si>
    <t>CLI-00433</t>
  </si>
  <si>
    <t>CLI-00100</t>
  </si>
  <si>
    <t>CLI-01319</t>
  </si>
  <si>
    <t>CLI-01598</t>
  </si>
  <si>
    <t>CLI-00662</t>
  </si>
  <si>
    <t>CLI-01979</t>
  </si>
  <si>
    <t>CLI-00145</t>
  </si>
  <si>
    <t>CLI-01121</t>
  </si>
  <si>
    <t>CLI-01804</t>
  </si>
  <si>
    <t>CLI-00782</t>
  </si>
  <si>
    <t>CLI-00190</t>
  </si>
  <si>
    <t>CLI-00817</t>
  </si>
  <si>
    <t>CLI-00523</t>
  </si>
  <si>
    <t>CLI-00365</t>
  </si>
  <si>
    <t>CLI-00492</t>
  </si>
  <si>
    <t>CLI-01485</t>
  </si>
  <si>
    <t>CLI-01719</t>
  </si>
  <si>
    <t>CLI-01739</t>
  </si>
  <si>
    <t>CLI-00427</t>
  </si>
  <si>
    <t>CLI-00334</t>
  </si>
  <si>
    <t>CLI-01852</t>
  </si>
  <si>
    <t>CLI-00825</t>
  </si>
  <si>
    <t>CLI-00584</t>
  </si>
  <si>
    <t>CLI-01668</t>
  </si>
  <si>
    <t>CLI-01340</t>
  </si>
  <si>
    <t>CLI-00316</t>
  </si>
  <si>
    <t>CLI-00247</t>
  </si>
  <si>
    <t>CLI-00612</t>
  </si>
  <si>
    <t>CLI-01006</t>
  </si>
  <si>
    <t>CLI-00886</t>
  </si>
  <si>
    <t>CLI-00636</t>
  </si>
  <si>
    <t>CLI-01403</t>
  </si>
  <si>
    <t>CLI-01236</t>
  </si>
  <si>
    <t>CLI-00269</t>
  </si>
  <si>
    <t>CLI-00736</t>
  </si>
  <si>
    <t>CLI-01363</t>
  </si>
  <si>
    <t>CLI-00197</t>
  </si>
  <si>
    <t>CLI-01981</t>
  </si>
  <si>
    <t>CLI-01050</t>
  </si>
  <si>
    <t>CLI-01783</t>
  </si>
  <si>
    <t>CLI-01003</t>
  </si>
  <si>
    <t>CLI-00913</t>
  </si>
  <si>
    <t>CLI-00795</t>
  </si>
  <si>
    <t>CLI-00976</t>
  </si>
  <si>
    <t>CLI-00550</t>
  </si>
  <si>
    <t>CLI-01544</t>
  </si>
  <si>
    <t>CLI-01722</t>
  </si>
  <si>
    <t>CLI-01654</t>
  </si>
  <si>
    <t>CLI-01847</t>
  </si>
  <si>
    <t>CLI-01816</t>
  </si>
  <si>
    <t>CLI-00755</t>
  </si>
  <si>
    <t>CLI-01258</t>
  </si>
  <si>
    <t>CLI-00382</t>
  </si>
  <si>
    <t>CLI-00890</t>
  </si>
  <si>
    <t>CLI-01292</t>
  </si>
  <si>
    <t>CLI-00873</t>
  </si>
  <si>
    <t>CLI-00191</t>
  </si>
  <si>
    <t>CLI-00083</t>
  </si>
  <si>
    <t>CLI-01052</t>
  </si>
  <si>
    <t>CLI-00700</t>
  </si>
  <si>
    <t>CLI-00950</t>
  </si>
  <si>
    <t>CLI-01386</t>
  </si>
  <si>
    <t>CLI-01704</t>
  </si>
  <si>
    <t>CLI-01327</t>
  </si>
  <si>
    <t>CLI-01406</t>
  </si>
  <si>
    <t>CLI-00318</t>
  </si>
  <si>
    <t>CLI-01015</t>
  </si>
  <si>
    <t>CLI-01080</t>
  </si>
  <si>
    <t>CLI-01290</t>
  </si>
  <si>
    <t>CLI-01473</t>
  </si>
  <si>
    <t>CLI-01075</t>
  </si>
  <si>
    <t>CLI-01971</t>
  </si>
  <si>
    <t>CLI-00596</t>
  </si>
  <si>
    <t>CLI-01871</t>
  </si>
  <si>
    <t>CLI-00896</t>
  </si>
  <si>
    <t>CLI-00163</t>
  </si>
  <si>
    <t>CLI-00979</t>
  </si>
  <si>
    <t>CLI-00616</t>
  </si>
  <si>
    <t>CLI-01578</t>
  </si>
  <si>
    <t>CLI-01604</t>
  </si>
  <si>
    <t>CLI-01669</t>
  </si>
  <si>
    <t>CLI-01419</t>
  </si>
  <si>
    <t>CLI-00510</t>
  </si>
  <si>
    <t>CLI-01072</t>
  </si>
  <si>
    <t>CLI-00876</t>
  </si>
  <si>
    <t>CLI-00606</t>
  </si>
  <si>
    <t>CLI-01165</t>
  </si>
  <si>
    <t>CLI-00098</t>
  </si>
  <si>
    <t>CLI-01129</t>
  </si>
  <si>
    <t>CLI-00157</t>
  </si>
  <si>
    <t>CLI-00093</t>
  </si>
  <si>
    <t>CLI-01438</t>
  </si>
  <si>
    <t>CLI-00221</t>
  </si>
  <si>
    <t>CLI-01046</t>
  </si>
  <si>
    <t>CLI-00871</t>
  </si>
  <si>
    <t>CLI-01820</t>
  </si>
  <si>
    <t>CLI-01530</t>
  </si>
  <si>
    <t>CLI-00952</t>
  </si>
  <si>
    <t>CLI-01354</t>
  </si>
  <si>
    <t>CLI-01410</t>
  </si>
  <si>
    <t>CLI-01868</t>
  </si>
  <si>
    <t>CLI-00728</t>
  </si>
  <si>
    <t>CLI-00522</t>
  </si>
  <si>
    <t>CLI-01542</t>
  </si>
  <si>
    <t>CLI-00168</t>
  </si>
  <si>
    <t>CLI-01619</t>
  </si>
  <si>
    <t>CLI-00034</t>
  </si>
  <si>
    <t>CLI-00234</t>
  </si>
  <si>
    <t>CLI-01355</t>
  </si>
  <si>
    <t>CLI-01731</t>
  </si>
  <si>
    <t>CLI-01622</t>
  </si>
  <si>
    <t>CLI-00374</t>
  </si>
  <si>
    <t>CLI-01861</t>
  </si>
  <si>
    <t>CLI-01432</t>
  </si>
  <si>
    <t>CLI-00171</t>
  </si>
  <si>
    <t>CLI-01535</t>
  </si>
  <si>
    <t>CLI-01843</t>
  </si>
  <si>
    <t>CLI-01780</t>
  </si>
  <si>
    <t>CLI-01203</t>
  </si>
  <si>
    <t>CLI-00932</t>
  </si>
  <si>
    <t>CLI-01373</t>
  </si>
  <si>
    <t>CLI-00922</t>
  </si>
  <si>
    <t>CLI-01278</t>
  </si>
  <si>
    <t>CLI-00543</t>
  </si>
  <si>
    <t>CLI-01728</t>
  </si>
  <si>
    <t>CLI-00384</t>
  </si>
  <si>
    <t>CLI-01496</t>
  </si>
  <si>
    <t>CLI-00380</t>
  </si>
  <si>
    <t>CLI-00161</t>
  </si>
  <si>
    <t>CLI-01238</t>
  </si>
  <si>
    <t>CLI-00532</t>
  </si>
  <si>
    <t>CLI-01520</t>
  </si>
  <si>
    <t>CLI-00889</t>
  </si>
  <si>
    <t>CLI-01095</t>
  </si>
  <si>
    <t>CLI-00037</t>
  </si>
  <si>
    <t>CLI-01759</t>
  </si>
  <si>
    <t>CLI-01629</t>
  </si>
  <si>
    <t>CLI-00239</t>
  </si>
  <si>
    <t>CLI-00028</t>
  </si>
  <si>
    <t>CLI-00352</t>
  </si>
  <si>
    <t>CLI-01503</t>
  </si>
  <si>
    <t>CLI-00978</t>
  </si>
  <si>
    <t>CLI-01876</t>
  </si>
  <si>
    <t>CLI-00830</t>
  </si>
  <si>
    <t>CLI-01507</t>
  </si>
  <si>
    <t>CLI-01969</t>
  </si>
  <si>
    <t>CLI-00997</t>
  </si>
  <si>
    <t>CLI-00621</t>
  </si>
  <si>
    <t>CLI-01267</t>
  </si>
  <si>
    <t>CLI-01264</t>
  </si>
  <si>
    <t>CLI-01600</t>
  </si>
  <si>
    <t>CLI-01360</t>
  </si>
  <si>
    <t>CLI-01630</t>
  </si>
  <si>
    <t>CLI-00180</t>
  </si>
  <si>
    <t>CLI-00257</t>
  </si>
  <si>
    <t>CLI-00277</t>
  </si>
  <si>
    <t>CLI-01714</t>
  </si>
  <si>
    <t>CLI-01701</t>
  </si>
  <si>
    <t>CLI-01949</t>
  </si>
  <si>
    <t>CLI-00033</t>
  </si>
  <si>
    <t>CLI-00386</t>
  </si>
  <si>
    <t>CLI-00055</t>
  </si>
  <si>
    <t>CLI-00429</t>
  </si>
  <si>
    <t>CLI-00986</t>
  </si>
  <si>
    <t>CLI-01329</t>
  </si>
  <si>
    <t>CLI-00298</t>
  </si>
  <si>
    <t>CLI-00496</t>
  </si>
  <si>
    <t>CLI-01591</t>
  </si>
  <si>
    <t>CLI-01283</t>
  </si>
  <si>
    <t>CLI-01104</t>
  </si>
  <si>
    <t>CLI-01339</t>
  </si>
  <si>
    <t>CLI-00177</t>
  </si>
  <si>
    <t>CLI-01848</t>
  </si>
  <si>
    <t>CLI-01436</t>
  </si>
  <si>
    <t>CLI-01555</t>
  </si>
  <si>
    <t>CLI-00971</t>
  </si>
  <si>
    <t>CLI-01998</t>
  </si>
  <si>
    <t>CLI-00045</t>
  </si>
  <si>
    <t>CLI-01543</t>
  </si>
  <si>
    <t>CLI-00341</t>
  </si>
  <si>
    <t>CLI-00313</t>
  </si>
  <si>
    <t>CLI-00912</t>
  </si>
  <si>
    <t>CLI-01595</t>
  </si>
  <si>
    <t>CLI-00966</t>
  </si>
  <si>
    <t>CLI-01975</t>
  </si>
  <si>
    <t>CLI-00921</t>
  </si>
  <si>
    <t>CLI-01199</t>
  </si>
  <si>
    <t>CLI-00497</t>
  </si>
  <si>
    <t>CLI-00413</t>
  </si>
  <si>
    <t>CLI-00604</t>
  </si>
  <si>
    <t>CLI-01167</t>
  </si>
  <si>
    <t>CLI-00803</t>
  </si>
  <si>
    <t>CLI-00105</t>
  </si>
  <si>
    <t>CLI-00684</t>
  </si>
  <si>
    <t>CLI-01851</t>
  </si>
  <si>
    <t>CLI-00211</t>
  </si>
  <si>
    <t>CLI-01442</t>
  </si>
  <si>
    <t>CLI-00885</t>
  </si>
  <si>
    <t>CLI-00852</t>
  </si>
  <si>
    <t>CLI-01016</t>
  </si>
  <si>
    <t>CLI-01186</t>
  </si>
  <si>
    <t>CLI-01221</t>
  </si>
  <si>
    <t>CLI-01136</t>
  </si>
  <si>
    <t>CLI-01797</t>
  </si>
  <si>
    <t>CLI-01995</t>
  </si>
  <si>
    <t>CLI-00999</t>
  </si>
  <si>
    <t>CLI-00819</t>
  </si>
  <si>
    <t>CLI-01977</t>
  </si>
  <si>
    <t>CLI-01765</t>
  </si>
  <si>
    <t>CLI-01211</t>
  </si>
  <si>
    <t>CLI-01253</t>
  </si>
  <si>
    <t>CLI-01000</t>
  </si>
  <si>
    <t>CLI-00475</t>
  </si>
  <si>
    <t>CLI-00125</t>
  </si>
  <si>
    <t>CLI-01082</t>
  </si>
  <si>
    <t>CLI-00039</t>
  </si>
  <si>
    <t>CLI-01832</t>
  </si>
  <si>
    <t>CLI-01181</t>
  </si>
  <si>
    <t>CLI-01589</t>
  </si>
  <si>
    <t>CLI-01134</t>
  </si>
  <si>
    <t>CLI-01966</t>
  </si>
  <si>
    <t>CLI-00549</t>
  </si>
  <si>
    <t>CLI-00855</t>
  </si>
  <si>
    <t>CLI-00970</t>
  </si>
  <si>
    <t>CLI-01890</t>
  </si>
  <si>
    <t>CLI-01566</t>
  </si>
  <si>
    <t>CLI-00711</t>
  </si>
  <si>
    <t>CLI-00919</t>
  </si>
  <si>
    <t>CLI-01568</t>
  </si>
  <si>
    <t>CLI-01479</t>
  </si>
  <si>
    <t>CLI-00331</t>
  </si>
  <si>
    <t>CLI-01697</t>
  </si>
  <si>
    <t>CLI-00394</t>
  </si>
  <si>
    <t>CLI-00962</t>
  </si>
  <si>
    <t>CLI-00705</t>
  </si>
  <si>
    <t>CLI-00898</t>
  </si>
  <si>
    <t>CLI-00476</t>
  </si>
  <si>
    <t>CLI-01040</t>
  </si>
  <si>
    <t>CLI-00450</t>
  </si>
  <si>
    <t>CLI-01204</t>
  </si>
  <si>
    <t>CLI-01830</t>
  </si>
  <si>
    <t>CLI-01488</t>
  </si>
  <si>
    <t>CLI-00960</t>
  </si>
  <si>
    <t>CLI-01463</t>
  </si>
  <si>
    <t>CLI-00601</t>
  </si>
  <si>
    <t>CLI-00800</t>
  </si>
  <si>
    <t>Date_Heure_Panne</t>
  </si>
  <si>
    <t>Cell_ID</t>
  </si>
  <si>
    <t>Duree_Panne_Min</t>
  </si>
  <si>
    <t>Statut_Resolution</t>
  </si>
  <si>
    <t>ANT-0066</t>
  </si>
  <si>
    <t>En Cours</t>
  </si>
  <si>
    <t>ANT-0001</t>
  </si>
  <si>
    <t>Résolu</t>
  </si>
  <si>
    <t>ANT-0191</t>
  </si>
  <si>
    <t>ANT-0056</t>
  </si>
  <si>
    <t>ANT-0149</t>
  </si>
  <si>
    <t>ANT-0019</t>
  </si>
  <si>
    <t>ANT-0012</t>
  </si>
  <si>
    <t>Non Résolu</t>
  </si>
  <si>
    <t>ANT-0109</t>
  </si>
  <si>
    <t>ANT-0089</t>
  </si>
  <si>
    <t>ANT-0180</t>
  </si>
  <si>
    <t>ANT-0017</t>
  </si>
  <si>
    <t>ANT-0139</t>
  </si>
  <si>
    <t>ANT-0016</t>
  </si>
  <si>
    <t>ANT-0018</t>
  </si>
  <si>
    <t>ANT-0121</t>
  </si>
  <si>
    <t>ANT-0009</t>
  </si>
  <si>
    <t>ANT-0074</t>
  </si>
  <si>
    <t>ANT-0105</t>
  </si>
  <si>
    <t>ANT-0047</t>
  </si>
  <si>
    <t>ANT-0197</t>
  </si>
  <si>
    <t>ANT-0035</t>
  </si>
  <si>
    <t>ANT-0165</t>
  </si>
  <si>
    <t>ANT-0187</t>
  </si>
  <si>
    <t>ANT-0166</t>
  </si>
  <si>
    <t>ANT-0108</t>
  </si>
  <si>
    <t>ANT-0098</t>
  </si>
  <si>
    <t>ANT-0115</t>
  </si>
  <si>
    <t>ANT-0097</t>
  </si>
  <si>
    <t>ANT-0021</t>
  </si>
  <si>
    <t>ANT-0175</t>
  </si>
  <si>
    <t>ANT-0170</t>
  </si>
  <si>
    <t>ANT-0168</t>
  </si>
  <si>
    <t>ANT-0090</t>
  </si>
  <si>
    <t>ANT-0031</t>
  </si>
  <si>
    <t>ANT-0046</t>
  </si>
  <si>
    <t>ANT-0138</t>
  </si>
  <si>
    <t>ANT-0101</t>
  </si>
  <si>
    <t>ANT-0136</t>
  </si>
  <si>
    <t>ANT-0033</t>
  </si>
  <si>
    <t>ANT-0058</t>
  </si>
  <si>
    <t>ANT-0194</t>
  </si>
  <si>
    <t>ANT-0006</t>
  </si>
  <si>
    <t>ANT-0077</t>
  </si>
  <si>
    <t>ANT-0119</t>
  </si>
  <si>
    <t>ANT-0173</t>
  </si>
  <si>
    <t>ANT-0185</t>
  </si>
  <si>
    <t>ANT-0140</t>
  </si>
  <si>
    <t>ANT-0137</t>
  </si>
  <si>
    <t>ANT-0059</t>
  </si>
  <si>
    <t>ANT-0064</t>
  </si>
  <si>
    <t>ANT-0118</t>
  </si>
  <si>
    <t>ANT-0040</t>
  </si>
  <si>
    <t>ANT-0071</t>
  </si>
  <si>
    <t>ANT-0049</t>
  </si>
  <si>
    <t>ANT-0186</t>
  </si>
  <si>
    <t>ANT-0196</t>
  </si>
  <si>
    <t>ANT-0029</t>
  </si>
  <si>
    <t>ANT-0158</t>
  </si>
  <si>
    <t>ANT-0005</t>
  </si>
  <si>
    <t>ANT-0062</t>
  </si>
  <si>
    <t>ANT-0053</t>
  </si>
  <si>
    <t>ANT-0026</t>
  </si>
  <si>
    <t>ANT-0153</t>
  </si>
  <si>
    <t>ANT-0154</t>
  </si>
  <si>
    <t>ANT-0181</t>
  </si>
  <si>
    <t>ant-0013</t>
  </si>
  <si>
    <t>ANT-0063</t>
  </si>
  <si>
    <t>ANT-0190</t>
  </si>
  <si>
    <t>ANT-0103</t>
  </si>
  <si>
    <t>ANT-0113</t>
  </si>
  <si>
    <t>ant-0199</t>
  </si>
  <si>
    <t>ANT-0015</t>
  </si>
  <si>
    <t>ANT-0036</t>
  </si>
  <si>
    <t>ANT-0129</t>
  </si>
  <si>
    <t>ANT-0075</t>
  </si>
  <si>
    <t>ANT-0060</t>
  </si>
  <si>
    <t>ANT-0148</t>
  </si>
  <si>
    <t>ANT-0082</t>
  </si>
  <si>
    <t>ANT-0198</t>
  </si>
  <si>
    <t>ANT-0083</t>
  </si>
  <si>
    <t>ANT-0061</t>
  </si>
  <si>
    <t>ANT-0078</t>
  </si>
  <si>
    <t>ANT-0037</t>
  </si>
  <si>
    <t>ANT-0134</t>
  </si>
  <si>
    <t>ANT-0057</t>
  </si>
  <si>
    <t>ANT-0106</t>
  </si>
  <si>
    <t>ANT-0143</t>
  </si>
  <si>
    <t>ant-0152</t>
  </si>
  <si>
    <t>ANT-0189</t>
  </si>
  <si>
    <t>ANT-0045</t>
  </si>
  <si>
    <t>ANT-0161</t>
  </si>
  <si>
    <t>ANT-0174</t>
  </si>
  <si>
    <t>ANT-0110</t>
  </si>
  <si>
    <t>ANT-0127</t>
  </si>
  <si>
    <t>ANT-0013</t>
  </si>
  <si>
    <t>ANT-0172</t>
  </si>
  <si>
    <t>ANT-0135</t>
  </si>
  <si>
    <t>ANT-0179</t>
  </si>
  <si>
    <t>ANT-0107</t>
  </si>
  <si>
    <t>ANT-0039</t>
  </si>
  <si>
    <t>ANT-0048</t>
  </si>
  <si>
    <t>ANT-0122</t>
  </si>
  <si>
    <t>ANT-0182</t>
  </si>
  <si>
    <t>ANT-0144</t>
  </si>
  <si>
    <t>ANT-0100</t>
  </si>
  <si>
    <t>ANT-0085</t>
  </si>
  <si>
    <t>ANT-0116</t>
  </si>
  <si>
    <t>ANT-0095</t>
  </si>
  <si>
    <t>ANT-0024</t>
  </si>
  <si>
    <t>ANT-0014</t>
  </si>
  <si>
    <t>ANT-0069</t>
  </si>
  <si>
    <t>ANT-0155</t>
  </si>
  <si>
    <t>ant-0155</t>
  </si>
  <si>
    <t>ANT-0011</t>
  </si>
  <si>
    <t>ANT-0195</t>
  </si>
  <si>
    <t>ANT-0151</t>
  </si>
  <si>
    <t>ANT-0123</t>
  </si>
  <si>
    <t>ANT-0054</t>
  </si>
  <si>
    <t>ANT-0086</t>
  </si>
  <si>
    <t>ANT-0004</t>
  </si>
  <si>
    <t>ant-0055</t>
  </si>
  <si>
    <t>30/10/2023 13:51</t>
  </si>
  <si>
    <t>ANT-0192</t>
  </si>
  <si>
    <t>ANT-0102</t>
  </si>
  <si>
    <t>ANT-0142</t>
  </si>
  <si>
    <t>ANT-0199</t>
  </si>
  <si>
    <t>ANT-0073</t>
  </si>
  <si>
    <t>ANT-0120</t>
  </si>
  <si>
    <t>ANT-0167</t>
  </si>
  <si>
    <t>ant-0092</t>
  </si>
  <si>
    <t>ANT-0079</t>
  </si>
  <si>
    <t>ANT-0067</t>
  </si>
  <si>
    <t>ANT-0093</t>
  </si>
  <si>
    <t>ANT-0132</t>
  </si>
  <si>
    <t>ANT-0128</t>
  </si>
  <si>
    <t>ANT-0081</t>
  </si>
  <si>
    <t>ANT-0145</t>
  </si>
  <si>
    <t>ANT-0038</t>
  </si>
  <si>
    <t>ANT-0150</t>
  </si>
  <si>
    <t>ANT-0076</t>
  </si>
  <si>
    <t>ANT-0051</t>
  </si>
  <si>
    <t>ANT-0146</t>
  </si>
  <si>
    <t>ANT-0141</t>
  </si>
  <si>
    <t>ANT-0176</t>
  </si>
  <si>
    <t>ANT-0087</t>
  </si>
  <si>
    <t>ANT-0126</t>
  </si>
  <si>
    <t>ANT-0044</t>
  </si>
  <si>
    <t>ANT-0188</t>
  </si>
  <si>
    <t>ANT-0091</t>
  </si>
  <si>
    <t>ant-0016</t>
  </si>
  <si>
    <t>ANT-0020</t>
  </si>
  <si>
    <t>ANT-0002</t>
  </si>
  <si>
    <t>ANT-0162</t>
  </si>
  <si>
    <t>ANT-0003</t>
  </si>
  <si>
    <t>ANT-0130</t>
  </si>
  <si>
    <t>ANT-0117</t>
  </si>
  <si>
    <t>ANT-0096</t>
  </si>
  <si>
    <t>ANT-0159</t>
  </si>
  <si>
    <t>ANT-0164</t>
  </si>
  <si>
    <t>ANT-0171</t>
  </si>
  <si>
    <t>ANT-0124</t>
  </si>
  <si>
    <t>ANT-0169</t>
  </si>
  <si>
    <t>ant-0125</t>
  </si>
  <si>
    <t>ant-0111</t>
  </si>
  <si>
    <t>ANT-0028</t>
  </si>
  <si>
    <t>ANT-0025</t>
  </si>
  <si>
    <t>ANT-0050</t>
  </si>
  <si>
    <t>ANT-0065</t>
  </si>
  <si>
    <t>ANT-0104</t>
  </si>
  <si>
    <t>ANT-0022</t>
  </si>
  <si>
    <t>ANT-0112</t>
  </si>
  <si>
    <t>ANT-0055</t>
  </si>
  <si>
    <t>ANT-0178</t>
  </si>
  <si>
    <t>ANT-0070</t>
  </si>
  <si>
    <t>ANT-0072</t>
  </si>
  <si>
    <t>10/10/2023 15:30</t>
  </si>
  <si>
    <t>15/10/2023 10:11</t>
  </si>
  <si>
    <t>ANT-0193</t>
  </si>
  <si>
    <t>ANT-0183</t>
  </si>
  <si>
    <t>ANT-0042</t>
  </si>
  <si>
    <t>25/10/2023 16:24</t>
  </si>
  <si>
    <t>ant-0085</t>
  </si>
  <si>
    <t>ANT-0099</t>
  </si>
  <si>
    <t>ANT-0177</t>
  </si>
  <si>
    <t>ant-0014</t>
  </si>
  <si>
    <t>ANT-0088</t>
  </si>
  <si>
    <t>ANT-0084</t>
  </si>
  <si>
    <t>ANT-0008</t>
  </si>
  <si>
    <t>ANT-0163</t>
  </si>
  <si>
    <t>ANT-0092</t>
  </si>
  <si>
    <t>ANT-0111</t>
  </si>
  <si>
    <t>27/10/2023 04:31</t>
  </si>
  <si>
    <t>ANT-0114</t>
  </si>
  <si>
    <t>ANT-0027</t>
  </si>
  <si>
    <t>ANT-0034</t>
  </si>
  <si>
    <t>ANT-0023</t>
  </si>
  <si>
    <t>ANT-0007</t>
  </si>
  <si>
    <t>ant-0075</t>
  </si>
  <si>
    <t>ant-0100</t>
  </si>
  <si>
    <t>ANT-0200</t>
  </si>
  <si>
    <t>ANT-0147</t>
  </si>
  <si>
    <t>ant-0127</t>
  </si>
  <si>
    <t>ANT-0043</t>
  </si>
  <si>
    <t>ANT-0052</t>
  </si>
  <si>
    <t>ANT-0094</t>
  </si>
  <si>
    <t>ant-0030</t>
  </si>
  <si>
    <t>ANT-0152</t>
  </si>
  <si>
    <t>ANT-0184</t>
  </si>
  <si>
    <t>ANT-0010</t>
  </si>
  <si>
    <t>ANT-0131</t>
  </si>
  <si>
    <t>ANT-0133</t>
  </si>
  <si>
    <t>ant-0022</t>
  </si>
  <si>
    <t>ANT-0030</t>
  </si>
  <si>
    <t>ant-0090</t>
  </si>
  <si>
    <t>ANT-0080</t>
  </si>
  <si>
    <t>ANT-0041</t>
  </si>
  <si>
    <t>ANT-0068</t>
  </si>
  <si>
    <t>ANT-0157</t>
  </si>
  <si>
    <t>ANT-0125</t>
  </si>
  <si>
    <t>ant-0043</t>
  </si>
  <si>
    <t>ANT-0465</t>
  </si>
  <si>
    <t>ANT-0977</t>
  </si>
  <si>
    <t>ANT-0740</t>
  </si>
  <si>
    <t>ANT-0897</t>
  </si>
  <si>
    <t>ANT-0737</t>
  </si>
  <si>
    <t>ANT-0270</t>
  </si>
  <si>
    <t>ANT-0996</t>
  </si>
  <si>
    <t>ANT-0513</t>
  </si>
  <si>
    <t>ANT-0781</t>
  </si>
  <si>
    <t>ANT-0520</t>
  </si>
  <si>
    <t>ANT-0935</t>
  </si>
  <si>
    <t>ANT-0892</t>
  </si>
  <si>
    <t>ANT-0641</t>
  </si>
  <si>
    <t>ANT-0306</t>
  </si>
  <si>
    <t>ANT-0862</t>
  </si>
  <si>
    <t>ANT-0655</t>
  </si>
  <si>
    <t>ANT-0624</t>
  </si>
  <si>
    <t>ANT-0204</t>
  </si>
  <si>
    <t>ANT-0383</t>
  </si>
  <si>
    <t>ANT-0553</t>
  </si>
  <si>
    <t>ANT-0798</t>
  </si>
  <si>
    <t>ANT-0945</t>
  </si>
  <si>
    <t>ANT-0544</t>
  </si>
  <si>
    <t>ANT-0941</t>
  </si>
  <si>
    <t>ANT-0614</t>
  </si>
  <si>
    <t>ANT-0332</t>
  </si>
  <si>
    <t>ANT-0501</t>
  </si>
  <si>
    <t>ANT-0952</t>
  </si>
  <si>
    <t>ANT-0372</t>
  </si>
  <si>
    <t>ANT-0900</t>
  </si>
  <si>
    <t>ANT-0852</t>
  </si>
  <si>
    <t>ANT-0315</t>
  </si>
  <si>
    <t>ANT-0246</t>
  </si>
  <si>
    <t>ANT-0247</t>
  </si>
  <si>
    <t>ANT-0581</t>
  </si>
  <si>
    <t>ANT-0970</t>
  </si>
  <si>
    <t>ANT-0650</t>
  </si>
  <si>
    <t>ANT-0874</t>
  </si>
  <si>
    <t>ANT-0271</t>
  </si>
  <si>
    <t>ANT-0518</t>
  </si>
  <si>
    <t>ANT-0258</t>
  </si>
  <si>
    <t>ANT-0928</t>
  </si>
  <si>
    <t>ANT-0930</t>
  </si>
  <si>
    <t>ANT-0867</t>
  </si>
  <si>
    <t>ANT-0434</t>
  </si>
  <si>
    <t>ANT-0850</t>
  </si>
  <si>
    <t>ANT-0284</t>
  </si>
  <si>
    <t>ANT-0342</t>
  </si>
  <si>
    <t>ANT-0790</t>
  </si>
  <si>
    <t>ANT-0653</t>
  </si>
  <si>
    <t>ANT-0269</t>
  </si>
  <si>
    <t>ANT-0760</t>
  </si>
  <si>
    <t>ANT-0453</t>
  </si>
  <si>
    <t>ANT-0565</t>
  </si>
  <si>
    <t>ANT-0723</t>
  </si>
  <si>
    <t>ANT-0438</t>
  </si>
  <si>
    <t>ANT-0575</t>
  </si>
  <si>
    <t>ANT-0968</t>
  </si>
  <si>
    <t>ANT-0905</t>
  </si>
  <si>
    <t>ANT-0708</t>
  </si>
  <si>
    <t>ANT-0926</t>
  </si>
  <si>
    <t>ANT-0559</t>
  </si>
  <si>
    <t>ANT-0855</t>
  </si>
  <si>
    <t>ANT-0379</t>
  </si>
  <si>
    <t>ANT-0597</t>
  </si>
  <si>
    <t>ANT-0566</t>
  </si>
  <si>
    <t>ANT-0441</t>
  </si>
  <si>
    <t>ANT-0316</t>
  </si>
  <si>
    <t>ANT-0573</t>
  </si>
  <si>
    <t>ANT-0610</t>
  </si>
  <si>
    <t>ANT-0325</t>
  </si>
  <si>
    <t>ANT-0973</t>
  </si>
  <si>
    <t>ANT-0774</t>
  </si>
  <si>
    <t>ANT-0913</t>
  </si>
  <si>
    <t>ANT-0454</t>
  </si>
  <si>
    <t>ANT-0628</t>
  </si>
  <si>
    <t>ANT-0835</t>
  </si>
  <si>
    <t>ANT-0914</t>
  </si>
  <si>
    <t>ANT-0517</t>
  </si>
  <si>
    <t>ANT-0437</t>
  </si>
  <si>
    <t>ANT-0851</t>
  </si>
  <si>
    <t>ANT-0929</t>
  </si>
  <si>
    <t>ANT-0562</t>
  </si>
  <si>
    <t>ANT-0457</t>
  </si>
  <si>
    <t>ANT-0919</t>
  </si>
  <si>
    <t>ANT-0762</t>
  </si>
  <si>
    <t>ANT-0883</t>
  </si>
  <si>
    <t>ANT-0487</t>
  </si>
  <si>
    <t>ANT-0461</t>
  </si>
  <si>
    <t>ANT-0266</t>
  </si>
  <si>
    <t>ANT-0770</t>
  </si>
  <si>
    <t>ANT-0254</t>
  </si>
  <si>
    <t>ANT-0861</t>
  </si>
  <si>
    <t>ANT-0785</t>
  </si>
  <si>
    <t>ANT-0797</t>
  </si>
  <si>
    <t>ANT-0534</t>
  </si>
  <si>
    <t>ANT-0497</t>
  </si>
  <si>
    <t>ANT-0642</t>
  </si>
  <si>
    <t>ANT-0245</t>
  </si>
  <si>
    <t>ANT-0282</t>
  </si>
  <si>
    <t>ANT-0451</t>
  </si>
  <si>
    <t>ANT-0731</t>
  </si>
  <si>
    <t>ANT-0293</t>
  </si>
  <si>
    <t>ANT-0287</t>
  </si>
  <si>
    <t>ANT-0902</t>
  </si>
  <si>
    <t>ANT-0611</t>
  </si>
  <si>
    <t>ANT-0719</t>
  </si>
  <si>
    <t>ANT-0283</t>
  </si>
  <si>
    <t>ANT-0570</t>
  </si>
  <si>
    <t>ANT-0530</t>
  </si>
  <si>
    <t>ANT-0971</t>
  </si>
  <si>
    <t>ANT-0248</t>
  </si>
  <si>
    <t>ANT-0738</t>
  </si>
  <si>
    <t>ANT-0417</t>
  </si>
  <si>
    <t>ANT-0569</t>
  </si>
  <si>
    <t>ANT-0777</t>
  </si>
  <si>
    <t>ANT-0488</t>
  </si>
  <si>
    <t>ANT-0662</t>
  </si>
  <si>
    <t>ANT-0729</t>
  </si>
  <si>
    <t>ANT-0503</t>
  </si>
  <si>
    <t>ANT-0459</t>
  </si>
  <si>
    <t>ANT-0812</t>
  </si>
  <si>
    <t>ANT-0302</t>
  </si>
  <si>
    <t>ANT-0227</t>
  </si>
  <si>
    <t>ANT-0415</t>
  </si>
  <si>
    <t>ANT-0709</t>
  </si>
  <si>
    <t>ANT-0250</t>
  </si>
  <si>
    <t>ANT-0314</t>
  </si>
  <si>
    <t>ANT-0680</t>
  </si>
  <si>
    <t>ANT-0596</t>
  </si>
  <si>
    <t>ANT-0378</t>
  </si>
  <si>
    <t>ANT-0485</t>
  </si>
  <si>
    <t>ANT-0567</t>
  </si>
  <si>
    <t>ANT-0353</t>
  </si>
  <si>
    <t>ANT-0436</t>
  </si>
  <si>
    <t>ANT-0764</t>
  </si>
  <si>
    <t>ANT-0564</t>
  </si>
  <si>
    <t>ANT-0339</t>
  </si>
  <si>
    <t>ANT-0259</t>
  </si>
  <si>
    <t>ANT-0994</t>
  </si>
  <si>
    <t>ANT-0792</t>
  </si>
  <si>
    <t>ANT-0414</t>
  </si>
  <si>
    <t>ANT-0886</t>
  </si>
  <si>
    <t>ANT-0527</t>
  </si>
  <si>
    <t>ANT-0845</t>
  </si>
  <si>
    <t>ANT-0674</t>
  </si>
  <si>
    <t>ANT-0891</t>
  </si>
  <si>
    <t>ANT-0556</t>
  </si>
  <si>
    <t>ANT-0474</t>
  </si>
  <si>
    <t>ANT-0424</t>
  </si>
  <si>
    <t>ANT-0531</t>
  </si>
  <si>
    <t>ANT-0371</t>
  </si>
  <si>
    <t>ANT-0638</t>
  </si>
  <si>
    <t>ANT-0775</t>
  </si>
  <si>
    <t>ANT-0511</t>
  </si>
  <si>
    <t>ANT-0779</t>
  </si>
  <si>
    <t>ANT-0209</t>
  </si>
  <si>
    <t>ANT-0274</t>
  </si>
  <si>
    <t>ANT-0563</t>
  </si>
  <si>
    <t>ANT-0950</t>
  </si>
  <si>
    <t>ANT-0295</t>
  </si>
  <si>
    <t>ANT-0449</t>
  </si>
  <si>
    <t>ANT-0716</t>
  </si>
  <si>
    <t>ANT-0997</t>
  </si>
  <si>
    <t>ANT-0646</t>
  </si>
  <si>
    <t>ANT-0819</t>
  </si>
  <si>
    <t>ANT-0727</t>
  </si>
  <si>
    <t>ANT-0739</t>
  </si>
  <si>
    <t>ANT-0786</t>
  </si>
  <si>
    <t>ANT-0698</t>
  </si>
  <si>
    <t>ANT-0859</t>
  </si>
  <si>
    <t>ANT-0644</t>
  </si>
  <si>
    <t>ANT-0643</t>
  </si>
  <si>
    <t>ANT-0317</t>
  </si>
  <si>
    <t>ANT-0808</t>
  </si>
  <si>
    <t>ANT-0452</t>
  </si>
  <si>
    <t>ANT-0594</t>
  </si>
  <si>
    <t>ANT-0374</t>
  </si>
  <si>
    <t>ANT-0750</t>
  </si>
  <si>
    <t>ANT-0932</t>
  </si>
  <si>
    <t>ANT-0303</t>
  </si>
  <si>
    <t>ANT-0335</t>
  </si>
  <si>
    <t>ANT-0766</t>
  </si>
  <si>
    <t>ANT-0426</t>
  </si>
  <si>
    <t>ANT-0206</t>
  </si>
  <si>
    <t>ANT-0806</t>
  </si>
  <si>
    <t>ANT-0898</t>
  </si>
  <si>
    <t>ANT-0995</t>
  </si>
  <si>
    <t>ANT-0375</t>
  </si>
  <si>
    <t>ANT-0514</t>
  </si>
  <si>
    <t>ANT-0936</t>
  </si>
  <si>
    <t>ANT-0280</t>
  </si>
  <si>
    <t>ANT-0264</t>
  </si>
  <si>
    <t>ANT-0967</t>
  </si>
  <si>
    <t>ANT-0494</t>
  </si>
  <si>
    <t>ANT-0991</t>
  </si>
  <si>
    <t>ANT-0826</t>
  </si>
  <si>
    <t>ANT-0730</t>
  </si>
  <si>
    <t>ANT-0455</t>
  </si>
  <si>
    <t>ANT-0921</t>
  </si>
  <si>
    <t>ANT-0330</t>
  </si>
  <si>
    <t>ANT-0623</t>
  </si>
  <si>
    <t>ANT-0640</t>
  </si>
  <si>
    <t>ANT-0649</t>
  </si>
  <si>
    <t>ANT-0600</t>
  </si>
  <si>
    <t>ANT-0333</t>
  </si>
  <si>
    <t>ANT-0391</t>
  </si>
  <si>
    <t>ANT-0612</t>
  </si>
  <si>
    <t>ANT-0620</t>
  </si>
  <si>
    <t>ANT-0813</t>
  </si>
  <si>
    <t>ANT-0656</t>
  </si>
  <si>
    <t>ANT-0428</t>
  </si>
  <si>
    <t>ANT-0990</t>
  </si>
  <si>
    <t>ANT-0821</t>
  </si>
  <si>
    <t>ANT-0633</t>
  </si>
  <si>
    <t>ANT-0472</t>
  </si>
  <si>
    <t>ANT-0707</t>
  </si>
  <si>
    <t>ANT-0942</t>
  </si>
  <si>
    <t>ANT-0448</t>
  </si>
  <si>
    <t>ANT-0865</t>
  </si>
  <si>
    <t>ANT-0447</t>
  </si>
  <si>
    <t>ANT-0604</t>
  </si>
  <si>
    <t>ANT-0411</t>
  </si>
  <si>
    <t>ANT-0537</t>
  </si>
  <si>
    <t>ANT-0406</t>
  </si>
  <si>
    <t>22/10/2023 02:17</t>
  </si>
  <si>
    <t>ANT-0318</t>
  </si>
  <si>
    <t>ANT-0348</t>
  </si>
  <si>
    <t>ANT-0523</t>
  </si>
  <si>
    <t>ANT-0989</t>
  </si>
  <si>
    <t>ANT-0829</t>
  </si>
  <si>
    <t>ANT-0804</t>
  </si>
  <si>
    <t>ANT-0481</t>
  </si>
  <si>
    <t>ANT-0856</t>
  </si>
  <si>
    <t>ANT-0377</t>
  </si>
  <si>
    <t>ANT-0695</t>
  </si>
  <si>
    <t>ANT-0585</t>
  </si>
  <si>
    <t>ANT-0473</t>
  </si>
  <si>
    <t>ANT-0788</t>
  </si>
  <si>
    <t>ANT-0289</t>
  </si>
  <si>
    <t>ANT-0392</t>
  </si>
  <si>
    <t>ANT-0515</t>
  </si>
  <si>
    <t>ANT-0541</t>
  </si>
  <si>
    <t>ANT-0429</t>
  </si>
  <si>
    <t>ANT-0837</t>
  </si>
  <si>
    <t>ANT-0205</t>
  </si>
  <si>
    <t>ANT-0894</t>
  </si>
  <si>
    <t>ANT-0257</t>
  </si>
  <si>
    <t>ANT-0657</t>
  </si>
  <si>
    <t>ANT-0493</t>
  </si>
  <si>
    <t>ANT-0896</t>
  </si>
  <si>
    <t>ANT-0381</t>
  </si>
  <si>
    <t>ANT-0568</t>
  </si>
  <si>
    <t>ANT-0957</t>
  </si>
  <si>
    <t>ANT-0529</t>
  </si>
  <si>
    <t>ANT-0872</t>
  </si>
  <si>
    <t>ANT-0292</t>
  </si>
  <si>
    <t>ANT-0360</t>
  </si>
  <si>
    <t>ANT-0458</t>
  </si>
  <si>
    <t>ant-0745</t>
  </si>
  <si>
    <t>ANT-0934</t>
  </si>
  <si>
    <t>ANT-0362</t>
  </si>
  <si>
    <t>ANT-0630</t>
  </si>
  <si>
    <t>ANT-0446</t>
  </si>
  <si>
    <t>ANT-0811</t>
  </si>
  <si>
    <t>ANT-0688</t>
  </si>
  <si>
    <t>ANT-0416</t>
  </si>
  <si>
    <t>ANT-0373</t>
  </si>
  <si>
    <t>ANT-0526</t>
  </si>
  <si>
    <t>ANT-0768</t>
  </si>
  <si>
    <t>ANT-0696</t>
  </si>
  <si>
    <t>ANT-0976</t>
  </si>
  <si>
    <t>ANT-0032</t>
  </si>
  <si>
    <t>ANT-0870</t>
  </si>
  <si>
    <t>ANT-0801</t>
  </si>
  <si>
    <t>ANT-0242</t>
  </si>
  <si>
    <t>ANT-0661</t>
  </si>
  <si>
    <t>ANT-0298</t>
  </si>
  <si>
    <t>ANT-0969</t>
  </si>
  <si>
    <t>ANT-0394</t>
  </si>
  <si>
    <t>ANT-0885</t>
  </si>
  <si>
    <t>ANT-0631</t>
  </si>
  <si>
    <t>ANT-0255</t>
  </si>
  <si>
    <t>ANT-0986</t>
  </si>
  <si>
    <t>ANT-0887</t>
  </si>
  <si>
    <t>ANT-0924</t>
  </si>
  <si>
    <t>ANT-0834</t>
  </si>
  <si>
    <t>ANT-0336</t>
  </si>
  <si>
    <t>ANT-0592</t>
  </si>
  <si>
    <t>ANT-0321</t>
  </si>
  <si>
    <t>ANT-0782</t>
  </si>
  <si>
    <t>ANT-0528</t>
  </si>
  <si>
    <t>ANT-0479</t>
  </si>
  <si>
    <t>ANT-0901</t>
  </si>
  <si>
    <t>ANT-0510</t>
  </si>
  <si>
    <t>ANT-0403</t>
  </si>
  <si>
    <t>ant-0518</t>
  </si>
  <si>
    <t>ANT-0469</t>
  </si>
  <si>
    <t>ANT-0221</t>
  </si>
  <si>
    <t>ANT-0598</t>
  </si>
  <si>
    <t>ANT-0686</t>
  </si>
  <si>
    <t>ANT-0927</t>
  </si>
  <si>
    <t>ANT-0232</t>
  </si>
  <si>
    <t>ANT-0654</t>
  </si>
  <si>
    <t>ANT-0239</t>
  </si>
  <si>
    <t>ANT-0735</t>
  </si>
  <si>
    <t>ANT-0484</t>
  </si>
  <si>
    <t>ANT-0988</t>
  </si>
  <si>
    <t>ANT-0669</t>
  </si>
  <si>
    <t>ANT-0958</t>
  </si>
  <si>
    <t>ANT-0489</t>
  </si>
  <si>
    <t>ANT-0667</t>
  </si>
  <si>
    <t>ANT-0329</t>
  </si>
  <si>
    <t>ANT-0668</t>
  </si>
  <si>
    <t>ANT-0588</t>
  </si>
  <si>
    <t>ANT-0238</t>
  </si>
  <si>
    <t>ANT-0548</t>
  </si>
  <si>
    <t>ANT-0757</t>
  </si>
  <si>
    <t>ANT-0670</t>
  </si>
  <si>
    <t>ANT-0881</t>
  </si>
  <si>
    <t>ANT-0357</t>
  </si>
  <si>
    <t>ANT-0551</t>
  </si>
  <si>
    <t>ANT-0542</t>
  </si>
  <si>
    <t>ANT-0746</t>
  </si>
  <si>
    <t>ANT-0229</t>
  </si>
  <si>
    <t>ANT-0475</t>
  </si>
  <si>
    <t>ANT-0690</t>
  </si>
  <si>
    <t>ANT-0558</t>
  </si>
  <si>
    <t>ANT-0435</t>
  </si>
  <si>
    <t>ANT-0545</t>
  </si>
  <si>
    <t>ANT-0389</t>
  </si>
  <si>
    <t>ANT-0844</t>
  </si>
  <si>
    <t>ANT-0236</t>
  </si>
  <si>
    <t>ANT-0355</t>
  </si>
  <si>
    <t>ANT-0960</t>
  </si>
  <si>
    <t>ANT-0743</t>
  </si>
  <si>
    <t>ANT-0784</t>
  </si>
  <si>
    <t>ANT-0677</t>
  </si>
  <si>
    <t>ANT-0430</t>
  </si>
  <si>
    <t>ANT-0422</t>
  </si>
  <si>
    <t>ANT-0543</t>
  </si>
  <si>
    <t>ANT-0549</t>
  </si>
  <si>
    <t>ANT-0294</t>
  </si>
  <si>
    <t>ANT-0833</t>
  </si>
  <si>
    <t>ANT-0715</t>
  </si>
  <si>
    <t>ANT-0691</t>
  </si>
  <si>
    <t>ANT-0963</t>
  </si>
  <si>
    <t>ANT-0635</t>
  </si>
  <si>
    <t>ANT-0540</t>
  </si>
  <si>
    <t>ANT-0363</t>
  </si>
  <si>
    <t>ANT-0815</t>
  </si>
  <si>
    <t>ANT-0407</t>
  </si>
  <si>
    <t>ANT-0983</t>
  </si>
  <si>
    <t>ANT-0471</t>
  </si>
  <si>
    <t>ANT-0579</t>
  </si>
  <si>
    <t>ANT-0714</t>
  </si>
  <si>
    <t>ANT-0308</t>
  </si>
  <si>
    <t>ANT-0701</t>
  </si>
  <si>
    <t>ANT-0848</t>
  </si>
  <si>
    <t>ANT-0869</t>
  </si>
  <si>
    <t>ANT-0334</t>
  </si>
  <si>
    <t>ANT-0386</t>
  </si>
  <si>
    <t>ANT-0288</t>
  </si>
  <si>
    <t>ANT-0805</t>
  </si>
  <si>
    <t>ANT-0955</t>
  </si>
  <si>
    <t>ANT-0578</t>
  </si>
  <si>
    <t>ANT-0607</t>
  </si>
  <si>
    <t>ANT-0699</t>
  </si>
  <si>
    <t>ANT-0787</t>
  </si>
  <si>
    <t>ANT-0745</t>
  </si>
  <si>
    <t>ANT-0966</t>
  </si>
  <si>
    <t>ANT-0726</t>
  </si>
  <si>
    <t>ANT-0215</t>
  </si>
  <si>
    <t>ANT-0817</t>
  </si>
  <si>
    <t>ANT-0299</t>
  </si>
  <si>
    <t>ANT-0710</t>
  </si>
  <si>
    <t>ANT-0839</t>
  </si>
  <si>
    <t>ANT-0419</t>
  </si>
  <si>
    <t>ANT-0512</t>
  </si>
  <si>
    <t>ANT-0311</t>
  </si>
  <si>
    <t>ANT-0231</t>
  </si>
  <si>
    <t>ANT-0296</t>
  </si>
  <si>
    <t>ANT-0800</t>
  </si>
  <si>
    <t>ANT-0580</t>
  </si>
  <si>
    <t>ANT-0761</t>
  </si>
  <si>
    <t>ANT-0508</t>
  </si>
  <si>
    <t>ANT-0524</t>
  </si>
  <si>
    <t>ANT-0587</t>
  </si>
  <si>
    <t>ANT-0275</t>
  </si>
  <si>
    <t>ANT-0794</t>
  </si>
  <si>
    <t>ANT-0557</t>
  </si>
  <si>
    <t>ANT-0376</t>
  </si>
  <si>
    <t>ANT-0843</t>
  </si>
  <si>
    <t>ANT-0560</t>
  </si>
  <si>
    <t>ANT-0224</t>
  </si>
  <si>
    <t>ANT-0754</t>
  </si>
  <si>
    <t>ANT-0305</t>
  </si>
  <si>
    <t>ANT-0450</t>
  </si>
  <si>
    <t>ANT-0964</t>
  </si>
  <si>
    <t>ANT-0868</t>
  </si>
  <si>
    <t>ANT-0675</t>
  </si>
  <si>
    <t>ANT-0309</t>
  </si>
  <si>
    <t>ANT-0211</t>
  </si>
  <si>
    <t>ANT-0622</t>
  </si>
  <si>
    <t>ANT-0522</t>
  </si>
  <si>
    <t>ANT-0402</t>
  </si>
  <si>
    <t>ANT-0803</t>
  </si>
  <si>
    <t>ANT-0920</t>
  </si>
  <si>
    <t>ANT-0978</t>
  </si>
  <si>
    <t>ANT-0507</t>
  </si>
  <si>
    <t>ANT-0396</t>
  </si>
  <si>
    <t>ANT-0609</t>
  </si>
  <si>
    <t>ANT-0911</t>
  </si>
  <si>
    <t>ANT-0370</t>
  </si>
  <si>
    <t>ANT-0397</t>
  </si>
  <si>
    <t>ANT-0882</t>
  </si>
  <si>
    <t>ANT-0244</t>
  </si>
  <si>
    <t>ANT-0504</t>
  </si>
  <si>
    <t>ANT-0985</t>
  </si>
  <si>
    <t>ANT-0944</t>
  </si>
  <si>
    <t>ANT-0866</t>
  </si>
  <si>
    <t>ANT-0533</t>
  </si>
  <si>
    <t>ANT-0423</t>
  </si>
  <si>
    <t>ANT-0718</t>
  </si>
  <si>
    <t>ANT-0918</t>
  </si>
  <si>
    <t>ANT-0382</t>
  </si>
  <si>
    <t>ANT-0470</t>
  </si>
  <si>
    <t>ANT-0998</t>
  </si>
  <si>
    <t>ANT-0595</t>
  </si>
  <si>
    <t>ANT-0840</t>
  </si>
  <si>
    <t>ANT-0404</t>
  </si>
  <si>
    <t>ANT-0582</t>
  </si>
  <si>
    <t>ANT-0679</t>
  </si>
  <si>
    <t>ANT-0243</t>
  </si>
  <si>
    <t>ANT-0268</t>
  </si>
  <si>
    <t>ANT-0326</t>
  </si>
  <si>
    <t>ANT-0756</t>
  </si>
  <si>
    <t>ANT-0368</t>
  </si>
  <si>
    <t>ANT-0606</t>
  </si>
  <si>
    <t>ANT-0721</t>
  </si>
  <si>
    <t>ANT-0361</t>
  </si>
  <si>
    <t>ANT-0577</t>
  </si>
  <si>
    <t>ANT-0972</t>
  </si>
  <si>
    <t>ANT-0857</t>
  </si>
  <si>
    <t>ANT-0830</t>
  </si>
  <si>
    <t>ANT-0903</t>
  </si>
  <si>
    <t>ANT-0505</t>
  </si>
  <si>
    <t>ANT-0617</t>
  </si>
  <si>
    <t>ANT-0225</t>
  </si>
  <si>
    <t>ANT-0490</t>
  </si>
  <si>
    <t>ANT-0276</t>
  </si>
  <si>
    <t>ANT-0771</t>
  </si>
  <si>
    <t>ANT-0684</t>
  </si>
  <si>
    <t>ANT-0685</t>
  </si>
  <si>
    <t>ANT-0828</t>
  </si>
  <si>
    <t>ANT-0555</t>
  </si>
  <si>
    <t>ANT-0233</t>
  </si>
  <si>
    <t>ANT-0536</t>
  </si>
  <si>
    <t>ANT-0704</t>
  </si>
  <si>
    <t>ANT-0888</t>
  </si>
  <si>
    <t>ANT-0959</t>
  </si>
  <si>
    <t>ANT-0307</t>
  </si>
  <si>
    <t>ANT-0405</t>
  </si>
  <si>
    <t>ANT-0925</t>
  </si>
  <si>
    <t>ANT-0875</t>
  </si>
  <si>
    <t>ANT-0732</t>
  </si>
  <si>
    <t>ANT-0923</t>
  </si>
  <si>
    <t>ANT-0820</t>
  </si>
  <si>
    <t>ANT-0586</t>
  </si>
  <si>
    <t>ANT-0639</t>
  </si>
  <si>
    <t>ANT-0599</t>
  </si>
  <si>
    <t>ANT-0864</t>
  </si>
  <si>
    <t>ANT-0860</t>
  </si>
  <si>
    <t>ANT-0384</t>
  </si>
  <si>
    <t>ANT-0663</t>
  </si>
  <si>
    <t>ANT-0290</t>
  </si>
  <si>
    <t>ANT-0345</t>
  </si>
  <si>
    <t>ANT-0672</t>
  </si>
  <si>
    <t>ANT-0922</t>
  </si>
  <si>
    <t>ANT-0825</t>
  </si>
  <si>
    <t>ANT-0427</t>
  </si>
  <si>
    <t>ANT-0390</t>
  </si>
  <si>
    <t>ANT-0561</t>
  </si>
  <si>
    <t>ANT-0486</t>
  </si>
  <si>
    <t>ant-0719</t>
  </si>
  <si>
    <t>ANT-0712</t>
  </si>
  <si>
    <t>ANT-0703</t>
  </si>
  <si>
    <t>ANT-0431</t>
  </si>
  <si>
    <t>ANT-0678</t>
  </si>
  <si>
    <t>ANT-0277</t>
  </si>
  <si>
    <t>ANT-0621</t>
  </si>
  <si>
    <t>ANT-0571</t>
  </si>
  <si>
    <t>ANT-0846</t>
  </si>
  <si>
    <t>ANT-0619</t>
  </si>
  <si>
    <t>ANT-0987</t>
  </si>
  <si>
    <t>ANT-0634</t>
  </si>
  <si>
    <t>ANT-0312</t>
  </si>
  <si>
    <t>ANT-0912</t>
  </si>
  <si>
    <t>ANT-0521</t>
  </si>
  <si>
    <t>ANT-0576</t>
  </si>
  <si>
    <t>ANT-0212</t>
  </si>
  <si>
    <t>ANT-0671</t>
  </si>
  <si>
    <t>ANT-0468</t>
  </si>
  <si>
    <t>ANT-0974</t>
  </si>
  <si>
    <t>ANT-0350</t>
  </si>
  <si>
    <t>ANT-0466</t>
  </si>
  <si>
    <t>ANT-0340</t>
  </si>
  <si>
    <t>ANT-0574</t>
  </si>
  <si>
    <t>ANT-0615</t>
  </si>
  <si>
    <t>ANT-0753</t>
  </si>
  <si>
    <t>ANT-0387</t>
  </si>
  <si>
    <t>ANT-0439</t>
  </si>
  <si>
    <t>17/10/2023 05:44</t>
  </si>
  <si>
    <t>ANT-0286</t>
  </si>
  <si>
    <t>ANT-0262</t>
  </si>
  <si>
    <t>ANT-0478</t>
  </si>
  <si>
    <t>ANT-0951</t>
  </si>
  <si>
    <t>ANT-0331</t>
  </si>
  <si>
    <t>ANT-0793</t>
  </si>
  <si>
    <t>ant-0309</t>
  </si>
  <si>
    <t>ANT-0809</t>
  </si>
  <si>
    <t>ANT-0367</t>
  </si>
  <si>
    <t>ANT-0725</t>
  </si>
  <si>
    <t>ANT-0539</t>
  </si>
  <si>
    <t>ANT-0226</t>
  </si>
  <si>
    <t>ANT-0980</t>
  </si>
  <si>
    <t>ANT-0873</t>
  </si>
  <si>
    <t>ANT-0203</t>
  </si>
  <si>
    <t>ANT-0744</t>
  </si>
  <si>
    <t>ANT-0499</t>
  </si>
  <si>
    <t>ANT-0975</t>
  </si>
  <si>
    <t>ANT-0366</t>
  </si>
  <si>
    <t>ANT-0241</t>
  </si>
  <si>
    <t>ID_Antenne</t>
  </si>
  <si>
    <t>Province_RDC</t>
  </si>
  <si>
    <t>Latitude</t>
  </si>
  <si>
    <t>Longitude</t>
  </si>
  <si>
    <t>Technologie</t>
  </si>
  <si>
    <t>Equipementier</t>
  </si>
  <si>
    <t>5G</t>
  </si>
  <si>
    <t>Ericsson</t>
  </si>
  <si>
    <t>4G</t>
  </si>
  <si>
    <t>Huawei</t>
  </si>
  <si>
    <t>3G</t>
  </si>
  <si>
    <t>ZTE</t>
  </si>
  <si>
    <t>ANT-0880</t>
  </si>
  <si>
    <t>ANT-0847</t>
  </si>
  <si>
    <t>ANT-0552</t>
  </si>
  <si>
    <t>ANT-0202</t>
  </si>
  <si>
    <t>ANT-0752</t>
  </si>
  <si>
    <t>Nokia</t>
  </si>
  <si>
    <t>ANT-0908</t>
  </si>
  <si>
    <t>ANT-0647</t>
  </si>
  <si>
    <t>ANT-0593</t>
  </si>
  <si>
    <t>ANT-0605</t>
  </si>
  <si>
    <t>ANT-0218</t>
  </si>
  <si>
    <t>ANT-0267</t>
  </si>
  <si>
    <t>ANT-0916</t>
  </si>
  <si>
    <t>ANT-0993</t>
  </si>
  <si>
    <t>ANT-0791</t>
  </si>
  <si>
    <t>ANT-0751</t>
  </si>
  <si>
    <t>ANT-0878</t>
  </si>
  <si>
    <t>ANT-0476</t>
  </si>
  <si>
    <t>ANT-0629</t>
  </si>
  <si>
    <t>ANT-0776</t>
  </si>
  <si>
    <t>ANT-0676</t>
  </si>
  <si>
    <t>ANT-0496</t>
  </si>
  <si>
    <t>ANT-0780</t>
  </si>
  <si>
    <t>ANT-0500</t>
  </si>
  <si>
    <t>ANT-0240</t>
  </si>
  <si>
    <t>ANT-0398</t>
  </si>
  <si>
    <t>ANT-0665</t>
  </si>
  <si>
    <t>ANT-0281</t>
  </si>
  <si>
    <t>ANT-0584</t>
  </si>
  <si>
    <t>ANT-0962</t>
  </si>
  <si>
    <t>ANT-0388</t>
  </si>
  <si>
    <t>ANT-0602</t>
  </si>
  <si>
    <t>ANT-0884</t>
  </si>
  <si>
    <t>ANT-0354</t>
  </si>
  <si>
    <t>ANT-0948</t>
  </si>
  <si>
    <t>ANT-0933</t>
  </si>
  <si>
    <t>ANT-0659</t>
  </si>
  <si>
    <t>ANT-0217</t>
  </si>
  <si>
    <t>ANT-0939</t>
  </si>
  <si>
    <t>ANT-0858</t>
  </si>
  <si>
    <t>ANT-0425</t>
  </si>
  <si>
    <t>ANT-0831</t>
  </si>
  <si>
    <t>ANT-0692</t>
  </si>
  <si>
    <t>ANT-0491</t>
  </si>
  <si>
    <t>ANT-0216</t>
  </si>
  <si>
    <t>ANT-0421</t>
  </si>
  <si>
    <t>ANT-0645</t>
  </si>
  <si>
    <t>ANT-0525</t>
  </si>
  <si>
    <t>ANT-0265</t>
  </si>
  <si>
    <t>ANT-0876</t>
  </si>
  <si>
    <t>ANT-0871</t>
  </si>
  <si>
    <t>ANT-0982</t>
  </si>
  <si>
    <t>ANT-0291</t>
  </si>
  <si>
    <t xml:space="preserve">ANT-0222 </t>
  </si>
  <si>
    <t>ANT-0460</t>
  </si>
  <si>
    <t>ANT-1000</t>
  </si>
  <si>
    <t>ANT-0483</t>
  </si>
  <si>
    <t>ANT-0616</t>
  </si>
  <si>
    <t>ANT-0956</t>
  </si>
  <si>
    <t>ANT-0742</t>
  </si>
  <si>
    <t>ANT-0351</t>
  </si>
  <si>
    <t>ANT-0832</t>
  </si>
  <si>
    <t>ANT-0395</t>
  </si>
  <si>
    <t>ANT-0208</t>
  </si>
  <si>
    <t>ANT-0516</t>
  </si>
  <si>
    <t>ANT-0796</t>
  </si>
  <si>
    <t>ANT-0789</t>
  </si>
  <si>
    <t>ANT-0618</t>
  </si>
  <si>
    <t>ANT-0899</t>
  </si>
  <si>
    <t>ANT-0442</t>
  </si>
  <si>
    <t>ANT-0535</t>
  </si>
  <si>
    <t>ANT-0380</t>
  </si>
  <si>
    <t>ANT-0938</t>
  </si>
  <si>
    <t>ANT-0440</t>
  </si>
  <si>
    <t>ANT-0235</t>
  </si>
  <si>
    <t>ANT-0359</t>
  </si>
  <si>
    <t>ANT-0954</t>
  </si>
  <si>
    <t>ANT-0590</t>
  </si>
  <si>
    <t>ANT-0261</t>
  </si>
  <si>
    <t>ANT-0802</t>
  </si>
  <si>
    <t>ANT-0613</t>
  </si>
  <si>
    <t xml:space="preserve">ANT-0739 </t>
  </si>
  <si>
    <t>ANT-0385</t>
  </si>
  <si>
    <t>ANT-0705</t>
  </si>
  <si>
    <t>ANT-0324</t>
  </si>
  <si>
    <t>ANT-0849</t>
  </si>
  <si>
    <t>ANT-0260</t>
  </si>
  <si>
    <t>ANT-0627</t>
  </si>
  <si>
    <t>ANT-0495</t>
  </si>
  <si>
    <t>ANT-0741</t>
  </si>
  <si>
    <t>ANT-0697</t>
  </si>
  <si>
    <t>ANT-0408</t>
  </si>
  <si>
    <t>ANT-0841</t>
  </si>
  <si>
    <t>ANT-0220</t>
  </si>
  <si>
    <t>ANT-0347</t>
  </si>
  <si>
    <t>ANT-0937</t>
  </si>
  <si>
    <t>ANT-0822</t>
  </si>
  <si>
    <t>ANT-0399</t>
  </si>
  <si>
    <t>ANT-0652</t>
  </si>
  <si>
    <t>ANT-0758</t>
  </si>
  <si>
    <t>ANT-0889</t>
  </si>
  <si>
    <t>ANT-0228</t>
  </si>
  <si>
    <t>ANT-0682</t>
  </si>
  <si>
    <t>ANT-0895</t>
  </si>
  <si>
    <t>ANT-0207</t>
  </si>
  <si>
    <t>ANT-0907</t>
  </si>
  <si>
    <t>ANT-0947</t>
  </si>
  <si>
    <t>ANT-0915</t>
  </si>
  <si>
    <t>ANT-0369</t>
  </si>
  <si>
    <t>ANT-0940</t>
  </si>
  <si>
    <t>ANT-0893</t>
  </si>
  <si>
    <t xml:space="preserve">ANT-0089 </t>
  </si>
  <si>
    <t>ANT-0410</t>
  </si>
  <si>
    <t>ANT-0981</t>
  </si>
  <si>
    <t>ANT-0810</t>
  </si>
  <si>
    <t>ANT-0601</t>
  </si>
  <si>
    <t>ANT-0946</t>
  </si>
  <si>
    <t>ANT-0681</t>
  </si>
  <si>
    <t>ANT-0356</t>
  </si>
  <si>
    <t>ANT-0589</t>
  </si>
  <si>
    <t>ANT-0636</t>
  </si>
  <si>
    <t>ANT-0519</t>
  </si>
  <si>
    <t>ANT-0702</t>
  </si>
  <si>
    <t>ANT-0603</t>
  </si>
  <si>
    <t>ANT-0755</t>
  </si>
  <si>
    <t>ANT-0349</t>
  </si>
  <si>
    <t>ANT-0827</t>
  </si>
  <si>
    <t>ANT-0706</t>
  </si>
  <si>
    <t>ANT-0625</t>
  </si>
  <si>
    <t>ANT-0409</t>
  </si>
  <si>
    <t>ANT-0917</t>
  </si>
  <si>
    <t>ANT-0984</t>
  </si>
  <si>
    <t>ANT-0890</t>
  </si>
  <si>
    <t>ANT-0322</t>
  </si>
  <si>
    <t>ANT-0272</t>
  </si>
  <si>
    <t>ANT-0736</t>
  </si>
  <si>
    <t>ANT-0769</t>
  </si>
  <si>
    <t>ANT-0256</t>
  </si>
  <si>
    <t>ANT-0365</t>
  </si>
  <si>
    <t>ANT-0160</t>
  </si>
  <si>
    <t>ANT-0824</t>
  </si>
  <si>
    <t>ANT-0863</t>
  </si>
  <si>
    <t>ANT-0910</t>
  </si>
  <si>
    <t>ANT-0323</t>
  </si>
  <si>
    <t>ANT-0648</t>
  </si>
  <si>
    <t>ANT-0694</t>
  </si>
  <si>
    <t>ANT-0482</t>
  </si>
  <si>
    <t>ANT-0352</t>
  </si>
  <si>
    <t>ANT-0904</t>
  </si>
  <si>
    <t>Statut_Data</t>
  </si>
  <si>
    <t>Nb_Pannes</t>
  </si>
  <si>
    <t>Duree_Totale_Pannes</t>
  </si>
  <si>
    <t>Remise (%)</t>
  </si>
  <si>
    <t>Perte_Financiere</t>
  </si>
  <si>
    <t>Client_Impacte</t>
  </si>
  <si>
    <t>Total général</t>
  </si>
  <si>
    <t>Somme de Duree_Totale_Pannes</t>
  </si>
  <si>
    <t>Somme de Client_Impacte</t>
  </si>
  <si>
    <t>Somme de Perte_Financiere</t>
  </si>
  <si>
    <t>Non trouvé</t>
  </si>
  <si>
    <t>Moyenne de Nb_Pannes</t>
  </si>
  <si>
    <t>Type_client</t>
  </si>
  <si>
    <t>45%</t>
  </si>
  <si>
    <t>0</t>
  </si>
  <si>
    <t>10%</t>
  </si>
  <si>
    <t>OK</t>
  </si>
  <si>
    <t>Nb_Client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</si>
</sst>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/m/yy\ h:mm;@"/>
    <numFmt numFmtId="165" formatCode="#,##0\ &quot;€&quot;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1" fillId="0" borderId="1" xfId="0" applyFont="1" applyBorder="1" applyAlignment="1">
      <alignment horizontal="left"/>
    </xf>
    <xf numFmtId="0" fontId="1" fillId="0" borderId="1" xfId="0" applyNumberFormat="1" applyFont="1" applyBorder="1"/>
    <xf numFmtId="0" fontId="2" fillId="2" borderId="2" xfId="0" applyFont="1" applyFill="1" applyBorder="1"/>
    <xf numFmtId="0" fontId="2" fillId="2" borderId="4" xfId="0" applyFont="1" applyFill="1" applyBorder="1"/>
    <xf numFmtId="0" fontId="2" fillId="2" borderId="3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10" xfId="0" applyFont="1" applyFill="1" applyBorder="1"/>
    <xf numFmtId="0" fontId="1" fillId="4" borderId="11" xfId="0" applyFont="1" applyFill="1" applyBorder="1"/>
    <xf numFmtId="22" fontId="0" fillId="0" borderId="0" xfId="0" applyNumberFormat="1"/>
    <xf numFmtId="0" fontId="0" fillId="4" borderId="9" xfId="0" applyFill="1" applyBorder="1"/>
    <xf numFmtId="0" fontId="0" fillId="4" borderId="8" xfId="0" applyFill="1" applyBorder="1"/>
    <xf numFmtId="0" fontId="1" fillId="0" borderId="1" xfId="0" applyFont="1" applyBorder="1"/>
    <xf numFmtId="0" fontId="1" fillId="3" borderId="1" xfId="0" applyFont="1" applyFill="1" applyBorder="1" applyAlignment="1"/>
  </cellXfs>
  <cellStyles count="1">
    <cellStyle name="Normal" xfId="0" builtinId="0"/>
  </cellStyles>
  <dxfs count="184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vertical/>
      </border>
    </dxf>
    <dxf>
      <border>
        <vertical/>
      </border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4"/>
      </font>
    </dxf>
    <dxf>
      <font>
        <sz val="14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vertical/>
      </border>
    </dxf>
    <dxf>
      <border>
        <vertical/>
      </border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border>
        <left/>
      </border>
    </dxf>
    <dxf>
      <border>
        <left/>
      </border>
    </dxf>
    <dxf>
      <border>
        <left/>
      </border>
    </dxf>
    <dxf>
      <border>
        <horizontal/>
      </border>
    </dxf>
    <dxf>
      <border>
        <horizontal/>
      </border>
    </dxf>
    <dxf>
      <border>
        <horizontal/>
      </border>
    </dxf>
    <dxf>
      <border>
        <horizontal/>
      </border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>
        <vertic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0"/>
      </font>
    </dxf>
    <dxf>
      <font>
        <sz val="12"/>
      </font>
    </dxf>
    <dxf>
      <fill>
        <patternFill patternType="solid">
          <bgColor rgb="FF0070C0"/>
        </patternFill>
      </fill>
    </dxf>
    <dxf>
      <border>
        <vertical/>
        <horizontal/>
      </border>
    </dxf>
    <dxf>
      <border>
        <vertical/>
        <horizontal/>
      </border>
    </dxf>
    <dxf>
      <border>
        <vertical/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center" readingOrder="0"/>
    </dxf>
    <dxf>
      <alignment horizontal="center" readingOrder="0"/>
    </dxf>
    <dxf>
      <border>
        <vertical/>
      </border>
    </dxf>
    <dxf>
      <border>
        <vertic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z val="14"/>
      </font>
    </dxf>
    <dxf>
      <font>
        <sz val="14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7" formatCode="dd/mm/yyyy\ hh:mm"/>
    </dxf>
    <dxf>
      <numFmt numFmtId="0" formatCode="General"/>
    </dxf>
    <dxf>
      <numFmt numFmtId="0" formatCode="General"/>
    </dxf>
    <dxf>
      <numFmt numFmtId="165" formatCode="#,##0\ &quot;€&quot;"/>
    </dxf>
    <dxf>
      <numFmt numFmtId="0" formatCode="General"/>
    </dxf>
    <dxf>
      <numFmt numFmtId="165" formatCode="#,##0\ &quot;€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12.58899837963" createdVersion="6" refreshedVersion="6" minRefreshableVersion="3" recordCount="1929">
  <cacheSource type="worksheet">
    <worksheetSource name="LOG_RESEAU"/>
  </cacheSource>
  <cacheFields count="12">
    <cacheField name="Cell_ID" numFmtId="0">
      <sharedItems containsBlank="1"/>
    </cacheField>
    <cacheField name="Date_Heure_Panne" numFmtId="0">
      <sharedItems containsDate="1" containsMixedTypes="1" minDate="2023-10-01T01:34:00" maxDate="2023-10-31T17:26:00"/>
    </cacheField>
    <cacheField name="Duree_Panne_Min" numFmtId="0">
      <sharedItems containsSemiMixedTypes="0" containsString="0" containsNumber="1" containsInteger="1" minValue="5" maxValue="120"/>
    </cacheField>
    <cacheField name="Statut_Resolution" numFmtId="0">
      <sharedItems/>
    </cacheField>
    <cacheField name="Province_RDC" numFmtId="0">
      <sharedItems containsMixedTypes="1" containsNumber="1" containsInteger="1" minValue="0" maxValue="0" count="28">
        <s v="Nord-Ubangi"/>
        <s v="Mai-Ndombe"/>
        <s v="Non trouvé"/>
        <s v="Equateur"/>
        <s v="Bas-Uele"/>
        <s v="Tshopo"/>
        <s v="Haut-Lomami"/>
        <s v="Haut-Katanga"/>
        <s v="Kongo-Central"/>
        <s v="Sankuru"/>
        <s v="Kasai"/>
        <s v="Kinshasa"/>
        <s v="Lomami"/>
        <s v="Ituri"/>
        <s v="Mongala"/>
        <s v="Kasai-Central"/>
        <s v="Nord-Kivu"/>
        <s v="Kasai-Oriental"/>
        <s v="Sud-Ubangi"/>
        <s v="Maniema"/>
        <s v="Tshuapa"/>
        <s v="Kwilu"/>
        <s v="Sud-Kivu"/>
        <s v="Lualaba"/>
        <s v="Haut-Uele"/>
        <s v="Tanganyika"/>
        <s v="Kwango"/>
        <n v="0"/>
      </sharedItems>
    </cacheField>
    <cacheField name="Latitude" numFmtId="0">
      <sharedItems containsMixedTypes="1" containsNumber="1" minValue="-12.839263000000001" maxValue="4.9455159999999996"/>
    </cacheField>
    <cacheField name="Longitude" numFmtId="0">
      <sharedItems containsMixedTypes="1" containsNumber="1" minValue="12.013676999999999" maxValue="30.924261000000001"/>
    </cacheField>
    <cacheField name="Technologie" numFmtId="0">
      <sharedItems count="4">
        <s v="4G"/>
        <s v="Non trouvé"/>
        <s v="5G"/>
        <s v="3G"/>
      </sharedItems>
    </cacheField>
    <cacheField name="Equipementier" numFmtId="0">
      <sharedItems/>
    </cacheField>
    <cacheField name="Statut_Data" numFmtId="0">
      <sharedItems/>
    </cacheField>
    <cacheField name="Nb_Pannes" numFmtId="0">
      <sharedItems containsSemiMixedTypes="0" containsString="0" containsNumber="1" containsInteger="1" minValue="0" maxValue="13"/>
    </cacheField>
    <cacheField name="Duree_Totale_Pannes" numFmtId="0">
      <sharedItems containsSemiMixedTypes="0" containsString="0" containsNumber="1" containsInteger="1" minValue="0" maxValue="7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c" refreshedDate="46112.595078935185" createdVersion="6" refreshedVersion="6" minRefreshableVersion="3" recordCount="750">
  <cacheSource type="worksheet">
    <worksheetSource name="CLIENTS_CHURN"/>
  </cacheSource>
  <cacheFields count="10">
    <cacheField name="ID_Client" numFmtId="0">
      <sharedItems/>
    </cacheField>
    <cacheField name="Province_Client" numFmtId="0">
      <sharedItems count="26">
        <s v="Tanganyika"/>
        <s v="Kwilu"/>
        <s v="Mongala"/>
        <s v="Kongo-Central"/>
        <s v="Haut-Lomami"/>
        <s v="Bas-Uele"/>
        <s v="Tshuapa"/>
        <s v="Maniema"/>
        <s v="Ituri"/>
        <s v="Nord-Kivu"/>
        <s v="Lomami"/>
        <s v="Sud-Kivu"/>
        <s v="Haut-Uele"/>
        <s v="Kasai"/>
        <s v="Haut-Katanga"/>
        <s v="Kasai-Central"/>
        <s v="Sud-Ubangi"/>
        <s v="Mai-Ndombe"/>
        <s v="Equateur"/>
        <s v="Kwango"/>
        <s v="Tshopo"/>
        <s v="Kasai-Oriental"/>
        <s v="Nord-Ubangi"/>
        <s v="Kinshasa"/>
        <s v="Sankuru"/>
        <s v="Lualaba"/>
      </sharedItems>
    </cacheField>
    <cacheField name="Anciennete_Mois" numFmtId="0">
      <sharedItems containsSemiMixedTypes="0" containsString="0" containsNumber="1" containsInteger="1" minValue="-53" maxValue="120"/>
    </cacheField>
    <cacheField name="Type_Forfait" numFmtId="0">
      <sharedItems/>
    </cacheField>
    <cacheField name="Duree_Cumulee_Panne_Min" numFmtId="0">
      <sharedItems containsSemiMixedTypes="0" containsString="0" containsNumber="1" containsInteger="1" minValue="1" maxValue="499"/>
    </cacheField>
    <cacheField name="Facture_Mensuelle" numFmtId="165">
      <sharedItems containsSemiMixedTypes="0" containsString="0" containsNumber="1" minValue="10" maxValue="99.93"/>
    </cacheField>
    <cacheField name="Plaintes_Service_Client" numFmtId="0">
      <sharedItems containsSemiMixedTypes="0" containsString="0" containsNumber="1" containsInteger="1" minValue="0" maxValue="5"/>
    </cacheField>
    <cacheField name="Remise (%)" numFmtId="0">
      <sharedItems/>
    </cacheField>
    <cacheField name="Perte_Financiere" numFmtId="165">
      <sharedItems containsSemiMixedTypes="0" containsString="0" containsNumber="1" minValue="0" maxValue="44.401499999999999"/>
    </cacheField>
    <cacheField name="Client_Impact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29">
  <r>
    <s v="ANT-0001"/>
    <d v="2023-10-24T08:15:00"/>
    <n v="74"/>
    <s v="Résolu"/>
    <x v="0"/>
    <n v="-8.1437910000000002"/>
    <n v="28.946161"/>
    <x v="0"/>
    <s v="ZTE"/>
    <s v="OK"/>
    <n v="5"/>
    <n v="252"/>
  </r>
  <r>
    <s v="ANT-0001"/>
    <d v="2023-10-21T15:25:00"/>
    <n v="42"/>
    <s v="Non Résolu"/>
    <x v="0"/>
    <n v="-8.1437910000000002"/>
    <n v="28.946161"/>
    <x v="0"/>
    <s v="ZTE"/>
    <s v="OK"/>
    <n v="5"/>
    <n v="252"/>
  </r>
  <r>
    <s v="ANT-0001"/>
    <d v="2023-10-12T06:42:00"/>
    <n v="75"/>
    <s v="Résolu"/>
    <x v="0"/>
    <n v="-8.1437910000000002"/>
    <n v="28.946161"/>
    <x v="0"/>
    <s v="ZTE"/>
    <s v="OK"/>
    <n v="5"/>
    <n v="252"/>
  </r>
  <r>
    <s v="ANT-0001"/>
    <d v="2023-10-06T00:20:00"/>
    <n v="35"/>
    <s v="Non Résolu"/>
    <x v="0"/>
    <n v="-8.1437910000000002"/>
    <n v="28.946161"/>
    <x v="0"/>
    <s v="ZTE"/>
    <s v="OK"/>
    <n v="5"/>
    <n v="252"/>
  </r>
  <r>
    <s v="ANT-0001"/>
    <d v="2023-10-04T12:25:00"/>
    <n v="26"/>
    <s v="Résolu"/>
    <x v="0"/>
    <n v="-8.1437910000000002"/>
    <n v="28.946161"/>
    <x v="0"/>
    <s v="ZTE"/>
    <s v="OK"/>
    <n v="5"/>
    <n v="252"/>
  </r>
  <r>
    <s v="ANT-0002"/>
    <d v="2023-10-01T18:24:00"/>
    <n v="78"/>
    <s v="Résolu"/>
    <x v="1"/>
    <n v="-10.442425"/>
    <n v="23.243632000000002"/>
    <x v="0"/>
    <s v="Nokia"/>
    <s v="OK"/>
    <n v="6"/>
    <n v="356"/>
  </r>
  <r>
    <s v="ANT-0002"/>
    <d v="2023-10-27T02:30:00"/>
    <n v="56"/>
    <s v="Résolu"/>
    <x v="1"/>
    <n v="-10.442425"/>
    <n v="23.243632000000002"/>
    <x v="0"/>
    <s v="Nokia"/>
    <s v="OK"/>
    <n v="6"/>
    <n v="356"/>
  </r>
  <r>
    <s v="ANT-0002"/>
    <d v="2023-10-31T03:41:00"/>
    <n v="43"/>
    <s v="Non Résolu"/>
    <x v="1"/>
    <n v="-10.442425"/>
    <n v="23.243632000000002"/>
    <x v="0"/>
    <s v="Nokia"/>
    <s v="OK"/>
    <n v="6"/>
    <n v="356"/>
  </r>
  <r>
    <s v="ANT-0002"/>
    <d v="2023-10-08T12:36:00"/>
    <n v="104"/>
    <s v="Résolu"/>
    <x v="1"/>
    <n v="-10.442425"/>
    <n v="23.243632000000002"/>
    <x v="0"/>
    <s v="Nokia"/>
    <s v="OK"/>
    <n v="6"/>
    <n v="356"/>
  </r>
  <r>
    <s v="ANT-0002"/>
    <d v="2023-10-05T07:06:00"/>
    <n v="48"/>
    <s v="En Cours"/>
    <x v="1"/>
    <n v="-10.442425"/>
    <n v="23.243632000000002"/>
    <x v="0"/>
    <s v="Nokia"/>
    <s v="OK"/>
    <n v="6"/>
    <n v="356"/>
  </r>
  <r>
    <s v="ANT-0002"/>
    <d v="2023-10-25T13:38:00"/>
    <n v="27"/>
    <s v="Résolu"/>
    <x v="1"/>
    <n v="-10.442425"/>
    <n v="23.243632000000002"/>
    <x v="0"/>
    <s v="Nokia"/>
    <s v="OK"/>
    <n v="6"/>
    <n v="356"/>
  </r>
  <r>
    <s v="ANT-0003"/>
    <d v="2023-10-01T12:21:00"/>
    <n v="86"/>
    <s v="En Cours"/>
    <x v="2"/>
    <s v="Non trouvé"/>
    <s v="Non trouvé"/>
    <x v="1"/>
    <s v="Non trouvé"/>
    <s v="Antenne inconnue"/>
    <n v="4"/>
    <n v="266"/>
  </r>
  <r>
    <s v="ANT-0003"/>
    <d v="2023-10-16T20:45:00"/>
    <n v="45"/>
    <s v="En Cours"/>
    <x v="2"/>
    <s v="Non trouvé"/>
    <s v="Non trouvé"/>
    <x v="1"/>
    <s v="Non trouvé"/>
    <s v="Antenne inconnue"/>
    <n v="4"/>
    <n v="266"/>
  </r>
  <r>
    <s v="ANT-0003"/>
    <d v="2023-10-21T20:56:00"/>
    <n v="34"/>
    <s v="Résolu"/>
    <x v="2"/>
    <s v="Non trouvé"/>
    <s v="Non trouvé"/>
    <x v="1"/>
    <s v="Non trouvé"/>
    <s v="Antenne inconnue"/>
    <n v="4"/>
    <n v="266"/>
  </r>
  <r>
    <s v="ANT-0003"/>
    <d v="2023-10-13T16:33:00"/>
    <n v="101"/>
    <s v="Résolu"/>
    <x v="2"/>
    <s v="Non trouvé"/>
    <s v="Non trouvé"/>
    <x v="1"/>
    <s v="Non trouvé"/>
    <s v="Antenne inconnue"/>
    <n v="4"/>
    <n v="266"/>
  </r>
  <r>
    <s v="ANT-0004"/>
    <d v="2023-10-06T05:56:00"/>
    <n v="21"/>
    <s v="Résolu"/>
    <x v="2"/>
    <s v="Non trouvé"/>
    <s v="Non trouvé"/>
    <x v="1"/>
    <s v="Non trouvé"/>
    <s v="Antenne inconnue"/>
    <n v="6"/>
    <n v="360"/>
  </r>
  <r>
    <s v="ANT-0004"/>
    <d v="2023-10-31T20:02:00"/>
    <n v="93"/>
    <s v="Non Résolu"/>
    <x v="2"/>
    <s v="Non trouvé"/>
    <s v="Non trouvé"/>
    <x v="1"/>
    <s v="Non trouvé"/>
    <s v="Antenne inconnue"/>
    <n v="6"/>
    <n v="360"/>
  </r>
  <r>
    <s v="ANT-0004"/>
    <d v="2023-10-16T01:08:00"/>
    <n v="85"/>
    <s v="En Cours"/>
    <x v="2"/>
    <s v="Non trouvé"/>
    <s v="Non trouvé"/>
    <x v="1"/>
    <s v="Non trouvé"/>
    <s v="Antenne inconnue"/>
    <n v="6"/>
    <n v="360"/>
  </r>
  <r>
    <s v="ANT-0004"/>
    <d v="2023-10-09T07:14:00"/>
    <n v="38"/>
    <s v="Résolu"/>
    <x v="2"/>
    <s v="Non trouvé"/>
    <s v="Non trouvé"/>
    <x v="1"/>
    <s v="Non trouvé"/>
    <s v="Antenne inconnue"/>
    <n v="6"/>
    <n v="360"/>
  </r>
  <r>
    <s v="ANT-0004"/>
    <d v="2023-10-27T00:05:00"/>
    <n v="111"/>
    <s v="Résolu"/>
    <x v="2"/>
    <s v="Non trouvé"/>
    <s v="Non trouvé"/>
    <x v="1"/>
    <s v="Non trouvé"/>
    <s v="Antenne inconnue"/>
    <n v="6"/>
    <n v="360"/>
  </r>
  <r>
    <s v="ANT-0004"/>
    <d v="2023-10-17T22:49:00"/>
    <n v="12"/>
    <s v="Résolu"/>
    <x v="2"/>
    <s v="Non trouvé"/>
    <s v="Non trouvé"/>
    <x v="1"/>
    <s v="Non trouvé"/>
    <s v="Antenne inconnue"/>
    <n v="6"/>
    <n v="360"/>
  </r>
  <r>
    <s v="ANT-0005"/>
    <d v="2023-10-21T16:38:00"/>
    <n v="12"/>
    <s v="Non Résolu"/>
    <x v="3"/>
    <n v="-3.544581"/>
    <n v="14.776605"/>
    <x v="0"/>
    <s v="Nokia"/>
    <s v="OK"/>
    <n v="6"/>
    <n v="281"/>
  </r>
  <r>
    <s v="ANT-0005"/>
    <d v="2023-10-26T18:38:00"/>
    <n v="43"/>
    <s v="En Cours"/>
    <x v="3"/>
    <n v="-3.544581"/>
    <n v="14.776605"/>
    <x v="0"/>
    <s v="Nokia"/>
    <s v="OK"/>
    <n v="6"/>
    <n v="281"/>
  </r>
  <r>
    <s v="ANT-0005"/>
    <d v="2023-10-25T13:16:00"/>
    <n v="92"/>
    <s v="Résolu"/>
    <x v="3"/>
    <n v="-3.544581"/>
    <n v="14.776605"/>
    <x v="0"/>
    <s v="Nokia"/>
    <s v="OK"/>
    <n v="6"/>
    <n v="281"/>
  </r>
  <r>
    <s v="ANT-0005"/>
    <d v="2023-10-25T00:15:00"/>
    <n v="12"/>
    <s v="Non Résolu"/>
    <x v="3"/>
    <n v="-3.544581"/>
    <n v="14.776605"/>
    <x v="0"/>
    <s v="Nokia"/>
    <s v="OK"/>
    <n v="6"/>
    <n v="281"/>
  </r>
  <r>
    <s v="ANT-0005"/>
    <d v="2023-10-12T05:38:00"/>
    <n v="31"/>
    <s v="Non Résolu"/>
    <x v="3"/>
    <n v="-3.544581"/>
    <n v="14.776605"/>
    <x v="0"/>
    <s v="Nokia"/>
    <s v="OK"/>
    <n v="6"/>
    <n v="281"/>
  </r>
  <r>
    <m/>
    <n v="45201.884722222218"/>
    <n v="54"/>
    <s v="Résolu"/>
    <x v="2"/>
    <s v="Non trouvé"/>
    <s v="Non trouvé"/>
    <x v="1"/>
    <s v="Non trouvé"/>
    <s v="Antenne inconnue"/>
    <n v="0"/>
    <n v="0"/>
  </r>
  <r>
    <s v="ANT-0005"/>
    <d v="2023-10-31T01:16:00"/>
    <n v="91"/>
    <s v="En Cours"/>
    <x v="3"/>
    <n v="-3.544581"/>
    <n v="14.776605"/>
    <x v="0"/>
    <s v="Nokia"/>
    <s v="OK"/>
    <n v="6"/>
    <n v="281"/>
  </r>
  <r>
    <s v="ANT-0006"/>
    <d v="2023-10-05T08:08:00"/>
    <n v="18"/>
    <s v="Résolu"/>
    <x v="4"/>
    <n v="-2.8532869999999999"/>
    <n v="22.117896000000002"/>
    <x v="2"/>
    <s v="Huawei"/>
    <s v="OK"/>
    <n v="3"/>
    <n v="132"/>
  </r>
  <r>
    <s v="ANT-0006"/>
    <d v="2023-10-31T20:50:00"/>
    <n v="103"/>
    <s v="En Cours"/>
    <x v="4"/>
    <n v="-2.8532869999999999"/>
    <n v="22.117896000000002"/>
    <x v="2"/>
    <s v="Huawei"/>
    <s v="OK"/>
    <n v="3"/>
    <n v="132"/>
  </r>
  <r>
    <s v="ANT-0006"/>
    <d v="2023-10-31T10:18:00"/>
    <n v="11"/>
    <s v="En Cours"/>
    <x v="4"/>
    <n v="-2.8532869999999999"/>
    <n v="22.117896000000002"/>
    <x v="2"/>
    <s v="Huawei"/>
    <s v="OK"/>
    <n v="3"/>
    <n v="132"/>
  </r>
  <r>
    <s v="ANT-0007"/>
    <d v="2023-10-11T17:48:00"/>
    <n v="19"/>
    <s v="Résolu"/>
    <x v="5"/>
    <n v="4.7777349999999998"/>
    <n v="16.392204"/>
    <x v="2"/>
    <s v="ZTE"/>
    <s v="OK"/>
    <n v="4"/>
    <n v="250"/>
  </r>
  <r>
    <s v="ANT-0007"/>
    <d v="2023-10-27T14:58:00"/>
    <n v="103"/>
    <s v="Résolu"/>
    <x v="5"/>
    <n v="4.7777349999999998"/>
    <n v="16.392204"/>
    <x v="2"/>
    <s v="ZTE"/>
    <s v="OK"/>
    <n v="4"/>
    <n v="250"/>
  </r>
  <r>
    <s v="ANT-0007"/>
    <d v="2023-10-08T03:22:00"/>
    <n v="41"/>
    <s v="Résolu"/>
    <x v="5"/>
    <n v="4.7777349999999998"/>
    <n v="16.392204"/>
    <x v="2"/>
    <s v="ZTE"/>
    <s v="OK"/>
    <n v="4"/>
    <n v="250"/>
  </r>
  <r>
    <s v="ANT-0007"/>
    <d v="2023-10-22T13:35:00"/>
    <n v="87"/>
    <s v="Non Résolu"/>
    <x v="5"/>
    <n v="4.7777349999999998"/>
    <n v="16.392204"/>
    <x v="2"/>
    <s v="ZTE"/>
    <s v="OK"/>
    <n v="4"/>
    <n v="250"/>
  </r>
  <r>
    <s v="ANT-0008"/>
    <d v="2023-10-11T19:16:00"/>
    <n v="52"/>
    <s v="Non Résolu"/>
    <x v="6"/>
    <n v="-11.89448"/>
    <n v="19.216214999999998"/>
    <x v="3"/>
    <s v="ZTE"/>
    <s v="OK"/>
    <n v="4"/>
    <n v="203"/>
  </r>
  <r>
    <s v="ANT-0008"/>
    <d v="2023-10-17T02:25:00"/>
    <n v="98"/>
    <s v="Non Résolu"/>
    <x v="6"/>
    <n v="-11.89448"/>
    <n v="19.216214999999998"/>
    <x v="3"/>
    <s v="ZTE"/>
    <s v="OK"/>
    <n v="4"/>
    <n v="203"/>
  </r>
  <r>
    <s v="ANT-0008"/>
    <d v="2023-10-26T04:08:00"/>
    <n v="14"/>
    <s v="Résolu"/>
    <x v="6"/>
    <n v="-11.89448"/>
    <n v="19.216214999999998"/>
    <x v="3"/>
    <s v="ZTE"/>
    <s v="OK"/>
    <n v="4"/>
    <n v="203"/>
  </r>
  <r>
    <s v="ANT-0008"/>
    <d v="2023-10-23T12:02:00"/>
    <n v="39"/>
    <s v="Résolu"/>
    <x v="6"/>
    <n v="-11.89448"/>
    <n v="19.216214999999998"/>
    <x v="3"/>
    <s v="ZTE"/>
    <s v="OK"/>
    <n v="4"/>
    <n v="203"/>
  </r>
  <r>
    <s v="ANT-0009"/>
    <d v="2023-10-05T06:48:00"/>
    <n v="47"/>
    <s v="Non Résolu"/>
    <x v="2"/>
    <s v="Non trouvé"/>
    <s v="Non trouvé"/>
    <x v="1"/>
    <s v="Non trouvé"/>
    <s v="Antenne inconnue"/>
    <n v="8"/>
    <n v="591"/>
  </r>
  <r>
    <s v="ANT-0009"/>
    <d v="2023-10-31T23:56:00"/>
    <n v="83"/>
    <s v="Non Résolu"/>
    <x v="2"/>
    <s v="Non trouvé"/>
    <s v="Non trouvé"/>
    <x v="1"/>
    <s v="Non trouvé"/>
    <s v="Antenne inconnue"/>
    <n v="8"/>
    <n v="591"/>
  </r>
  <r>
    <s v="ANT-0009"/>
    <d v="2023-10-30T11:56:00"/>
    <n v="70"/>
    <s v="Non Résolu"/>
    <x v="2"/>
    <s v="Non trouvé"/>
    <s v="Non trouvé"/>
    <x v="1"/>
    <s v="Non trouvé"/>
    <s v="Antenne inconnue"/>
    <n v="8"/>
    <n v="591"/>
  </r>
  <r>
    <s v="ANT-0009"/>
    <d v="2023-10-07T02:26:00"/>
    <n v="8"/>
    <s v="Non Résolu"/>
    <x v="2"/>
    <s v="Non trouvé"/>
    <s v="Non trouvé"/>
    <x v="1"/>
    <s v="Non trouvé"/>
    <s v="Antenne inconnue"/>
    <n v="8"/>
    <n v="591"/>
  </r>
  <r>
    <s v="ANT-0009"/>
    <d v="2023-10-28T10:11:00"/>
    <n v="58"/>
    <s v="Résolu"/>
    <x v="2"/>
    <s v="Non trouvé"/>
    <s v="Non trouvé"/>
    <x v="1"/>
    <s v="Non trouvé"/>
    <s v="Antenne inconnue"/>
    <n v="8"/>
    <n v="591"/>
  </r>
  <r>
    <s v="ANT-0009"/>
    <d v="2023-10-28T00:36:00"/>
    <n v="117"/>
    <s v="Non Résolu"/>
    <x v="2"/>
    <s v="Non trouvé"/>
    <s v="Non trouvé"/>
    <x v="1"/>
    <s v="Non trouvé"/>
    <s v="Antenne inconnue"/>
    <n v="8"/>
    <n v="591"/>
  </r>
  <r>
    <s v="ANT-0009"/>
    <d v="2023-10-23T15:28:00"/>
    <n v="111"/>
    <s v="Résolu"/>
    <x v="2"/>
    <s v="Non trouvé"/>
    <s v="Non trouvé"/>
    <x v="1"/>
    <s v="Non trouvé"/>
    <s v="Antenne inconnue"/>
    <n v="8"/>
    <n v="591"/>
  </r>
  <r>
    <s v="ANT-0009"/>
    <d v="2023-10-26T06:56:00"/>
    <n v="97"/>
    <s v="En Cours"/>
    <x v="2"/>
    <s v="Non trouvé"/>
    <s v="Non trouvé"/>
    <x v="1"/>
    <s v="Non trouvé"/>
    <s v="Antenne inconnue"/>
    <n v="8"/>
    <n v="591"/>
  </r>
  <r>
    <s v="ANT-0010"/>
    <d v="2023-10-28T00:08:00"/>
    <n v="61"/>
    <s v="En Cours"/>
    <x v="7"/>
    <n v="4.4712560000000003"/>
    <n v="27.107028"/>
    <x v="3"/>
    <s v="Ericsson"/>
    <s v="OK"/>
    <n v="3"/>
    <n v="230"/>
  </r>
  <r>
    <s v="ANT-0010"/>
    <d v="2023-10-24T10:03:00"/>
    <n v="89"/>
    <s v="Résolu"/>
    <x v="7"/>
    <n v="4.4712560000000003"/>
    <n v="27.107028"/>
    <x v="3"/>
    <s v="Ericsson"/>
    <s v="OK"/>
    <n v="3"/>
    <n v="230"/>
  </r>
  <r>
    <s v="ANT-0010"/>
    <d v="2023-10-11T20:03:00"/>
    <n v="80"/>
    <s v="Non Résolu"/>
    <x v="7"/>
    <n v="4.4712560000000003"/>
    <n v="27.107028"/>
    <x v="3"/>
    <s v="Ericsson"/>
    <s v="OK"/>
    <n v="3"/>
    <n v="230"/>
  </r>
  <r>
    <s v="ANT-0011"/>
    <d v="2023-10-14T17:00:00"/>
    <n v="106"/>
    <s v="Résolu"/>
    <x v="1"/>
    <n v="-1.607639"/>
    <n v="17.003636"/>
    <x v="0"/>
    <s v="Ericsson"/>
    <s v="OK"/>
    <n v="4"/>
    <n v="208"/>
  </r>
  <r>
    <s v="ANT-0011"/>
    <d v="2023-10-24T06:20:00"/>
    <n v="7"/>
    <s v="Résolu"/>
    <x v="1"/>
    <n v="-1.607639"/>
    <n v="17.003636"/>
    <x v="0"/>
    <s v="Ericsson"/>
    <s v="OK"/>
    <n v="4"/>
    <n v="208"/>
  </r>
  <r>
    <s v="ANT-0011"/>
    <d v="2023-10-09T23:01:00"/>
    <n v="12"/>
    <s v="En Cours"/>
    <x v="1"/>
    <n v="-1.607639"/>
    <n v="17.003636"/>
    <x v="0"/>
    <s v="Ericsson"/>
    <s v="OK"/>
    <n v="4"/>
    <n v="208"/>
  </r>
  <r>
    <s v="ANT-0011"/>
    <d v="2023-10-03T20:27:00"/>
    <n v="83"/>
    <s v="Résolu"/>
    <x v="1"/>
    <n v="-1.607639"/>
    <n v="17.003636"/>
    <x v="0"/>
    <s v="Ericsson"/>
    <s v="OK"/>
    <n v="4"/>
    <n v="208"/>
  </r>
  <r>
    <s v="ANT-0012"/>
    <d v="2023-10-01T02:13:00"/>
    <n v="87"/>
    <s v="Non Résolu"/>
    <x v="2"/>
    <s v="Non trouvé"/>
    <s v="Non trouvé"/>
    <x v="1"/>
    <s v="Non trouvé"/>
    <s v="Antenne inconnue"/>
    <n v="6"/>
    <n v="459"/>
  </r>
  <r>
    <s v="ANT-0012"/>
    <d v="2023-10-09T16:55:00"/>
    <n v="82"/>
    <s v="En Cours"/>
    <x v="2"/>
    <s v="Non trouvé"/>
    <s v="Non trouvé"/>
    <x v="1"/>
    <s v="Non trouvé"/>
    <s v="Antenne inconnue"/>
    <n v="6"/>
    <n v="459"/>
  </r>
  <r>
    <s v="ANT-0012"/>
    <d v="2023-10-22T23:57:00"/>
    <n v="12"/>
    <s v="En Cours"/>
    <x v="2"/>
    <s v="Non trouvé"/>
    <s v="Non trouvé"/>
    <x v="1"/>
    <s v="Non trouvé"/>
    <s v="Antenne inconnue"/>
    <n v="6"/>
    <n v="459"/>
  </r>
  <r>
    <s v="ANT-0012"/>
    <d v="2023-10-07T09:14:00"/>
    <n v="79"/>
    <s v="En Cours"/>
    <x v="2"/>
    <s v="Non trouvé"/>
    <s v="Non trouvé"/>
    <x v="1"/>
    <s v="Non trouvé"/>
    <s v="Antenne inconnue"/>
    <n v="6"/>
    <n v="459"/>
  </r>
  <r>
    <s v="ANT-0012"/>
    <d v="2023-10-23T14:04:00"/>
    <n v="99"/>
    <s v="En Cours"/>
    <x v="2"/>
    <s v="Non trouvé"/>
    <s v="Non trouvé"/>
    <x v="1"/>
    <s v="Non trouvé"/>
    <s v="Antenne inconnue"/>
    <n v="6"/>
    <n v="459"/>
  </r>
  <r>
    <s v="ANT-0012"/>
    <d v="2023-10-25T16:07:00"/>
    <n v="100"/>
    <s v="Non Résolu"/>
    <x v="2"/>
    <s v="Non trouvé"/>
    <s v="Non trouvé"/>
    <x v="1"/>
    <s v="Non trouvé"/>
    <s v="Antenne inconnue"/>
    <n v="6"/>
    <n v="459"/>
  </r>
  <r>
    <s v="ant-0013"/>
    <d v="2023-10-03T17:49:00"/>
    <n v="8"/>
    <s v="Non Résolu"/>
    <x v="2"/>
    <s v="Non trouvé"/>
    <s v="Non trouvé"/>
    <x v="1"/>
    <s v="Non trouvé"/>
    <s v="Antenne inconnue"/>
    <n v="5"/>
    <n v="237"/>
  </r>
  <r>
    <s v="ant-0013"/>
    <d v="2023-10-30T14:18:00"/>
    <n v="76"/>
    <s v="Non Résolu"/>
    <x v="2"/>
    <s v="Non trouvé"/>
    <s v="Non trouvé"/>
    <x v="1"/>
    <s v="Non trouvé"/>
    <s v="Antenne inconnue"/>
    <n v="5"/>
    <n v="237"/>
  </r>
  <r>
    <s v="ant-0013"/>
    <d v="2023-10-07T13:24:00"/>
    <n v="87"/>
    <s v="Résolu"/>
    <x v="2"/>
    <s v="Non trouvé"/>
    <s v="Non trouvé"/>
    <x v="1"/>
    <s v="Non trouvé"/>
    <s v="Antenne inconnue"/>
    <n v="5"/>
    <n v="237"/>
  </r>
  <r>
    <s v="ant-0013"/>
    <d v="2023-10-23T13:26:00"/>
    <n v="26"/>
    <s v="En Cours"/>
    <x v="2"/>
    <s v="Non trouvé"/>
    <s v="Non trouvé"/>
    <x v="1"/>
    <s v="Non trouvé"/>
    <s v="Antenne inconnue"/>
    <n v="5"/>
    <n v="237"/>
  </r>
  <r>
    <s v="ant-0013"/>
    <d v="2023-10-14T22:08:00"/>
    <n v="40"/>
    <s v="Résolu"/>
    <x v="2"/>
    <s v="Non trouvé"/>
    <s v="Non trouvé"/>
    <x v="1"/>
    <s v="Non trouvé"/>
    <s v="Antenne inconnue"/>
    <n v="5"/>
    <n v="237"/>
  </r>
  <r>
    <s v="ANT-0014"/>
    <d v="2023-10-09T01:05:00"/>
    <n v="106"/>
    <s v="Résolu"/>
    <x v="2"/>
    <s v="Non trouvé"/>
    <s v="Non trouvé"/>
    <x v="1"/>
    <s v="Non trouvé"/>
    <s v="Antenne inconnue"/>
    <n v="3"/>
    <n v="250"/>
  </r>
  <r>
    <s v="ANT-0014"/>
    <d v="2023-10-22T06:27:00"/>
    <n v="69"/>
    <s v="En Cours"/>
    <x v="2"/>
    <s v="Non trouvé"/>
    <s v="Non trouvé"/>
    <x v="1"/>
    <s v="Non trouvé"/>
    <s v="Antenne inconnue"/>
    <n v="3"/>
    <n v="250"/>
  </r>
  <r>
    <s v="ANT-0014"/>
    <d v="2023-10-22T18:28:00"/>
    <n v="75"/>
    <s v="Non Résolu"/>
    <x v="2"/>
    <s v="Non trouvé"/>
    <s v="Non trouvé"/>
    <x v="1"/>
    <s v="Non trouvé"/>
    <s v="Antenne inconnue"/>
    <n v="3"/>
    <n v="250"/>
  </r>
  <r>
    <s v="ANT-0015"/>
    <d v="2023-10-03T10:01:00"/>
    <n v="104"/>
    <s v="Non Résolu"/>
    <x v="2"/>
    <s v="Non trouvé"/>
    <s v="Non trouvé"/>
    <x v="1"/>
    <s v="Non trouvé"/>
    <s v="Antenne inconnue"/>
    <n v="3"/>
    <n v="290"/>
  </r>
  <r>
    <s v="ANT-0015"/>
    <d v="2023-10-15T10:59:00"/>
    <n v="108"/>
    <s v="En Cours"/>
    <x v="2"/>
    <s v="Non trouvé"/>
    <s v="Non trouvé"/>
    <x v="1"/>
    <s v="Non trouvé"/>
    <s v="Antenne inconnue"/>
    <n v="3"/>
    <n v="290"/>
  </r>
  <r>
    <s v="ANT-0015"/>
    <d v="2023-10-14T15:35:00"/>
    <n v="78"/>
    <s v="Non Résolu"/>
    <x v="2"/>
    <s v="Non trouvé"/>
    <s v="Non trouvé"/>
    <x v="1"/>
    <s v="Non trouvé"/>
    <s v="Antenne inconnue"/>
    <n v="3"/>
    <n v="290"/>
  </r>
  <r>
    <s v="ANT-0016"/>
    <d v="2023-10-26T00:48:00"/>
    <n v="11"/>
    <s v="Non Résolu"/>
    <x v="8"/>
    <n v="2.9836019999999999"/>
    <n v="21.893065"/>
    <x v="2"/>
    <s v="Nokia"/>
    <s v="OK"/>
    <n v="4"/>
    <n v="283"/>
  </r>
  <r>
    <s v="ANT-0016"/>
    <d v="2023-10-06T08:29:00"/>
    <n v="88"/>
    <s v="En Cours"/>
    <x v="8"/>
    <n v="2.9836019999999999"/>
    <n v="21.893065"/>
    <x v="2"/>
    <s v="Nokia"/>
    <s v="OK"/>
    <n v="4"/>
    <n v="283"/>
  </r>
  <r>
    <s v="ANT-0016"/>
    <d v="2023-10-05T07:24:00"/>
    <n v="110"/>
    <s v="Résolu"/>
    <x v="8"/>
    <n v="2.9836019999999999"/>
    <n v="21.893065"/>
    <x v="2"/>
    <s v="Nokia"/>
    <s v="OK"/>
    <n v="4"/>
    <n v="283"/>
  </r>
  <r>
    <s v="ANT-0016"/>
    <d v="2023-10-01T12:37:00"/>
    <n v="74"/>
    <s v="Non Résolu"/>
    <x v="8"/>
    <n v="2.9836019999999999"/>
    <n v="21.893065"/>
    <x v="2"/>
    <s v="Nokia"/>
    <s v="OK"/>
    <n v="4"/>
    <n v="283"/>
  </r>
  <r>
    <s v="ANT-0017"/>
    <d v="2023-10-18T13:14:00"/>
    <n v="115"/>
    <s v="Non Résolu"/>
    <x v="9"/>
    <n v="-3.419035"/>
    <n v="29.018315999999999"/>
    <x v="2"/>
    <s v="Ericsson"/>
    <s v="OK"/>
    <n v="3"/>
    <n v="254"/>
  </r>
  <r>
    <s v="ANT-0017"/>
    <d v="2023-10-29T00:02:00"/>
    <n v="112"/>
    <s v="En Cours"/>
    <x v="9"/>
    <n v="-3.419035"/>
    <n v="29.018315999999999"/>
    <x v="2"/>
    <s v="Ericsson"/>
    <s v="OK"/>
    <n v="3"/>
    <n v="254"/>
  </r>
  <r>
    <s v="ANT-0017"/>
    <d v="2023-10-30T18:41:00"/>
    <n v="27"/>
    <s v="Non Résolu"/>
    <x v="9"/>
    <n v="-3.419035"/>
    <n v="29.018315999999999"/>
    <x v="2"/>
    <s v="Ericsson"/>
    <s v="OK"/>
    <n v="3"/>
    <n v="254"/>
  </r>
  <r>
    <s v="ANT-0018"/>
    <d v="2023-10-26T05:44:00"/>
    <n v="115"/>
    <s v="En Cours"/>
    <x v="2"/>
    <s v="Non trouvé"/>
    <s v="Non trouvé"/>
    <x v="1"/>
    <s v="Non trouvé"/>
    <s v="Antenne inconnue"/>
    <n v="8"/>
    <n v="621"/>
  </r>
  <r>
    <s v="ANT-0018"/>
    <d v="2023-10-31T16:58:00"/>
    <n v="86"/>
    <s v="Résolu"/>
    <x v="2"/>
    <s v="Non trouvé"/>
    <s v="Non trouvé"/>
    <x v="1"/>
    <s v="Non trouvé"/>
    <s v="Antenne inconnue"/>
    <n v="8"/>
    <n v="621"/>
  </r>
  <r>
    <s v="ANT-0018"/>
    <d v="2023-10-26T19:57:00"/>
    <n v="78"/>
    <s v="Résolu"/>
    <x v="2"/>
    <s v="Non trouvé"/>
    <s v="Non trouvé"/>
    <x v="1"/>
    <s v="Non trouvé"/>
    <s v="Antenne inconnue"/>
    <n v="8"/>
    <n v="621"/>
  </r>
  <r>
    <s v="ANT-0018"/>
    <d v="2023-10-31T17:26:00"/>
    <n v="66"/>
    <s v="En Cours"/>
    <x v="2"/>
    <s v="Non trouvé"/>
    <s v="Non trouvé"/>
    <x v="1"/>
    <s v="Non trouvé"/>
    <s v="Antenne inconnue"/>
    <n v="8"/>
    <n v="621"/>
  </r>
  <r>
    <s v="ANT-0018"/>
    <d v="2023-10-16T19:28:00"/>
    <n v="68"/>
    <s v="Résolu"/>
    <x v="2"/>
    <s v="Non trouvé"/>
    <s v="Non trouvé"/>
    <x v="1"/>
    <s v="Non trouvé"/>
    <s v="Antenne inconnue"/>
    <n v="8"/>
    <n v="621"/>
  </r>
  <r>
    <s v="ANT-0018"/>
    <d v="2023-10-20T23:45:00"/>
    <n v="36"/>
    <s v="Résolu"/>
    <x v="2"/>
    <s v="Non trouvé"/>
    <s v="Non trouvé"/>
    <x v="1"/>
    <s v="Non trouvé"/>
    <s v="Antenne inconnue"/>
    <n v="8"/>
    <n v="621"/>
  </r>
  <r>
    <s v="ANT-0018"/>
    <d v="2023-10-05T09:24:00"/>
    <n v="98"/>
    <s v="En Cours"/>
    <x v="2"/>
    <s v="Non trouvé"/>
    <s v="Non trouvé"/>
    <x v="1"/>
    <s v="Non trouvé"/>
    <s v="Antenne inconnue"/>
    <n v="8"/>
    <n v="621"/>
  </r>
  <r>
    <s v="ANT-0018"/>
    <d v="2023-10-31T13:35:00"/>
    <n v="74"/>
    <s v="Résolu"/>
    <x v="2"/>
    <s v="Non trouvé"/>
    <s v="Non trouvé"/>
    <x v="1"/>
    <s v="Non trouvé"/>
    <s v="Antenne inconnue"/>
    <n v="8"/>
    <n v="621"/>
  </r>
  <r>
    <s v="ANT-0019"/>
    <d v="2023-10-19T13:02:00"/>
    <n v="101"/>
    <s v="Résolu"/>
    <x v="2"/>
    <s v="Non trouvé"/>
    <s v="Non trouvé"/>
    <x v="1"/>
    <s v="Non trouvé"/>
    <s v="Antenne inconnue"/>
    <n v="5"/>
    <n v="320"/>
  </r>
  <r>
    <s v="ANT-0019"/>
    <d v="2023-10-04T02:56:00"/>
    <n v="22"/>
    <s v="Non Résolu"/>
    <x v="2"/>
    <s v="Non trouvé"/>
    <s v="Non trouvé"/>
    <x v="1"/>
    <s v="Non trouvé"/>
    <s v="Antenne inconnue"/>
    <n v="5"/>
    <n v="320"/>
  </r>
  <r>
    <s v="ANT-0019"/>
    <d v="2023-10-28T17:29:00"/>
    <n v="63"/>
    <s v="Résolu"/>
    <x v="2"/>
    <s v="Non trouvé"/>
    <s v="Non trouvé"/>
    <x v="1"/>
    <s v="Non trouvé"/>
    <s v="Antenne inconnue"/>
    <n v="5"/>
    <n v="320"/>
  </r>
  <r>
    <m/>
    <n v="45223.925000000003"/>
    <n v="61"/>
    <s v="En Cours"/>
    <x v="2"/>
    <s v="Non trouvé"/>
    <s v="Non trouvé"/>
    <x v="1"/>
    <s v="Non trouvé"/>
    <s v="Antenne inconnue"/>
    <n v="0"/>
    <n v="0"/>
  </r>
  <r>
    <s v="ANT-0019"/>
    <d v="2023-10-21T19:01:00"/>
    <n v="109"/>
    <s v="Non Résolu"/>
    <x v="2"/>
    <s v="Non trouvé"/>
    <s v="Non trouvé"/>
    <x v="1"/>
    <s v="Non trouvé"/>
    <s v="Antenne inconnue"/>
    <n v="5"/>
    <n v="320"/>
  </r>
  <r>
    <s v="ANT-0019"/>
    <d v="2023-10-14T23:07:00"/>
    <n v="25"/>
    <s v="Non Résolu"/>
    <x v="2"/>
    <s v="Non trouvé"/>
    <s v="Non trouvé"/>
    <x v="1"/>
    <s v="Non trouvé"/>
    <s v="Antenne inconnue"/>
    <n v="5"/>
    <n v="320"/>
  </r>
  <r>
    <s v="ANT-0020"/>
    <d v="2023-10-14T10:34:00"/>
    <n v="15"/>
    <s v="Non Résolu"/>
    <x v="10"/>
    <n v="-10.059846"/>
    <n v="14.375757999999999"/>
    <x v="0"/>
    <s v="Huawei"/>
    <s v="OK"/>
    <n v="6"/>
    <n v="340"/>
  </r>
  <r>
    <s v="ANT-0020"/>
    <d v="2023-10-12T05:19:00"/>
    <n v="50"/>
    <s v="Résolu"/>
    <x v="10"/>
    <n v="-10.059846"/>
    <n v="14.375757999999999"/>
    <x v="0"/>
    <s v="Huawei"/>
    <s v="OK"/>
    <n v="6"/>
    <n v="340"/>
  </r>
  <r>
    <s v="ANT-0020"/>
    <d v="2023-10-08T03:35:00"/>
    <n v="60"/>
    <s v="Non Résolu"/>
    <x v="10"/>
    <n v="-10.059846"/>
    <n v="14.375757999999999"/>
    <x v="0"/>
    <s v="Huawei"/>
    <s v="OK"/>
    <n v="6"/>
    <n v="340"/>
  </r>
  <r>
    <s v="ANT-0020"/>
    <d v="2023-10-02T05:50:00"/>
    <n v="40"/>
    <s v="En Cours"/>
    <x v="10"/>
    <n v="-10.059846"/>
    <n v="14.375757999999999"/>
    <x v="0"/>
    <s v="Huawei"/>
    <s v="OK"/>
    <n v="6"/>
    <n v="340"/>
  </r>
  <r>
    <s v="ANT-0020"/>
    <d v="2023-10-28T12:39:00"/>
    <n v="78"/>
    <s v="En Cours"/>
    <x v="10"/>
    <n v="-10.059846"/>
    <n v="14.375757999999999"/>
    <x v="0"/>
    <s v="Huawei"/>
    <s v="OK"/>
    <n v="6"/>
    <n v="340"/>
  </r>
  <r>
    <s v="ANT-0020"/>
    <d v="2023-10-18T23:15:00"/>
    <n v="97"/>
    <s v="Non Résolu"/>
    <x v="10"/>
    <n v="-10.059846"/>
    <n v="14.375757999999999"/>
    <x v="0"/>
    <s v="Huawei"/>
    <s v="OK"/>
    <n v="6"/>
    <n v="340"/>
  </r>
  <r>
    <s v="ANT-0021"/>
    <d v="2023-10-12T05:23:00"/>
    <n v="68"/>
    <s v="Non Résolu"/>
    <x v="2"/>
    <s v="Non trouvé"/>
    <s v="Non trouvé"/>
    <x v="1"/>
    <s v="Non trouvé"/>
    <s v="Antenne inconnue"/>
    <n v="7"/>
    <n v="504"/>
  </r>
  <r>
    <m/>
    <n v="45228.079861111109"/>
    <n v="77"/>
    <s v="Non Résolu"/>
    <x v="2"/>
    <s v="Non trouvé"/>
    <s v="Non trouvé"/>
    <x v="1"/>
    <s v="Non trouvé"/>
    <s v="Antenne inconnue"/>
    <n v="0"/>
    <n v="0"/>
  </r>
  <r>
    <s v="ANT-0021"/>
    <d v="2023-10-31T04:16:00"/>
    <n v="113"/>
    <s v="Résolu"/>
    <x v="2"/>
    <s v="Non trouvé"/>
    <s v="Non trouvé"/>
    <x v="1"/>
    <s v="Non trouvé"/>
    <s v="Antenne inconnue"/>
    <n v="7"/>
    <n v="504"/>
  </r>
  <r>
    <s v="ANT-0021"/>
    <d v="2023-10-31T11:40:00"/>
    <n v="45"/>
    <s v="Non Résolu"/>
    <x v="2"/>
    <s v="Non trouvé"/>
    <s v="Non trouvé"/>
    <x v="1"/>
    <s v="Non trouvé"/>
    <s v="Antenne inconnue"/>
    <n v="7"/>
    <n v="504"/>
  </r>
  <r>
    <s v="ANT-0021"/>
    <d v="2023-10-29T14:15:00"/>
    <n v="42"/>
    <s v="En Cours"/>
    <x v="2"/>
    <s v="Non trouvé"/>
    <s v="Non trouvé"/>
    <x v="1"/>
    <s v="Non trouvé"/>
    <s v="Antenne inconnue"/>
    <n v="7"/>
    <n v="504"/>
  </r>
  <r>
    <s v="ANT-0021"/>
    <d v="2023-10-10T22:55:00"/>
    <n v="75"/>
    <s v="Résolu"/>
    <x v="2"/>
    <s v="Non trouvé"/>
    <s v="Non trouvé"/>
    <x v="1"/>
    <s v="Non trouvé"/>
    <s v="Antenne inconnue"/>
    <n v="7"/>
    <n v="504"/>
  </r>
  <r>
    <s v="ANT-0021"/>
    <d v="2023-10-18T15:22:00"/>
    <n v="113"/>
    <s v="En Cours"/>
    <x v="2"/>
    <s v="Non trouvé"/>
    <s v="Non trouvé"/>
    <x v="1"/>
    <s v="Non trouvé"/>
    <s v="Antenne inconnue"/>
    <n v="7"/>
    <n v="504"/>
  </r>
  <r>
    <s v="ANT-0021"/>
    <d v="2023-10-21T02:14:00"/>
    <n v="48"/>
    <s v="Résolu"/>
    <x v="2"/>
    <s v="Non trouvé"/>
    <s v="Non trouvé"/>
    <x v="1"/>
    <s v="Non trouvé"/>
    <s v="Antenne inconnue"/>
    <n v="7"/>
    <n v="504"/>
  </r>
  <r>
    <s v="ANT-0022"/>
    <d v="2023-10-08T12:44:00"/>
    <n v="25"/>
    <s v="Résolu"/>
    <x v="2"/>
    <s v="Non trouvé"/>
    <s v="Non trouvé"/>
    <x v="1"/>
    <s v="Non trouvé"/>
    <s v="Antenne inconnue"/>
    <n v="9"/>
    <n v="467"/>
  </r>
  <r>
    <s v="ANT-0022"/>
    <d v="2023-10-10T21:25:00"/>
    <n v="22"/>
    <s v="Non Résolu"/>
    <x v="2"/>
    <s v="Non trouvé"/>
    <s v="Non trouvé"/>
    <x v="1"/>
    <s v="Non trouvé"/>
    <s v="Antenne inconnue"/>
    <n v="9"/>
    <n v="467"/>
  </r>
  <r>
    <s v="ANT-0022"/>
    <d v="2023-10-14T01:12:00"/>
    <n v="24"/>
    <s v="Non Résolu"/>
    <x v="2"/>
    <s v="Non trouvé"/>
    <s v="Non trouvé"/>
    <x v="1"/>
    <s v="Non trouvé"/>
    <s v="Antenne inconnue"/>
    <n v="9"/>
    <n v="467"/>
  </r>
  <r>
    <s v="ANT-0022"/>
    <d v="2023-10-24T04:26:00"/>
    <n v="88"/>
    <s v="Résolu"/>
    <x v="2"/>
    <s v="Non trouvé"/>
    <s v="Non trouvé"/>
    <x v="1"/>
    <s v="Non trouvé"/>
    <s v="Antenne inconnue"/>
    <n v="9"/>
    <n v="467"/>
  </r>
  <r>
    <s v="ANT-0022"/>
    <d v="2023-10-04T23:04:00"/>
    <n v="30"/>
    <s v="Résolu"/>
    <x v="2"/>
    <s v="Non trouvé"/>
    <s v="Non trouvé"/>
    <x v="1"/>
    <s v="Non trouvé"/>
    <s v="Antenne inconnue"/>
    <n v="9"/>
    <n v="467"/>
  </r>
  <r>
    <s v="ANT-0022"/>
    <d v="2023-10-22T20:35:00"/>
    <n v="103"/>
    <s v="Non Résolu"/>
    <x v="2"/>
    <s v="Non trouvé"/>
    <s v="Non trouvé"/>
    <x v="1"/>
    <s v="Non trouvé"/>
    <s v="Antenne inconnue"/>
    <n v="9"/>
    <n v="467"/>
  </r>
  <r>
    <s v="ANT-0022"/>
    <d v="2023-10-28T21:58:00"/>
    <n v="38"/>
    <s v="En Cours"/>
    <x v="2"/>
    <s v="Non trouvé"/>
    <s v="Non trouvé"/>
    <x v="1"/>
    <s v="Non trouvé"/>
    <s v="Antenne inconnue"/>
    <n v="9"/>
    <n v="467"/>
  </r>
  <r>
    <s v="ANT-0022"/>
    <d v="2023-10-11T03:53:00"/>
    <n v="95"/>
    <s v="Résolu"/>
    <x v="2"/>
    <s v="Non trouvé"/>
    <s v="Non trouvé"/>
    <x v="1"/>
    <s v="Non trouvé"/>
    <s v="Antenne inconnue"/>
    <n v="9"/>
    <n v="467"/>
  </r>
  <r>
    <s v="ANT-0022"/>
    <d v="2023-10-05T21:30:00"/>
    <n v="42"/>
    <s v="Non Résolu"/>
    <x v="2"/>
    <s v="Non trouvé"/>
    <s v="Non trouvé"/>
    <x v="1"/>
    <s v="Non trouvé"/>
    <s v="Antenne inconnue"/>
    <n v="9"/>
    <n v="467"/>
  </r>
  <r>
    <s v="ANT-0023"/>
    <d v="2023-10-24T04:55:00"/>
    <n v="95"/>
    <s v="Résolu"/>
    <x v="6"/>
    <n v="-9.7801860000000005"/>
    <n v="16.649550000000001"/>
    <x v="2"/>
    <s v="Ericsson"/>
    <s v="OK"/>
    <n v="2"/>
    <n v="153"/>
  </r>
  <r>
    <s v="ANT-0023"/>
    <d v="2023-10-18T12:29:00"/>
    <n v="58"/>
    <s v="Résolu"/>
    <x v="6"/>
    <n v="-9.7801860000000005"/>
    <n v="16.649550000000001"/>
    <x v="2"/>
    <s v="Ericsson"/>
    <s v="OK"/>
    <n v="2"/>
    <n v="153"/>
  </r>
  <r>
    <s v="ANT-0024"/>
    <d v="2023-10-10T19:13:00"/>
    <n v="95"/>
    <s v="Résolu"/>
    <x v="2"/>
    <s v="Non trouvé"/>
    <s v="Non trouvé"/>
    <x v="1"/>
    <s v="Non trouvé"/>
    <s v="Antenne inconnue"/>
    <n v="6"/>
    <n v="418"/>
  </r>
  <r>
    <s v="ANT-0024"/>
    <d v="2023-10-16T06:22:00"/>
    <n v="36"/>
    <s v="En Cours"/>
    <x v="2"/>
    <s v="Non trouvé"/>
    <s v="Non trouvé"/>
    <x v="1"/>
    <s v="Non trouvé"/>
    <s v="Antenne inconnue"/>
    <n v="6"/>
    <n v="418"/>
  </r>
  <r>
    <s v="ANT-0024"/>
    <d v="2023-10-30T03:29:00"/>
    <n v="112"/>
    <s v="En Cours"/>
    <x v="2"/>
    <s v="Non trouvé"/>
    <s v="Non trouvé"/>
    <x v="1"/>
    <s v="Non trouvé"/>
    <s v="Antenne inconnue"/>
    <n v="6"/>
    <n v="418"/>
  </r>
  <r>
    <s v="ANT-0024"/>
    <d v="2023-10-19T12:14:00"/>
    <n v="106"/>
    <s v="En Cours"/>
    <x v="2"/>
    <s v="Non trouvé"/>
    <s v="Non trouvé"/>
    <x v="1"/>
    <s v="Non trouvé"/>
    <s v="Antenne inconnue"/>
    <n v="6"/>
    <n v="418"/>
  </r>
  <r>
    <s v="ANT-0024"/>
    <d v="2023-10-06T18:37:00"/>
    <n v="56"/>
    <s v="En Cours"/>
    <x v="2"/>
    <s v="Non trouvé"/>
    <s v="Non trouvé"/>
    <x v="1"/>
    <s v="Non trouvé"/>
    <s v="Antenne inconnue"/>
    <n v="6"/>
    <n v="418"/>
  </r>
  <r>
    <s v="ANT-0024"/>
    <d v="2023-10-21T09:23:00"/>
    <n v="13"/>
    <s v="Non Résolu"/>
    <x v="2"/>
    <s v="Non trouvé"/>
    <s v="Non trouvé"/>
    <x v="1"/>
    <s v="Non trouvé"/>
    <s v="Antenne inconnue"/>
    <n v="6"/>
    <n v="418"/>
  </r>
  <r>
    <s v="ANT-0025"/>
    <d v="2023-10-03T18:44:00"/>
    <n v="45"/>
    <s v="Résolu"/>
    <x v="2"/>
    <s v="Non trouvé"/>
    <s v="Non trouvé"/>
    <x v="1"/>
    <s v="Non trouvé"/>
    <s v="Antenne inconnue"/>
    <n v="3"/>
    <n v="201"/>
  </r>
  <r>
    <s v="ANT-0025"/>
    <d v="2023-10-15T08:19:00"/>
    <n v="44"/>
    <s v="Non Résolu"/>
    <x v="2"/>
    <s v="Non trouvé"/>
    <s v="Non trouvé"/>
    <x v="1"/>
    <s v="Non trouvé"/>
    <s v="Antenne inconnue"/>
    <n v="3"/>
    <n v="201"/>
  </r>
  <r>
    <s v="ANT-0025"/>
    <d v="2023-10-24T10:49:00"/>
    <n v="112"/>
    <s v="Non Résolu"/>
    <x v="2"/>
    <s v="Non trouvé"/>
    <s v="Non trouvé"/>
    <x v="1"/>
    <s v="Non trouvé"/>
    <s v="Antenne inconnue"/>
    <n v="3"/>
    <n v="201"/>
  </r>
  <r>
    <s v="ANT-0026"/>
    <d v="2023-10-01T19:20:00"/>
    <n v="56"/>
    <s v="Non Résolu"/>
    <x v="2"/>
    <s v="Non trouvé"/>
    <s v="Non trouvé"/>
    <x v="1"/>
    <s v="Non trouvé"/>
    <s v="Antenne inconnue"/>
    <n v="4"/>
    <n v="204"/>
  </r>
  <r>
    <s v="ANT-0026"/>
    <d v="2023-10-14T02:42:00"/>
    <n v="75"/>
    <s v="Non Résolu"/>
    <x v="2"/>
    <s v="Non trouvé"/>
    <s v="Non trouvé"/>
    <x v="1"/>
    <s v="Non trouvé"/>
    <s v="Antenne inconnue"/>
    <n v="4"/>
    <n v="204"/>
  </r>
  <r>
    <s v="ANT-0026"/>
    <d v="2023-10-04T17:14:00"/>
    <n v="62"/>
    <s v="Résolu"/>
    <x v="2"/>
    <s v="Non trouvé"/>
    <s v="Non trouvé"/>
    <x v="1"/>
    <s v="Non trouvé"/>
    <s v="Antenne inconnue"/>
    <n v="4"/>
    <n v="204"/>
  </r>
  <r>
    <s v="ANT-0026"/>
    <d v="2023-10-25T17:46:00"/>
    <n v="11"/>
    <s v="Résolu"/>
    <x v="2"/>
    <s v="Non trouvé"/>
    <s v="Non trouvé"/>
    <x v="1"/>
    <s v="Non trouvé"/>
    <s v="Antenne inconnue"/>
    <n v="4"/>
    <n v="204"/>
  </r>
  <r>
    <s v="ANT-0027"/>
    <d v="2023-10-05T12:12:00"/>
    <n v="73"/>
    <s v="Résolu"/>
    <x v="2"/>
    <s v="Non trouvé"/>
    <s v="Non trouvé"/>
    <x v="1"/>
    <s v="Non trouvé"/>
    <s v="Antenne inconnue"/>
    <n v="5"/>
    <n v="331"/>
  </r>
  <r>
    <s v="ANT-0027"/>
    <d v="2023-10-18T15:22:00"/>
    <n v="91"/>
    <s v="Non Résolu"/>
    <x v="2"/>
    <s v="Non trouvé"/>
    <s v="Non trouvé"/>
    <x v="1"/>
    <s v="Non trouvé"/>
    <s v="Antenne inconnue"/>
    <n v="5"/>
    <n v="331"/>
  </r>
  <r>
    <s v="ANT-0027"/>
    <d v="2023-10-04T08:36:00"/>
    <n v="41"/>
    <s v="Non Résolu"/>
    <x v="2"/>
    <s v="Non trouvé"/>
    <s v="Non trouvé"/>
    <x v="1"/>
    <s v="Non trouvé"/>
    <s v="Antenne inconnue"/>
    <n v="5"/>
    <n v="331"/>
  </r>
  <r>
    <s v="ANT-0027"/>
    <d v="2023-10-28T20:20:00"/>
    <n v="114"/>
    <s v="Non Résolu"/>
    <x v="2"/>
    <s v="Non trouvé"/>
    <s v="Non trouvé"/>
    <x v="1"/>
    <s v="Non trouvé"/>
    <s v="Antenne inconnue"/>
    <n v="5"/>
    <n v="331"/>
  </r>
  <r>
    <s v="ANT-0027"/>
    <d v="2023-10-27T20:11:00"/>
    <n v="12"/>
    <s v="En Cours"/>
    <x v="2"/>
    <s v="Non trouvé"/>
    <s v="Non trouvé"/>
    <x v="1"/>
    <s v="Non trouvé"/>
    <s v="Antenne inconnue"/>
    <n v="5"/>
    <n v="331"/>
  </r>
  <r>
    <s v="ANT-0028"/>
    <d v="2023-10-31T22:12:00"/>
    <n v="96"/>
    <s v="Non Résolu"/>
    <x v="2"/>
    <s v="Non trouvé"/>
    <s v="Non trouvé"/>
    <x v="1"/>
    <s v="Non trouvé"/>
    <s v="Antenne inconnue"/>
    <n v="8"/>
    <n v="608"/>
  </r>
  <r>
    <s v="ANT-0028"/>
    <d v="2023-10-03T07:53:00"/>
    <n v="99"/>
    <s v="Non Résolu"/>
    <x v="2"/>
    <s v="Non trouvé"/>
    <s v="Non trouvé"/>
    <x v="1"/>
    <s v="Non trouvé"/>
    <s v="Antenne inconnue"/>
    <n v="8"/>
    <n v="608"/>
  </r>
  <r>
    <s v="ANT-0028"/>
    <d v="2023-10-23T08:29:00"/>
    <n v="31"/>
    <s v="En Cours"/>
    <x v="2"/>
    <s v="Non trouvé"/>
    <s v="Non trouvé"/>
    <x v="1"/>
    <s v="Non trouvé"/>
    <s v="Antenne inconnue"/>
    <n v="8"/>
    <n v="608"/>
  </r>
  <r>
    <s v="ANT-0028"/>
    <d v="2023-10-16T14:49:00"/>
    <n v="110"/>
    <s v="Non Résolu"/>
    <x v="2"/>
    <s v="Non trouvé"/>
    <s v="Non trouvé"/>
    <x v="1"/>
    <s v="Non trouvé"/>
    <s v="Antenne inconnue"/>
    <n v="8"/>
    <n v="608"/>
  </r>
  <r>
    <s v="ANT-0028"/>
    <d v="2023-10-23T03:54:00"/>
    <n v="86"/>
    <s v="Non Résolu"/>
    <x v="2"/>
    <s v="Non trouvé"/>
    <s v="Non trouvé"/>
    <x v="1"/>
    <s v="Non trouvé"/>
    <s v="Antenne inconnue"/>
    <n v="8"/>
    <n v="608"/>
  </r>
  <r>
    <s v="ANT-0028"/>
    <d v="2023-10-02T00:13:00"/>
    <n v="43"/>
    <s v="En Cours"/>
    <x v="2"/>
    <s v="Non trouvé"/>
    <s v="Non trouvé"/>
    <x v="1"/>
    <s v="Non trouvé"/>
    <s v="Antenne inconnue"/>
    <n v="8"/>
    <n v="608"/>
  </r>
  <r>
    <s v="ANT-0028"/>
    <d v="2023-10-26T20:09:00"/>
    <n v="60"/>
    <s v="En Cours"/>
    <x v="2"/>
    <s v="Non trouvé"/>
    <s v="Non trouvé"/>
    <x v="1"/>
    <s v="Non trouvé"/>
    <s v="Antenne inconnue"/>
    <n v="8"/>
    <n v="608"/>
  </r>
  <r>
    <s v="ANT-0028"/>
    <d v="2023-10-25T23:05:00"/>
    <n v="83"/>
    <s v="En Cours"/>
    <x v="2"/>
    <s v="Non trouvé"/>
    <s v="Non trouvé"/>
    <x v="1"/>
    <s v="Non trouvé"/>
    <s v="Antenne inconnue"/>
    <n v="8"/>
    <n v="608"/>
  </r>
  <r>
    <s v="ANT-0029"/>
    <d v="2023-10-06T14:00:00"/>
    <n v="50"/>
    <s v="En Cours"/>
    <x v="11"/>
    <n v="-10.227569000000001"/>
    <n v="18.887930999999998"/>
    <x v="3"/>
    <s v="ZTE"/>
    <s v="OK"/>
    <n v="3"/>
    <n v="189"/>
  </r>
  <r>
    <s v="ANT-0029"/>
    <d v="2023-10-14T00:39:00"/>
    <n v="31"/>
    <s v="En Cours"/>
    <x v="11"/>
    <n v="-10.227569000000001"/>
    <n v="18.887930999999998"/>
    <x v="3"/>
    <s v="ZTE"/>
    <s v="OK"/>
    <n v="3"/>
    <n v="189"/>
  </r>
  <r>
    <s v="ANT-0029"/>
    <d v="2023-10-07T12:23:00"/>
    <n v="108"/>
    <s v="Résolu"/>
    <x v="11"/>
    <n v="-10.227569000000001"/>
    <n v="18.887930999999998"/>
    <x v="3"/>
    <s v="ZTE"/>
    <s v="OK"/>
    <n v="3"/>
    <n v="189"/>
  </r>
  <r>
    <s v="ant-0030"/>
    <d v="2023-10-15T11:43:00"/>
    <n v="83"/>
    <s v="Résolu"/>
    <x v="2"/>
    <s v="Non trouvé"/>
    <s v="Non trouvé"/>
    <x v="1"/>
    <s v="Non trouvé"/>
    <s v="Antenne inconnue"/>
    <n v="8"/>
    <n v="396"/>
  </r>
  <r>
    <s v="ANT-0030"/>
    <d v="2023-10-01T19:59:00"/>
    <n v="16"/>
    <s v="En Cours"/>
    <x v="2"/>
    <s v="Non trouvé"/>
    <s v="Non trouvé"/>
    <x v="1"/>
    <s v="Non trouvé"/>
    <s v="Antenne inconnue"/>
    <n v="8"/>
    <n v="396"/>
  </r>
  <r>
    <s v="ant-0030"/>
    <d v="2023-10-10T21:43:00"/>
    <n v="42"/>
    <s v="Résolu"/>
    <x v="2"/>
    <s v="Non trouvé"/>
    <s v="Non trouvé"/>
    <x v="1"/>
    <s v="Non trouvé"/>
    <s v="Antenne inconnue"/>
    <n v="8"/>
    <n v="396"/>
  </r>
  <r>
    <s v="ANT-0030"/>
    <d v="2023-10-12T09:04:00"/>
    <n v="46"/>
    <s v="En Cours"/>
    <x v="2"/>
    <s v="Non trouvé"/>
    <s v="Non trouvé"/>
    <x v="1"/>
    <s v="Non trouvé"/>
    <s v="Antenne inconnue"/>
    <n v="8"/>
    <n v="396"/>
  </r>
  <r>
    <s v="ANT-0030"/>
    <d v="2023-10-06T01:15:00"/>
    <n v="54"/>
    <s v="Résolu"/>
    <x v="2"/>
    <s v="Non trouvé"/>
    <s v="Non trouvé"/>
    <x v="1"/>
    <s v="Non trouvé"/>
    <s v="Antenne inconnue"/>
    <n v="8"/>
    <n v="396"/>
  </r>
  <r>
    <s v="ANT-0030"/>
    <d v="2023-10-10T17:24:00"/>
    <n v="20"/>
    <s v="Non Résolu"/>
    <x v="2"/>
    <s v="Non trouvé"/>
    <s v="Non trouvé"/>
    <x v="1"/>
    <s v="Non trouvé"/>
    <s v="Antenne inconnue"/>
    <n v="8"/>
    <n v="396"/>
  </r>
  <r>
    <s v="ANT-0030"/>
    <d v="2023-10-14T05:42:00"/>
    <n v="79"/>
    <s v="Résolu"/>
    <x v="2"/>
    <s v="Non trouvé"/>
    <s v="Non trouvé"/>
    <x v="1"/>
    <s v="Non trouvé"/>
    <s v="Antenne inconnue"/>
    <n v="8"/>
    <n v="396"/>
  </r>
  <r>
    <s v="ANT-0030"/>
    <d v="2023-10-23T12:17:00"/>
    <n v="56"/>
    <s v="Résolu"/>
    <x v="2"/>
    <s v="Non trouvé"/>
    <s v="Non trouvé"/>
    <x v="1"/>
    <s v="Non trouvé"/>
    <s v="Antenne inconnue"/>
    <n v="8"/>
    <n v="396"/>
  </r>
  <r>
    <s v="ANT-0031"/>
    <d v="2023-10-09T20:44:00"/>
    <n v="98"/>
    <s v="Résolu"/>
    <x v="2"/>
    <s v="Non trouvé"/>
    <s v="Non trouvé"/>
    <x v="1"/>
    <s v="Non trouvé"/>
    <s v="Antenne inconnue"/>
    <n v="3"/>
    <n v="146"/>
  </r>
  <r>
    <s v="ANT-0031"/>
    <d v="2023-10-22T23:51:00"/>
    <n v="13"/>
    <s v="En Cours"/>
    <x v="2"/>
    <s v="Non trouvé"/>
    <s v="Non trouvé"/>
    <x v="1"/>
    <s v="Non trouvé"/>
    <s v="Antenne inconnue"/>
    <n v="3"/>
    <n v="146"/>
  </r>
  <r>
    <s v="ANT-0031"/>
    <d v="2023-10-31T20:44:00"/>
    <n v="35"/>
    <s v="En Cours"/>
    <x v="2"/>
    <s v="Non trouvé"/>
    <s v="Non trouvé"/>
    <x v="1"/>
    <s v="Non trouvé"/>
    <s v="Antenne inconnue"/>
    <n v="3"/>
    <n v="146"/>
  </r>
  <r>
    <s v="ANT-0032"/>
    <d v="2023-10-23T15:40:00"/>
    <n v="46"/>
    <s v="En Cours"/>
    <x v="12"/>
    <n v="-11.266565999999999"/>
    <n v="26.245055000000001"/>
    <x v="3"/>
    <s v="Ericsson"/>
    <s v="OK"/>
    <n v="1"/>
    <n v="46"/>
  </r>
  <r>
    <s v="ANT-0033"/>
    <d v="2023-10-03T06:58:00"/>
    <n v="110"/>
    <s v="Résolu"/>
    <x v="2"/>
    <s v="Non trouvé"/>
    <s v="Non trouvé"/>
    <x v="1"/>
    <s v="Non trouvé"/>
    <s v="Antenne inconnue"/>
    <n v="2"/>
    <n v="199"/>
  </r>
  <r>
    <s v="ANT-0033"/>
    <d v="2023-10-15T18:03:00"/>
    <n v="89"/>
    <s v="Non Résolu"/>
    <x v="2"/>
    <s v="Non trouvé"/>
    <s v="Non trouvé"/>
    <x v="1"/>
    <s v="Non trouvé"/>
    <s v="Antenne inconnue"/>
    <n v="2"/>
    <n v="199"/>
  </r>
  <r>
    <s v="ANT-0034"/>
    <d v="2023-10-30T19:32:00"/>
    <n v="67"/>
    <s v="Non Résolu"/>
    <x v="2"/>
    <s v="Non trouvé"/>
    <s v="Non trouvé"/>
    <x v="1"/>
    <s v="Non trouvé"/>
    <s v="Antenne inconnue"/>
    <n v="2"/>
    <n v="82"/>
  </r>
  <r>
    <s v="ANT-0034"/>
    <d v="2023-10-26T09:58:00"/>
    <n v="15"/>
    <s v="Résolu"/>
    <x v="2"/>
    <s v="Non trouvé"/>
    <s v="Non trouvé"/>
    <x v="1"/>
    <s v="Non trouvé"/>
    <s v="Antenne inconnue"/>
    <n v="2"/>
    <n v="82"/>
  </r>
  <r>
    <s v="ANT-0035"/>
    <d v="2023-10-15T17:07:00"/>
    <n v="60"/>
    <s v="Non Résolu"/>
    <x v="6"/>
    <n v="-6.3324319999999998"/>
    <n v="24.887858000000001"/>
    <x v="0"/>
    <s v="ZTE"/>
    <s v="OK"/>
    <n v="8"/>
    <n v="447"/>
  </r>
  <r>
    <s v="ANT-0035"/>
    <d v="2023-10-20T20:10:00"/>
    <n v="39"/>
    <s v="Résolu"/>
    <x v="6"/>
    <n v="-6.3324319999999998"/>
    <n v="24.887858000000001"/>
    <x v="0"/>
    <s v="ZTE"/>
    <s v="OK"/>
    <n v="8"/>
    <n v="447"/>
  </r>
  <r>
    <s v="ANT-0035"/>
    <d v="2023-10-03T07:23:00"/>
    <n v="95"/>
    <s v="En Cours"/>
    <x v="6"/>
    <n v="-6.3324319999999998"/>
    <n v="24.887858000000001"/>
    <x v="0"/>
    <s v="ZTE"/>
    <s v="OK"/>
    <n v="8"/>
    <n v="447"/>
  </r>
  <r>
    <s v="ANT-0035"/>
    <d v="2023-10-28T09:12:00"/>
    <n v="57"/>
    <s v="En Cours"/>
    <x v="6"/>
    <n v="-6.3324319999999998"/>
    <n v="24.887858000000001"/>
    <x v="0"/>
    <s v="ZTE"/>
    <s v="OK"/>
    <n v="8"/>
    <n v="447"/>
  </r>
  <r>
    <s v="ANT-0035"/>
    <d v="2023-10-21T06:39:00"/>
    <n v="31"/>
    <s v="Résolu"/>
    <x v="6"/>
    <n v="-6.3324319999999998"/>
    <n v="24.887858000000001"/>
    <x v="0"/>
    <s v="ZTE"/>
    <s v="OK"/>
    <n v="8"/>
    <n v="447"/>
  </r>
  <r>
    <s v="ANT-0035"/>
    <d v="2023-10-03T18:42:00"/>
    <n v="51"/>
    <s v="Résolu"/>
    <x v="6"/>
    <n v="-6.3324319999999998"/>
    <n v="24.887858000000001"/>
    <x v="0"/>
    <s v="ZTE"/>
    <s v="OK"/>
    <n v="8"/>
    <n v="447"/>
  </r>
  <r>
    <s v="ANT-0035"/>
    <d v="2023-10-07T19:08:00"/>
    <n v="107"/>
    <s v="Non Résolu"/>
    <x v="6"/>
    <n v="-6.3324319999999998"/>
    <n v="24.887858000000001"/>
    <x v="0"/>
    <s v="ZTE"/>
    <s v="OK"/>
    <n v="8"/>
    <n v="447"/>
  </r>
  <r>
    <s v="ANT-0035"/>
    <d v="2023-10-09T10:39:00"/>
    <n v="7"/>
    <s v="En Cours"/>
    <x v="6"/>
    <n v="-6.3324319999999998"/>
    <n v="24.887858000000001"/>
    <x v="0"/>
    <s v="ZTE"/>
    <s v="OK"/>
    <n v="8"/>
    <n v="447"/>
  </r>
  <r>
    <s v="ANT-0036"/>
    <d v="2023-10-19T17:14:00"/>
    <n v="87"/>
    <s v="Résolu"/>
    <x v="2"/>
    <s v="Non trouvé"/>
    <s v="Non trouvé"/>
    <x v="1"/>
    <s v="Non trouvé"/>
    <s v="Antenne inconnue"/>
    <n v="10"/>
    <n v="738"/>
  </r>
  <r>
    <s v="ANT-0036"/>
    <d v="2023-10-21T08:49:00"/>
    <n v="97"/>
    <s v="Non Résolu"/>
    <x v="2"/>
    <s v="Non trouvé"/>
    <s v="Non trouvé"/>
    <x v="1"/>
    <s v="Non trouvé"/>
    <s v="Antenne inconnue"/>
    <n v="10"/>
    <n v="738"/>
  </r>
  <r>
    <s v="ANT-0036"/>
    <d v="2023-10-10T12:54:00"/>
    <n v="88"/>
    <s v="Résolu"/>
    <x v="2"/>
    <s v="Non trouvé"/>
    <s v="Non trouvé"/>
    <x v="1"/>
    <s v="Non trouvé"/>
    <s v="Antenne inconnue"/>
    <n v="10"/>
    <n v="738"/>
  </r>
  <r>
    <s v="ANT-0036"/>
    <d v="2023-10-15T22:38:00"/>
    <n v="76"/>
    <s v="En Cours"/>
    <x v="2"/>
    <s v="Non trouvé"/>
    <s v="Non trouvé"/>
    <x v="1"/>
    <s v="Non trouvé"/>
    <s v="Antenne inconnue"/>
    <n v="10"/>
    <n v="738"/>
  </r>
  <r>
    <s v="ANT-0036"/>
    <d v="2023-10-03T07:40:00"/>
    <n v="26"/>
    <s v="En Cours"/>
    <x v="2"/>
    <s v="Non trouvé"/>
    <s v="Non trouvé"/>
    <x v="1"/>
    <s v="Non trouvé"/>
    <s v="Antenne inconnue"/>
    <n v="10"/>
    <n v="738"/>
  </r>
  <r>
    <s v="ANT-0036"/>
    <d v="2023-10-14T08:02:00"/>
    <n v="97"/>
    <s v="En Cours"/>
    <x v="2"/>
    <s v="Non trouvé"/>
    <s v="Non trouvé"/>
    <x v="1"/>
    <s v="Non trouvé"/>
    <s v="Antenne inconnue"/>
    <n v="10"/>
    <n v="738"/>
  </r>
  <r>
    <s v="ANT-0036"/>
    <d v="2023-10-31T15:12:00"/>
    <n v="95"/>
    <s v="En Cours"/>
    <x v="2"/>
    <s v="Non trouvé"/>
    <s v="Non trouvé"/>
    <x v="1"/>
    <s v="Non trouvé"/>
    <s v="Antenne inconnue"/>
    <n v="10"/>
    <n v="738"/>
  </r>
  <r>
    <s v="ANT-0036"/>
    <d v="2023-10-10T23:50:00"/>
    <n v="100"/>
    <s v="Résolu"/>
    <x v="2"/>
    <s v="Non trouvé"/>
    <s v="Non trouvé"/>
    <x v="1"/>
    <s v="Non trouvé"/>
    <s v="Antenne inconnue"/>
    <n v="10"/>
    <n v="738"/>
  </r>
  <r>
    <s v="ANT-0036"/>
    <d v="2023-10-27T17:30:00"/>
    <n v="62"/>
    <s v="Non Résolu"/>
    <x v="2"/>
    <s v="Non trouvé"/>
    <s v="Non trouvé"/>
    <x v="1"/>
    <s v="Non trouvé"/>
    <s v="Antenne inconnue"/>
    <n v="10"/>
    <n v="738"/>
  </r>
  <r>
    <s v="ANT-0036"/>
    <d v="2023-10-07T13:44:00"/>
    <n v="10"/>
    <s v="Résolu"/>
    <x v="2"/>
    <s v="Non trouvé"/>
    <s v="Non trouvé"/>
    <x v="1"/>
    <s v="Non trouvé"/>
    <s v="Antenne inconnue"/>
    <n v="10"/>
    <n v="738"/>
  </r>
  <r>
    <s v="ANT-0037"/>
    <d v="2023-10-14T14:55:00"/>
    <n v="14"/>
    <s v="En Cours"/>
    <x v="13"/>
    <n v="-7.0076900000000002"/>
    <n v="27.367121999999998"/>
    <x v="3"/>
    <s v="Nokia"/>
    <s v="OK"/>
    <n v="7"/>
    <n v="471"/>
  </r>
  <r>
    <s v="ANT-0037"/>
    <d v="2023-10-09T12:08:00"/>
    <n v="61"/>
    <s v="Non Résolu"/>
    <x v="13"/>
    <n v="-7.0076900000000002"/>
    <n v="27.367121999999998"/>
    <x v="3"/>
    <s v="Nokia"/>
    <s v="OK"/>
    <n v="7"/>
    <n v="471"/>
  </r>
  <r>
    <s v="ANT-0037"/>
    <d v="2023-10-16T02:36:00"/>
    <n v="73"/>
    <s v="Non Résolu"/>
    <x v="13"/>
    <n v="-7.0076900000000002"/>
    <n v="27.367121999999998"/>
    <x v="3"/>
    <s v="Nokia"/>
    <s v="OK"/>
    <n v="7"/>
    <n v="471"/>
  </r>
  <r>
    <s v="ANT-0037"/>
    <d v="2023-10-01T05:17:00"/>
    <n v="78"/>
    <s v="Résolu"/>
    <x v="13"/>
    <n v="-7.0076900000000002"/>
    <n v="27.367121999999998"/>
    <x v="3"/>
    <s v="Nokia"/>
    <s v="OK"/>
    <n v="7"/>
    <n v="471"/>
  </r>
  <r>
    <s v="ANT-0037"/>
    <d v="2023-10-30T16:05:00"/>
    <n v="56"/>
    <s v="Non Résolu"/>
    <x v="13"/>
    <n v="-7.0076900000000002"/>
    <n v="27.367121999999998"/>
    <x v="3"/>
    <s v="Nokia"/>
    <s v="OK"/>
    <n v="7"/>
    <n v="471"/>
  </r>
  <r>
    <s v="ANT-0037"/>
    <d v="2023-10-20T02:26:00"/>
    <n v="75"/>
    <s v="Résolu"/>
    <x v="13"/>
    <n v="-7.0076900000000002"/>
    <n v="27.367121999999998"/>
    <x v="3"/>
    <s v="Nokia"/>
    <s v="OK"/>
    <n v="7"/>
    <n v="471"/>
  </r>
  <r>
    <s v="ANT-0037"/>
    <d v="2023-10-12T14:39:00"/>
    <n v="114"/>
    <s v="Résolu"/>
    <x v="13"/>
    <n v="-7.0076900000000002"/>
    <n v="27.367121999999998"/>
    <x v="3"/>
    <s v="Nokia"/>
    <s v="OK"/>
    <n v="7"/>
    <n v="471"/>
  </r>
  <r>
    <s v="ANT-0038"/>
    <d v="2023-10-10T06:27:00"/>
    <n v="24"/>
    <s v="En Cours"/>
    <x v="13"/>
    <n v="-0.767455"/>
    <n v="30.924261000000001"/>
    <x v="3"/>
    <s v="Huawei"/>
    <s v="OK"/>
    <n v="2"/>
    <n v="128"/>
  </r>
  <r>
    <s v="ANT-0038"/>
    <d v="2023-10-06T22:19:00"/>
    <n v="104"/>
    <s v="En Cours"/>
    <x v="13"/>
    <n v="-0.767455"/>
    <n v="30.924261000000001"/>
    <x v="3"/>
    <s v="Huawei"/>
    <s v="OK"/>
    <n v="2"/>
    <n v="128"/>
  </r>
  <r>
    <s v="ANT-0039"/>
    <d v="2023-10-02T16:05:00"/>
    <n v="93"/>
    <s v="Non Résolu"/>
    <x v="14"/>
    <n v="4.0988100000000003"/>
    <n v="29.843810999999999"/>
    <x v="3"/>
    <s v="Huawei"/>
    <s v="OK"/>
    <n v="5"/>
    <n v="400"/>
  </r>
  <r>
    <s v="ANT-0039"/>
    <d v="2023-10-09T13:31:00"/>
    <n v="84"/>
    <s v="En Cours"/>
    <x v="14"/>
    <n v="4.0988100000000003"/>
    <n v="29.843810999999999"/>
    <x v="3"/>
    <s v="Huawei"/>
    <s v="OK"/>
    <n v="5"/>
    <n v="400"/>
  </r>
  <r>
    <s v="ANT-0039"/>
    <d v="2023-10-04T22:49:00"/>
    <n v="115"/>
    <s v="En Cours"/>
    <x v="14"/>
    <n v="4.0988100000000003"/>
    <n v="29.843810999999999"/>
    <x v="3"/>
    <s v="Huawei"/>
    <s v="OK"/>
    <n v="5"/>
    <n v="400"/>
  </r>
  <r>
    <s v="ANT-0039"/>
    <d v="2023-10-19T16:13:00"/>
    <n v="30"/>
    <s v="En Cours"/>
    <x v="14"/>
    <n v="4.0988100000000003"/>
    <n v="29.843810999999999"/>
    <x v="3"/>
    <s v="Huawei"/>
    <s v="OK"/>
    <n v="5"/>
    <n v="400"/>
  </r>
  <r>
    <s v="ANT-0039"/>
    <d v="2023-10-03T08:24:00"/>
    <n v="78"/>
    <s v="Résolu"/>
    <x v="14"/>
    <n v="4.0988100000000003"/>
    <n v="29.843810999999999"/>
    <x v="3"/>
    <s v="Huawei"/>
    <s v="OK"/>
    <n v="5"/>
    <n v="400"/>
  </r>
  <r>
    <s v="ANT-0040"/>
    <d v="2023-10-31T00:43:00"/>
    <n v="49"/>
    <s v="Non Résolu"/>
    <x v="5"/>
    <n v="1.472051"/>
    <n v="17.36289"/>
    <x v="0"/>
    <s v="Huawei"/>
    <s v="OK"/>
    <n v="5"/>
    <n v="444"/>
  </r>
  <r>
    <s v="ANT-0040"/>
    <d v="2023-10-27T07:43:00"/>
    <n v="119"/>
    <s v="Résolu"/>
    <x v="5"/>
    <n v="1.472051"/>
    <n v="17.36289"/>
    <x v="0"/>
    <s v="Huawei"/>
    <s v="OK"/>
    <n v="5"/>
    <n v="444"/>
  </r>
  <r>
    <s v="ANT-0040"/>
    <d v="2023-10-25T15:40:00"/>
    <n v="119"/>
    <s v="En Cours"/>
    <x v="5"/>
    <n v="1.472051"/>
    <n v="17.36289"/>
    <x v="0"/>
    <s v="Huawei"/>
    <s v="OK"/>
    <n v="5"/>
    <n v="444"/>
  </r>
  <r>
    <s v="ANT-0040"/>
    <d v="2023-10-29T22:31:00"/>
    <n v="83"/>
    <s v="Non Résolu"/>
    <x v="5"/>
    <n v="1.472051"/>
    <n v="17.36289"/>
    <x v="0"/>
    <s v="Huawei"/>
    <s v="OK"/>
    <n v="5"/>
    <n v="444"/>
  </r>
  <r>
    <s v="ANT-0040"/>
    <d v="2023-10-02T12:17:00"/>
    <n v="74"/>
    <s v="Résolu"/>
    <x v="5"/>
    <n v="1.472051"/>
    <n v="17.36289"/>
    <x v="0"/>
    <s v="Huawei"/>
    <s v="OK"/>
    <n v="5"/>
    <n v="444"/>
  </r>
  <r>
    <s v="ANT-0041"/>
    <d v="2023-10-22T11:04:00"/>
    <n v="74"/>
    <s v="Résolu"/>
    <x v="7"/>
    <n v="0.16841400000000001"/>
    <n v="30.029876999999999"/>
    <x v="2"/>
    <s v="Huawei"/>
    <s v="OK"/>
    <n v="3"/>
    <n v="268"/>
  </r>
  <r>
    <s v="ANT-0041"/>
    <d v="2023-10-17T14:00:00"/>
    <n v="78"/>
    <s v="En Cours"/>
    <x v="7"/>
    <n v="0.16841400000000001"/>
    <n v="30.029876999999999"/>
    <x v="2"/>
    <s v="Huawei"/>
    <s v="OK"/>
    <n v="3"/>
    <n v="268"/>
  </r>
  <r>
    <s v="ANT-0041"/>
    <d v="2023-10-24T17:40:00"/>
    <n v="116"/>
    <s v="Non Résolu"/>
    <x v="7"/>
    <n v="0.16841400000000001"/>
    <n v="30.029876999999999"/>
    <x v="2"/>
    <s v="Huawei"/>
    <s v="OK"/>
    <n v="3"/>
    <n v="268"/>
  </r>
  <r>
    <s v="ANT-0042"/>
    <d v="2023-10-20T19:14:00"/>
    <n v="117"/>
    <s v="Résolu"/>
    <x v="15"/>
    <n v="-10.735106"/>
    <n v="27.868673999999999"/>
    <x v="3"/>
    <s v="Ericsson"/>
    <s v="OK"/>
    <n v="2"/>
    <n v="210"/>
  </r>
  <r>
    <s v="ANT-0042"/>
    <d v="2023-10-18T13:53:00"/>
    <n v="93"/>
    <s v="Non Résolu"/>
    <x v="15"/>
    <n v="-10.735106"/>
    <n v="27.868673999999999"/>
    <x v="3"/>
    <s v="Ericsson"/>
    <s v="OK"/>
    <n v="2"/>
    <n v="210"/>
  </r>
  <r>
    <m/>
    <n v="45226.722916666673"/>
    <n v="14"/>
    <s v="Résolu"/>
    <x v="2"/>
    <s v="Non trouvé"/>
    <s v="Non trouvé"/>
    <x v="1"/>
    <s v="Non trouvé"/>
    <s v="Antenne inconnue"/>
    <n v="0"/>
    <n v="0"/>
  </r>
  <r>
    <s v="ANT-0043"/>
    <d v="2023-10-11T01:18:00"/>
    <n v="53"/>
    <s v="En Cours"/>
    <x v="2"/>
    <s v="Non trouvé"/>
    <s v="Non trouvé"/>
    <x v="1"/>
    <s v="Non trouvé"/>
    <s v="Antenne inconnue"/>
    <n v="7"/>
    <n v="435"/>
  </r>
  <r>
    <s v="ANT-0043"/>
    <d v="2023-10-31T00:03:00"/>
    <n v="22"/>
    <s v="En Cours"/>
    <x v="2"/>
    <s v="Non trouvé"/>
    <s v="Non trouvé"/>
    <x v="1"/>
    <s v="Non trouvé"/>
    <s v="Antenne inconnue"/>
    <n v="7"/>
    <n v="435"/>
  </r>
  <r>
    <s v="ANT-0043"/>
    <d v="2023-10-05T08:18:00"/>
    <n v="82"/>
    <s v="Résolu"/>
    <x v="2"/>
    <s v="Non trouvé"/>
    <s v="Non trouvé"/>
    <x v="1"/>
    <s v="Non trouvé"/>
    <s v="Antenne inconnue"/>
    <n v="7"/>
    <n v="435"/>
  </r>
  <r>
    <s v="ANT-0043"/>
    <d v="2023-10-15T01:26:00"/>
    <n v="66"/>
    <s v="En Cours"/>
    <x v="2"/>
    <s v="Non trouvé"/>
    <s v="Non trouvé"/>
    <x v="1"/>
    <s v="Non trouvé"/>
    <s v="Antenne inconnue"/>
    <n v="7"/>
    <n v="435"/>
  </r>
  <r>
    <s v="ant-0043"/>
    <d v="2023-10-12T07:01:00"/>
    <n v="72"/>
    <s v="En Cours"/>
    <x v="2"/>
    <s v="Non trouvé"/>
    <s v="Non trouvé"/>
    <x v="1"/>
    <s v="Non trouvé"/>
    <s v="Antenne inconnue"/>
    <n v="7"/>
    <n v="435"/>
  </r>
  <r>
    <s v="ANT-0043"/>
    <d v="2023-10-25T02:00:00"/>
    <n v="31"/>
    <s v="Résolu"/>
    <x v="2"/>
    <s v="Non trouvé"/>
    <s v="Non trouvé"/>
    <x v="1"/>
    <s v="Non trouvé"/>
    <s v="Antenne inconnue"/>
    <n v="7"/>
    <n v="435"/>
  </r>
  <r>
    <s v="ANT-0043"/>
    <d v="2023-10-29T06:28:00"/>
    <n v="109"/>
    <s v="Non Résolu"/>
    <x v="2"/>
    <s v="Non trouvé"/>
    <s v="Non trouvé"/>
    <x v="1"/>
    <s v="Non trouvé"/>
    <s v="Antenne inconnue"/>
    <n v="7"/>
    <n v="435"/>
  </r>
  <r>
    <s v="ANT-0044"/>
    <d v="2023-10-30T17:28:00"/>
    <n v="24"/>
    <s v="Résolu"/>
    <x v="16"/>
    <n v="-6.5529849999999996"/>
    <n v="21.990606"/>
    <x v="3"/>
    <s v="Huawei"/>
    <s v="OK"/>
    <n v="7"/>
    <n v="512"/>
  </r>
  <r>
    <s v="ANT-0044"/>
    <d v="2023-10-09T07:53:00"/>
    <n v="84"/>
    <s v="En Cours"/>
    <x v="16"/>
    <n v="-6.5529849999999996"/>
    <n v="21.990606"/>
    <x v="3"/>
    <s v="Huawei"/>
    <s v="OK"/>
    <n v="7"/>
    <n v="512"/>
  </r>
  <r>
    <s v="ANT-0044"/>
    <d v="2023-10-01T02:18:00"/>
    <n v="102"/>
    <s v="En Cours"/>
    <x v="16"/>
    <n v="-6.5529849999999996"/>
    <n v="21.990606"/>
    <x v="3"/>
    <s v="Huawei"/>
    <s v="OK"/>
    <n v="7"/>
    <n v="512"/>
  </r>
  <r>
    <s v="ANT-0044"/>
    <d v="2023-10-22T17:24:00"/>
    <n v="97"/>
    <s v="Résolu"/>
    <x v="16"/>
    <n v="-6.5529849999999996"/>
    <n v="21.990606"/>
    <x v="3"/>
    <s v="Huawei"/>
    <s v="OK"/>
    <n v="7"/>
    <n v="512"/>
  </r>
  <r>
    <s v="ANT-0044"/>
    <d v="2023-10-18T01:39:00"/>
    <n v="66"/>
    <s v="En Cours"/>
    <x v="16"/>
    <n v="-6.5529849999999996"/>
    <n v="21.990606"/>
    <x v="3"/>
    <s v="Huawei"/>
    <s v="OK"/>
    <n v="7"/>
    <n v="512"/>
  </r>
  <r>
    <s v="ANT-0044"/>
    <d v="2023-10-17T13:07:00"/>
    <n v="78"/>
    <s v="Non Résolu"/>
    <x v="16"/>
    <n v="-6.5529849999999996"/>
    <n v="21.990606"/>
    <x v="3"/>
    <s v="Huawei"/>
    <s v="OK"/>
    <n v="7"/>
    <n v="512"/>
  </r>
  <r>
    <s v="ANT-0044"/>
    <d v="2023-10-03T03:53:00"/>
    <n v="61"/>
    <s v="Non Résolu"/>
    <x v="16"/>
    <n v="-6.5529849999999996"/>
    <n v="21.990606"/>
    <x v="3"/>
    <s v="Huawei"/>
    <s v="OK"/>
    <n v="7"/>
    <n v="512"/>
  </r>
  <r>
    <s v="ANT-0045"/>
    <d v="2023-10-27T00:05:00"/>
    <n v="8"/>
    <s v="Non Résolu"/>
    <x v="16"/>
    <n v="-0.17258100000000001"/>
    <n v="23.775555000000001"/>
    <x v="2"/>
    <s v="Nokia"/>
    <s v="OK"/>
    <n v="5"/>
    <n v="254"/>
  </r>
  <r>
    <s v="ANT-0045"/>
    <d v="2023-10-18T22:14:00"/>
    <n v="63"/>
    <s v="Résolu"/>
    <x v="16"/>
    <n v="-0.17258100000000001"/>
    <n v="23.775555000000001"/>
    <x v="2"/>
    <s v="Nokia"/>
    <s v="OK"/>
    <n v="5"/>
    <n v="254"/>
  </r>
  <r>
    <s v="ANT-0045"/>
    <d v="2023-10-14T10:43:00"/>
    <n v="47"/>
    <s v="Résolu"/>
    <x v="16"/>
    <n v="-0.17258100000000001"/>
    <n v="23.775555000000001"/>
    <x v="2"/>
    <s v="Nokia"/>
    <s v="OK"/>
    <n v="5"/>
    <n v="254"/>
  </r>
  <r>
    <s v="ANT-0045"/>
    <d v="2023-10-23T19:51:00"/>
    <n v="33"/>
    <s v="Résolu"/>
    <x v="16"/>
    <n v="-0.17258100000000001"/>
    <n v="23.775555000000001"/>
    <x v="2"/>
    <s v="Nokia"/>
    <s v="OK"/>
    <n v="5"/>
    <n v="254"/>
  </r>
  <r>
    <s v="ANT-0045"/>
    <d v="2023-10-06T11:08:00"/>
    <n v="103"/>
    <s v="Résolu"/>
    <x v="16"/>
    <n v="-0.17258100000000001"/>
    <n v="23.775555000000001"/>
    <x v="2"/>
    <s v="Nokia"/>
    <s v="OK"/>
    <n v="5"/>
    <n v="254"/>
  </r>
  <r>
    <s v="ANT-0046"/>
    <d v="2023-10-18T07:43:00"/>
    <n v="59"/>
    <s v="En Cours"/>
    <x v="2"/>
    <s v="Non trouvé"/>
    <s v="Non trouvé"/>
    <x v="1"/>
    <s v="Non trouvé"/>
    <s v="Antenne inconnue"/>
    <n v="5"/>
    <n v="374"/>
  </r>
  <r>
    <s v="ANT-0046"/>
    <d v="2023-10-22T12:25:00"/>
    <n v="115"/>
    <s v="Résolu"/>
    <x v="2"/>
    <s v="Non trouvé"/>
    <s v="Non trouvé"/>
    <x v="1"/>
    <s v="Non trouvé"/>
    <s v="Antenne inconnue"/>
    <n v="5"/>
    <n v="374"/>
  </r>
  <r>
    <s v="ANT-0046"/>
    <s v="10/10/2023 15:30"/>
    <n v="112"/>
    <s v="En Cours"/>
    <x v="2"/>
    <s v="Non trouvé"/>
    <s v="Non trouvé"/>
    <x v="1"/>
    <s v="Non trouvé"/>
    <s v="Antenne inconnue"/>
    <n v="5"/>
    <n v="374"/>
  </r>
  <r>
    <s v="ANT-0046"/>
    <d v="2023-10-03T09:20:00"/>
    <n v="27"/>
    <s v="Résolu"/>
    <x v="2"/>
    <s v="Non trouvé"/>
    <s v="Non trouvé"/>
    <x v="1"/>
    <s v="Non trouvé"/>
    <s v="Antenne inconnue"/>
    <n v="5"/>
    <n v="374"/>
  </r>
  <r>
    <s v="ANT-0046"/>
    <d v="2023-10-02T20:34:00"/>
    <n v="61"/>
    <s v="Résolu"/>
    <x v="2"/>
    <s v="Non trouvé"/>
    <s v="Non trouvé"/>
    <x v="1"/>
    <s v="Non trouvé"/>
    <s v="Antenne inconnue"/>
    <n v="5"/>
    <n v="374"/>
  </r>
  <r>
    <s v="ANT-0047"/>
    <d v="2023-10-28T11:38:00"/>
    <n v="107"/>
    <s v="Résolu"/>
    <x v="2"/>
    <s v="Non trouvé"/>
    <s v="Non trouvé"/>
    <x v="1"/>
    <s v="Non trouvé"/>
    <s v="Antenne inconnue"/>
    <n v="3"/>
    <n v="247"/>
  </r>
  <r>
    <s v="ANT-0047"/>
    <d v="2023-10-01T19:56:00"/>
    <n v="76"/>
    <s v="En Cours"/>
    <x v="2"/>
    <s v="Non trouvé"/>
    <s v="Non trouvé"/>
    <x v="1"/>
    <s v="Non trouvé"/>
    <s v="Antenne inconnue"/>
    <n v="3"/>
    <n v="247"/>
  </r>
  <r>
    <s v="ANT-0047"/>
    <d v="2023-10-21T10:52:00"/>
    <n v="64"/>
    <s v="Résolu"/>
    <x v="2"/>
    <s v="Non trouvé"/>
    <s v="Non trouvé"/>
    <x v="1"/>
    <s v="Non trouvé"/>
    <s v="Antenne inconnue"/>
    <n v="3"/>
    <n v="247"/>
  </r>
  <r>
    <s v="ANT-0048"/>
    <d v="2023-10-28T07:25:00"/>
    <n v="20"/>
    <s v="Résolu"/>
    <x v="3"/>
    <n v="-6.7420359999999997"/>
    <n v="28.905578999999999"/>
    <x v="3"/>
    <s v="Huawei"/>
    <s v="OK"/>
    <n v="9"/>
    <n v="554"/>
  </r>
  <r>
    <s v="ANT-0048"/>
    <d v="2023-10-10T07:17:00"/>
    <n v="112"/>
    <s v="En Cours"/>
    <x v="3"/>
    <n v="-6.7420359999999997"/>
    <n v="28.905578999999999"/>
    <x v="3"/>
    <s v="Huawei"/>
    <s v="OK"/>
    <n v="9"/>
    <n v="554"/>
  </r>
  <r>
    <s v="ANT-0048"/>
    <d v="2023-10-27T15:05:00"/>
    <n v="56"/>
    <s v="Non Résolu"/>
    <x v="3"/>
    <n v="-6.7420359999999997"/>
    <n v="28.905578999999999"/>
    <x v="3"/>
    <s v="Huawei"/>
    <s v="OK"/>
    <n v="9"/>
    <n v="554"/>
  </r>
  <r>
    <s v="ANT-0048"/>
    <d v="2023-10-03T08:49:00"/>
    <n v="77"/>
    <s v="Non Résolu"/>
    <x v="3"/>
    <n v="-6.7420359999999997"/>
    <n v="28.905578999999999"/>
    <x v="3"/>
    <s v="Huawei"/>
    <s v="OK"/>
    <n v="9"/>
    <n v="554"/>
  </r>
  <r>
    <s v="ANT-0048"/>
    <d v="2023-10-31T10:10:00"/>
    <n v="39"/>
    <s v="En Cours"/>
    <x v="3"/>
    <n v="-6.7420359999999997"/>
    <n v="28.905578999999999"/>
    <x v="3"/>
    <s v="Huawei"/>
    <s v="OK"/>
    <n v="9"/>
    <n v="554"/>
  </r>
  <r>
    <s v="ANT-0048"/>
    <d v="2023-10-26T19:29:00"/>
    <n v="29"/>
    <s v="Résolu"/>
    <x v="3"/>
    <n v="-6.7420359999999997"/>
    <n v="28.905578999999999"/>
    <x v="3"/>
    <s v="Huawei"/>
    <s v="OK"/>
    <n v="9"/>
    <n v="554"/>
  </r>
  <r>
    <s v="ANT-0048"/>
    <d v="2023-10-16T14:40:00"/>
    <n v="119"/>
    <s v="Résolu"/>
    <x v="3"/>
    <n v="-6.7420359999999997"/>
    <n v="28.905578999999999"/>
    <x v="3"/>
    <s v="Huawei"/>
    <s v="OK"/>
    <n v="9"/>
    <n v="554"/>
  </r>
  <r>
    <s v="ANT-0048"/>
    <d v="2023-10-25T17:53:00"/>
    <n v="20"/>
    <s v="Résolu"/>
    <x v="3"/>
    <n v="-6.7420359999999997"/>
    <n v="28.905578999999999"/>
    <x v="3"/>
    <s v="Huawei"/>
    <s v="OK"/>
    <n v="9"/>
    <n v="554"/>
  </r>
  <r>
    <s v="ANT-0048"/>
    <d v="2023-10-15T07:34:00"/>
    <n v="82"/>
    <s v="En Cours"/>
    <x v="3"/>
    <n v="-6.7420359999999997"/>
    <n v="28.905578999999999"/>
    <x v="3"/>
    <s v="Huawei"/>
    <s v="OK"/>
    <n v="9"/>
    <n v="554"/>
  </r>
  <r>
    <s v="ANT-0049"/>
    <d v="2023-10-29T17:48:00"/>
    <n v="10"/>
    <s v="En Cours"/>
    <x v="2"/>
    <s v="Non trouvé"/>
    <s v="Non trouvé"/>
    <x v="1"/>
    <s v="Non trouvé"/>
    <s v="Antenne inconnue"/>
    <n v="4"/>
    <n v="190"/>
  </r>
  <r>
    <s v="ANT-0049"/>
    <d v="2023-10-09T16:31:00"/>
    <n v="27"/>
    <s v="En Cours"/>
    <x v="2"/>
    <s v="Non trouvé"/>
    <s v="Non trouvé"/>
    <x v="1"/>
    <s v="Non trouvé"/>
    <s v="Antenne inconnue"/>
    <n v="4"/>
    <n v="190"/>
  </r>
  <r>
    <s v="ANT-0049"/>
    <d v="2023-10-23T04:34:00"/>
    <n v="35"/>
    <s v="Non Résolu"/>
    <x v="2"/>
    <s v="Non trouvé"/>
    <s v="Non trouvé"/>
    <x v="1"/>
    <s v="Non trouvé"/>
    <s v="Antenne inconnue"/>
    <n v="4"/>
    <n v="190"/>
  </r>
  <r>
    <s v="ANT-0049"/>
    <d v="2023-10-24T10:50:00"/>
    <n v="118"/>
    <s v="Non Résolu"/>
    <x v="2"/>
    <s v="Non trouvé"/>
    <s v="Non trouvé"/>
    <x v="1"/>
    <s v="Non trouvé"/>
    <s v="Antenne inconnue"/>
    <n v="4"/>
    <n v="190"/>
  </r>
  <r>
    <s v="ANT-0050"/>
    <d v="2023-10-26T03:50:00"/>
    <n v="56"/>
    <s v="Non Résolu"/>
    <x v="2"/>
    <s v="Non trouvé"/>
    <s v="Non trouvé"/>
    <x v="1"/>
    <s v="Non trouvé"/>
    <s v="Antenne inconnue"/>
    <n v="3"/>
    <n v="266"/>
  </r>
  <r>
    <s v="ANT-0050"/>
    <d v="2023-10-28T08:03:00"/>
    <n v="90"/>
    <s v="Non Résolu"/>
    <x v="2"/>
    <s v="Non trouvé"/>
    <s v="Non trouvé"/>
    <x v="1"/>
    <s v="Non trouvé"/>
    <s v="Antenne inconnue"/>
    <n v="3"/>
    <n v="266"/>
  </r>
  <r>
    <s v="ANT-0050"/>
    <d v="2023-10-12T07:47:00"/>
    <n v="120"/>
    <s v="En Cours"/>
    <x v="2"/>
    <s v="Non trouvé"/>
    <s v="Non trouvé"/>
    <x v="1"/>
    <s v="Non trouvé"/>
    <s v="Antenne inconnue"/>
    <n v="3"/>
    <n v="266"/>
  </r>
  <r>
    <s v="ANT-0051"/>
    <d v="2023-10-10T07:51:00"/>
    <n v="41"/>
    <s v="En Cours"/>
    <x v="2"/>
    <s v="Non trouvé"/>
    <s v="Non trouvé"/>
    <x v="1"/>
    <s v="Non trouvé"/>
    <s v="Antenne inconnue"/>
    <n v="4"/>
    <n v="194"/>
  </r>
  <r>
    <s v="ANT-0051"/>
    <d v="2023-10-31T11:37:00"/>
    <n v="57"/>
    <s v="Non Résolu"/>
    <x v="2"/>
    <s v="Non trouvé"/>
    <s v="Non trouvé"/>
    <x v="1"/>
    <s v="Non trouvé"/>
    <s v="Antenne inconnue"/>
    <n v="4"/>
    <n v="194"/>
  </r>
  <r>
    <s v="ANT-0051"/>
    <d v="2023-10-25T05:04:00"/>
    <n v="37"/>
    <s v="En Cours"/>
    <x v="2"/>
    <s v="Non trouvé"/>
    <s v="Non trouvé"/>
    <x v="1"/>
    <s v="Non trouvé"/>
    <s v="Antenne inconnue"/>
    <n v="4"/>
    <n v="194"/>
  </r>
  <r>
    <s v="ANT-0051"/>
    <d v="2023-10-03T09:29:00"/>
    <n v="59"/>
    <s v="Résolu"/>
    <x v="2"/>
    <s v="Non trouvé"/>
    <s v="Non trouvé"/>
    <x v="1"/>
    <s v="Non trouvé"/>
    <s v="Antenne inconnue"/>
    <n v="4"/>
    <n v="194"/>
  </r>
  <r>
    <s v="ANT-0052"/>
    <d v="2023-10-02T09:50:00"/>
    <n v="72"/>
    <s v="Résolu"/>
    <x v="2"/>
    <s v="Non trouvé"/>
    <s v="Non trouvé"/>
    <x v="1"/>
    <s v="Non trouvé"/>
    <s v="Antenne inconnue"/>
    <n v="4"/>
    <n v="189"/>
  </r>
  <r>
    <s v="ANT-0052"/>
    <d v="2023-10-19T12:52:00"/>
    <n v="29"/>
    <s v="En Cours"/>
    <x v="2"/>
    <s v="Non trouvé"/>
    <s v="Non trouvé"/>
    <x v="1"/>
    <s v="Non trouvé"/>
    <s v="Antenne inconnue"/>
    <n v="4"/>
    <n v="189"/>
  </r>
  <r>
    <s v="ANT-0052"/>
    <d v="2023-10-06T11:32:00"/>
    <n v="43"/>
    <s v="Non Résolu"/>
    <x v="2"/>
    <s v="Non trouvé"/>
    <s v="Non trouvé"/>
    <x v="1"/>
    <s v="Non trouvé"/>
    <s v="Antenne inconnue"/>
    <n v="4"/>
    <n v="189"/>
  </r>
  <r>
    <s v="ANT-0052"/>
    <d v="2023-10-02T01:02:00"/>
    <n v="45"/>
    <s v="Non Résolu"/>
    <x v="2"/>
    <s v="Non trouvé"/>
    <s v="Non trouvé"/>
    <x v="1"/>
    <s v="Non trouvé"/>
    <s v="Antenne inconnue"/>
    <n v="4"/>
    <n v="189"/>
  </r>
  <r>
    <s v="ANT-0053"/>
    <d v="2023-10-25T05:34:00"/>
    <n v="90"/>
    <s v="Non Résolu"/>
    <x v="2"/>
    <s v="Non trouvé"/>
    <s v="Non trouvé"/>
    <x v="1"/>
    <s v="Non trouvé"/>
    <s v="Antenne inconnue"/>
    <n v="9"/>
    <n v="617"/>
  </r>
  <r>
    <s v="ANT-0053"/>
    <d v="2023-10-21T16:00:00"/>
    <n v="42"/>
    <s v="Résolu"/>
    <x v="2"/>
    <s v="Non trouvé"/>
    <s v="Non trouvé"/>
    <x v="1"/>
    <s v="Non trouvé"/>
    <s v="Antenne inconnue"/>
    <n v="9"/>
    <n v="617"/>
  </r>
  <r>
    <s v="ANT-0053"/>
    <d v="2023-10-13T10:17:00"/>
    <n v="103"/>
    <s v="En Cours"/>
    <x v="2"/>
    <s v="Non trouvé"/>
    <s v="Non trouvé"/>
    <x v="1"/>
    <s v="Non trouvé"/>
    <s v="Antenne inconnue"/>
    <n v="9"/>
    <n v="617"/>
  </r>
  <r>
    <s v="ANT-0053"/>
    <d v="2023-10-22T13:20:00"/>
    <n v="21"/>
    <s v="Non Résolu"/>
    <x v="2"/>
    <s v="Non trouvé"/>
    <s v="Non trouvé"/>
    <x v="1"/>
    <s v="Non trouvé"/>
    <s v="Antenne inconnue"/>
    <n v="9"/>
    <n v="617"/>
  </r>
  <r>
    <s v="ANT-0053"/>
    <d v="2023-10-05T23:40:00"/>
    <n v="113"/>
    <s v="Non Résolu"/>
    <x v="2"/>
    <s v="Non trouvé"/>
    <s v="Non trouvé"/>
    <x v="1"/>
    <s v="Non trouvé"/>
    <s v="Antenne inconnue"/>
    <n v="9"/>
    <n v="617"/>
  </r>
  <r>
    <s v="ANT-0053"/>
    <d v="2023-10-25T20:04:00"/>
    <n v="77"/>
    <s v="Non Résolu"/>
    <x v="2"/>
    <s v="Non trouvé"/>
    <s v="Non trouvé"/>
    <x v="1"/>
    <s v="Non trouvé"/>
    <s v="Antenne inconnue"/>
    <n v="9"/>
    <n v="617"/>
  </r>
  <r>
    <s v="ANT-0053"/>
    <d v="2023-10-28T03:15:00"/>
    <n v="13"/>
    <s v="Non Résolu"/>
    <x v="2"/>
    <s v="Non trouvé"/>
    <s v="Non trouvé"/>
    <x v="1"/>
    <s v="Non trouvé"/>
    <s v="Antenne inconnue"/>
    <n v="9"/>
    <n v="617"/>
  </r>
  <r>
    <s v="ANT-0053"/>
    <d v="2023-10-15T02:43:00"/>
    <n v="47"/>
    <s v="En Cours"/>
    <x v="2"/>
    <s v="Non trouvé"/>
    <s v="Non trouvé"/>
    <x v="1"/>
    <s v="Non trouvé"/>
    <s v="Antenne inconnue"/>
    <n v="9"/>
    <n v="617"/>
  </r>
  <r>
    <s v="ANT-0053"/>
    <d v="2023-10-21T05:32:00"/>
    <n v="111"/>
    <s v="En Cours"/>
    <x v="2"/>
    <s v="Non trouvé"/>
    <s v="Non trouvé"/>
    <x v="1"/>
    <s v="Non trouvé"/>
    <s v="Antenne inconnue"/>
    <n v="9"/>
    <n v="617"/>
  </r>
  <r>
    <s v="ANT-0054"/>
    <d v="2023-10-28T13:39:00"/>
    <n v="64"/>
    <s v="Résolu"/>
    <x v="14"/>
    <n v="-1.231033"/>
    <n v="28.851388"/>
    <x v="3"/>
    <s v="Ericsson"/>
    <s v="OK"/>
    <n v="5"/>
    <n v="314"/>
  </r>
  <r>
    <s v="ANT-0054"/>
    <d v="2023-10-31T15:07:00"/>
    <n v="65"/>
    <s v="Résolu"/>
    <x v="14"/>
    <n v="-1.231033"/>
    <n v="28.851388"/>
    <x v="3"/>
    <s v="Ericsson"/>
    <s v="OK"/>
    <n v="5"/>
    <n v="314"/>
  </r>
  <r>
    <s v="ANT-0054"/>
    <d v="2023-10-16T03:06:00"/>
    <n v="93"/>
    <s v="Non Résolu"/>
    <x v="14"/>
    <n v="-1.231033"/>
    <n v="28.851388"/>
    <x v="3"/>
    <s v="Ericsson"/>
    <s v="OK"/>
    <n v="5"/>
    <n v="314"/>
  </r>
  <r>
    <s v="ANT-0054"/>
    <d v="2023-10-22T12:08:00"/>
    <n v="51"/>
    <s v="Résolu"/>
    <x v="14"/>
    <n v="-1.231033"/>
    <n v="28.851388"/>
    <x v="3"/>
    <s v="Ericsson"/>
    <s v="OK"/>
    <n v="5"/>
    <n v="314"/>
  </r>
  <r>
    <s v="ANT-0054"/>
    <d v="2023-10-24T09:37:00"/>
    <n v="41"/>
    <s v="En Cours"/>
    <x v="14"/>
    <n v="-1.231033"/>
    <n v="28.851388"/>
    <x v="3"/>
    <s v="Ericsson"/>
    <s v="OK"/>
    <n v="5"/>
    <n v="314"/>
  </r>
  <r>
    <s v="ant-0055"/>
    <d v="2023-10-14T00:11:00"/>
    <n v="83"/>
    <s v="En Cours"/>
    <x v="2"/>
    <s v="Non trouvé"/>
    <s v="Non trouvé"/>
    <x v="1"/>
    <s v="Non trouvé"/>
    <s v="Antenne inconnue"/>
    <n v="3"/>
    <n v="180"/>
  </r>
  <r>
    <s v="ANT-0055"/>
    <d v="2023-10-31T22:11:00"/>
    <n v="55"/>
    <s v="Résolu"/>
    <x v="2"/>
    <s v="Non trouvé"/>
    <s v="Non trouvé"/>
    <x v="1"/>
    <s v="Non trouvé"/>
    <s v="Antenne inconnue"/>
    <n v="3"/>
    <n v="180"/>
  </r>
  <r>
    <s v="ANT-0055"/>
    <d v="2023-10-06T19:09:00"/>
    <n v="42"/>
    <s v="En Cours"/>
    <x v="2"/>
    <s v="Non trouvé"/>
    <s v="Non trouvé"/>
    <x v="1"/>
    <s v="Non trouvé"/>
    <s v="Antenne inconnue"/>
    <n v="3"/>
    <n v="180"/>
  </r>
  <r>
    <s v="ANT-0056"/>
    <d v="2023-10-04T21:47:00"/>
    <n v="37"/>
    <s v="Résolu"/>
    <x v="1"/>
    <n v="-9.3652280000000001"/>
    <n v="18.674116000000001"/>
    <x v="0"/>
    <s v="Huawei"/>
    <s v="OK"/>
    <n v="9"/>
    <n v="384"/>
  </r>
  <r>
    <s v="ANT-0056"/>
    <d v="2023-10-22T20:23:00"/>
    <n v="21"/>
    <s v="En Cours"/>
    <x v="1"/>
    <n v="-9.3652280000000001"/>
    <n v="18.674116000000001"/>
    <x v="0"/>
    <s v="Huawei"/>
    <s v="OK"/>
    <n v="9"/>
    <n v="384"/>
  </r>
  <r>
    <s v="ANT-0056"/>
    <d v="2023-10-08T21:06:00"/>
    <n v="78"/>
    <s v="En Cours"/>
    <x v="1"/>
    <n v="-9.3652280000000001"/>
    <n v="18.674116000000001"/>
    <x v="0"/>
    <s v="Huawei"/>
    <s v="OK"/>
    <n v="9"/>
    <n v="384"/>
  </r>
  <r>
    <s v="ANT-0056"/>
    <d v="2023-10-22T21:51:00"/>
    <n v="8"/>
    <s v="Non Résolu"/>
    <x v="1"/>
    <n v="-9.3652280000000001"/>
    <n v="18.674116000000001"/>
    <x v="0"/>
    <s v="Huawei"/>
    <s v="OK"/>
    <n v="9"/>
    <n v="384"/>
  </r>
  <r>
    <s v="ANT-0056"/>
    <d v="2023-10-11T04:02:00"/>
    <n v="63"/>
    <s v="Résolu"/>
    <x v="1"/>
    <n v="-9.3652280000000001"/>
    <n v="18.674116000000001"/>
    <x v="0"/>
    <s v="Huawei"/>
    <s v="OK"/>
    <n v="9"/>
    <n v="384"/>
  </r>
  <r>
    <s v="ANT-0056"/>
    <d v="2023-10-02T19:47:00"/>
    <n v="28"/>
    <s v="Non Résolu"/>
    <x v="1"/>
    <n v="-9.3652280000000001"/>
    <n v="18.674116000000001"/>
    <x v="0"/>
    <s v="Huawei"/>
    <s v="OK"/>
    <n v="9"/>
    <n v="384"/>
  </r>
  <r>
    <s v="ANT-0056"/>
    <d v="2023-10-07T22:58:00"/>
    <n v="32"/>
    <s v="Non Résolu"/>
    <x v="1"/>
    <n v="-9.3652280000000001"/>
    <n v="18.674116000000001"/>
    <x v="0"/>
    <s v="Huawei"/>
    <s v="OK"/>
    <n v="9"/>
    <n v="384"/>
  </r>
  <r>
    <s v="ANT-0056"/>
    <d v="2023-10-25T23:36:00"/>
    <n v="107"/>
    <s v="En Cours"/>
    <x v="1"/>
    <n v="-9.3652280000000001"/>
    <n v="18.674116000000001"/>
    <x v="0"/>
    <s v="Huawei"/>
    <s v="OK"/>
    <n v="9"/>
    <n v="384"/>
  </r>
  <r>
    <s v="ANT-0056"/>
    <d v="2023-10-24T13:41:00"/>
    <n v="10"/>
    <s v="Non Résolu"/>
    <x v="1"/>
    <n v="-9.3652280000000001"/>
    <n v="18.674116000000001"/>
    <x v="0"/>
    <s v="Huawei"/>
    <s v="OK"/>
    <n v="9"/>
    <n v="384"/>
  </r>
  <r>
    <s v="ANT-0057"/>
    <d v="2023-10-02T12:46:00"/>
    <n v="72"/>
    <s v="Résolu"/>
    <x v="2"/>
    <s v="Non trouvé"/>
    <s v="Non trouvé"/>
    <x v="1"/>
    <s v="Non trouvé"/>
    <s v="Antenne inconnue"/>
    <n v="5"/>
    <n v="173"/>
  </r>
  <r>
    <s v="ANT-0057"/>
    <d v="2023-10-10T12:35:00"/>
    <n v="20"/>
    <s v="Résolu"/>
    <x v="2"/>
    <s v="Non trouvé"/>
    <s v="Non trouvé"/>
    <x v="1"/>
    <s v="Non trouvé"/>
    <s v="Antenne inconnue"/>
    <n v="5"/>
    <n v="173"/>
  </r>
  <r>
    <s v="ANT-0057"/>
    <d v="2023-10-15T07:26:00"/>
    <n v="57"/>
    <s v="Résolu"/>
    <x v="2"/>
    <s v="Non trouvé"/>
    <s v="Non trouvé"/>
    <x v="1"/>
    <s v="Non trouvé"/>
    <s v="Antenne inconnue"/>
    <n v="5"/>
    <n v="173"/>
  </r>
  <r>
    <s v="ANT-0057"/>
    <d v="2023-10-14T03:47:00"/>
    <n v="5"/>
    <s v="Résolu"/>
    <x v="2"/>
    <s v="Non trouvé"/>
    <s v="Non trouvé"/>
    <x v="1"/>
    <s v="Non trouvé"/>
    <s v="Antenne inconnue"/>
    <n v="5"/>
    <n v="173"/>
  </r>
  <r>
    <s v="ANT-0057"/>
    <d v="2023-10-27T15:44:00"/>
    <n v="19"/>
    <s v="Résolu"/>
    <x v="2"/>
    <s v="Non trouvé"/>
    <s v="Non trouvé"/>
    <x v="1"/>
    <s v="Non trouvé"/>
    <s v="Antenne inconnue"/>
    <n v="5"/>
    <n v="173"/>
  </r>
  <r>
    <s v="ANT-0058"/>
    <d v="2023-10-23T10:13:00"/>
    <n v="74"/>
    <s v="Résolu"/>
    <x v="5"/>
    <n v="-6.4670189999999996"/>
    <n v="29.487309"/>
    <x v="0"/>
    <s v="ZTE"/>
    <s v="OK"/>
    <n v="5"/>
    <n v="351"/>
  </r>
  <r>
    <s v="ANT-0058"/>
    <d v="2023-10-17T10:59:00"/>
    <n v="27"/>
    <s v="Résolu"/>
    <x v="5"/>
    <n v="-6.4670189999999996"/>
    <n v="29.487309"/>
    <x v="0"/>
    <s v="ZTE"/>
    <s v="OK"/>
    <n v="5"/>
    <n v="351"/>
  </r>
  <r>
    <s v="ANT-0058"/>
    <d v="2023-10-27T23:37:00"/>
    <n v="23"/>
    <s v="En Cours"/>
    <x v="5"/>
    <n v="-6.4670189999999996"/>
    <n v="29.487309"/>
    <x v="0"/>
    <s v="ZTE"/>
    <s v="OK"/>
    <n v="5"/>
    <n v="351"/>
  </r>
  <r>
    <s v="ANT-0058"/>
    <d v="2023-10-03T00:16:00"/>
    <n v="120"/>
    <s v="Non Résolu"/>
    <x v="5"/>
    <n v="-6.4670189999999996"/>
    <n v="29.487309"/>
    <x v="0"/>
    <s v="ZTE"/>
    <s v="OK"/>
    <n v="5"/>
    <n v="351"/>
  </r>
  <r>
    <s v="ANT-0058"/>
    <d v="2023-10-21T16:15:00"/>
    <n v="107"/>
    <s v="En Cours"/>
    <x v="5"/>
    <n v="-6.4670189999999996"/>
    <n v="29.487309"/>
    <x v="0"/>
    <s v="ZTE"/>
    <s v="OK"/>
    <n v="5"/>
    <n v="351"/>
  </r>
  <r>
    <s v="ANT-0059"/>
    <d v="2023-10-22T13:38:00"/>
    <n v="59"/>
    <s v="En Cours"/>
    <x v="13"/>
    <n v="-0.34051900000000002"/>
    <n v="17.079799000000001"/>
    <x v="2"/>
    <s v="Ericsson"/>
    <s v="OK"/>
    <n v="6"/>
    <n v="321"/>
  </r>
  <r>
    <s v="ANT-0059"/>
    <d v="2023-10-02T07:30:00"/>
    <n v="15"/>
    <s v="Résolu"/>
    <x v="13"/>
    <n v="-0.34051900000000002"/>
    <n v="17.079799000000001"/>
    <x v="2"/>
    <s v="Ericsson"/>
    <s v="OK"/>
    <n v="6"/>
    <n v="321"/>
  </r>
  <r>
    <s v="ANT-0059"/>
    <d v="2023-10-04T23:34:00"/>
    <n v="16"/>
    <s v="Résolu"/>
    <x v="13"/>
    <n v="-0.34051900000000002"/>
    <n v="17.079799000000001"/>
    <x v="2"/>
    <s v="Ericsson"/>
    <s v="OK"/>
    <n v="6"/>
    <n v="321"/>
  </r>
  <r>
    <s v="ANT-0059"/>
    <d v="2023-10-22T08:36:00"/>
    <n v="101"/>
    <s v="En Cours"/>
    <x v="13"/>
    <n v="-0.34051900000000002"/>
    <n v="17.079799000000001"/>
    <x v="2"/>
    <s v="Ericsson"/>
    <s v="OK"/>
    <n v="6"/>
    <n v="321"/>
  </r>
  <r>
    <s v="ANT-0059"/>
    <d v="2023-10-17T17:01:00"/>
    <n v="39"/>
    <s v="Résolu"/>
    <x v="13"/>
    <n v="-0.34051900000000002"/>
    <n v="17.079799000000001"/>
    <x v="2"/>
    <s v="Ericsson"/>
    <s v="OK"/>
    <n v="6"/>
    <n v="321"/>
  </r>
  <r>
    <s v="ANT-0059"/>
    <d v="2023-10-02T05:54:00"/>
    <n v="91"/>
    <s v="Non Résolu"/>
    <x v="13"/>
    <n v="-0.34051900000000002"/>
    <n v="17.079799000000001"/>
    <x v="2"/>
    <s v="Ericsson"/>
    <s v="OK"/>
    <n v="6"/>
    <n v="321"/>
  </r>
  <r>
    <s v="ANT-0060"/>
    <d v="2023-10-02T07:04:00"/>
    <n v="54"/>
    <s v="En Cours"/>
    <x v="2"/>
    <s v="Non trouvé"/>
    <s v="Non trouvé"/>
    <x v="1"/>
    <s v="Non trouvé"/>
    <s v="Antenne inconnue"/>
    <n v="5"/>
    <n v="393"/>
  </r>
  <r>
    <s v="ANT-0060"/>
    <d v="2023-10-24T23:34:00"/>
    <n v="103"/>
    <s v="Résolu"/>
    <x v="2"/>
    <s v="Non trouvé"/>
    <s v="Non trouvé"/>
    <x v="1"/>
    <s v="Non trouvé"/>
    <s v="Antenne inconnue"/>
    <n v="5"/>
    <n v="393"/>
  </r>
  <r>
    <s v="ANT-0060"/>
    <d v="2023-10-09T04:04:00"/>
    <n v="75"/>
    <s v="Non Résolu"/>
    <x v="2"/>
    <s v="Non trouvé"/>
    <s v="Non trouvé"/>
    <x v="1"/>
    <s v="Non trouvé"/>
    <s v="Antenne inconnue"/>
    <n v="5"/>
    <n v="393"/>
  </r>
  <r>
    <m/>
    <n v="45200.981944444437"/>
    <n v="43"/>
    <s v="En Cours"/>
    <x v="2"/>
    <s v="Non trouvé"/>
    <s v="Non trouvé"/>
    <x v="1"/>
    <s v="Non trouvé"/>
    <s v="Antenne inconnue"/>
    <n v="0"/>
    <n v="0"/>
  </r>
  <r>
    <s v="ANT-0060"/>
    <d v="2023-10-19T12:45:00"/>
    <n v="113"/>
    <s v="Résolu"/>
    <x v="2"/>
    <s v="Non trouvé"/>
    <s v="Non trouvé"/>
    <x v="1"/>
    <s v="Non trouvé"/>
    <s v="Antenne inconnue"/>
    <n v="5"/>
    <n v="393"/>
  </r>
  <r>
    <s v="ANT-0060"/>
    <d v="2023-10-23T10:13:00"/>
    <n v="48"/>
    <s v="Résolu"/>
    <x v="2"/>
    <s v="Non trouvé"/>
    <s v="Non trouvé"/>
    <x v="1"/>
    <s v="Non trouvé"/>
    <s v="Antenne inconnue"/>
    <n v="5"/>
    <n v="393"/>
  </r>
  <r>
    <s v="ANT-0061"/>
    <d v="2023-10-04T03:42:00"/>
    <n v="61"/>
    <s v="Résolu"/>
    <x v="2"/>
    <s v="Non trouvé"/>
    <s v="Non trouvé"/>
    <x v="1"/>
    <s v="Non trouvé"/>
    <s v="Antenne inconnue"/>
    <n v="2"/>
    <n v="155"/>
  </r>
  <r>
    <s v="ANT-0061"/>
    <d v="2023-10-18T11:43:00"/>
    <n v="94"/>
    <s v="Résolu"/>
    <x v="2"/>
    <s v="Non trouvé"/>
    <s v="Non trouvé"/>
    <x v="1"/>
    <s v="Non trouvé"/>
    <s v="Antenne inconnue"/>
    <n v="2"/>
    <n v="155"/>
  </r>
  <r>
    <s v="ANT-0062"/>
    <d v="2023-10-07T04:23:00"/>
    <n v="14"/>
    <s v="Résolu"/>
    <x v="2"/>
    <s v="Non trouvé"/>
    <s v="Non trouvé"/>
    <x v="1"/>
    <s v="Non trouvé"/>
    <s v="Antenne inconnue"/>
    <n v="8"/>
    <n v="449"/>
  </r>
  <r>
    <s v="ANT-0062"/>
    <d v="2023-10-22T18:36:00"/>
    <n v="62"/>
    <s v="Résolu"/>
    <x v="2"/>
    <s v="Non trouvé"/>
    <s v="Non trouvé"/>
    <x v="1"/>
    <s v="Non trouvé"/>
    <s v="Antenne inconnue"/>
    <n v="8"/>
    <n v="449"/>
  </r>
  <r>
    <s v="ANT-0062"/>
    <d v="2023-10-09T11:41:00"/>
    <n v="110"/>
    <s v="En Cours"/>
    <x v="2"/>
    <s v="Non trouvé"/>
    <s v="Non trouvé"/>
    <x v="1"/>
    <s v="Non trouvé"/>
    <s v="Antenne inconnue"/>
    <n v="8"/>
    <n v="449"/>
  </r>
  <r>
    <s v="ANT-0062"/>
    <d v="2023-10-10T21:38:00"/>
    <n v="49"/>
    <s v="En Cours"/>
    <x v="2"/>
    <s v="Non trouvé"/>
    <s v="Non trouvé"/>
    <x v="1"/>
    <s v="Non trouvé"/>
    <s v="Antenne inconnue"/>
    <n v="8"/>
    <n v="449"/>
  </r>
  <r>
    <s v="ANT-0062"/>
    <d v="2023-10-15T14:19:00"/>
    <n v="98"/>
    <s v="Non Résolu"/>
    <x v="2"/>
    <s v="Non trouvé"/>
    <s v="Non trouvé"/>
    <x v="1"/>
    <s v="Non trouvé"/>
    <s v="Antenne inconnue"/>
    <n v="8"/>
    <n v="449"/>
  </r>
  <r>
    <s v="ANT-0062"/>
    <d v="2023-10-28T11:06:00"/>
    <n v="20"/>
    <s v="En Cours"/>
    <x v="2"/>
    <s v="Non trouvé"/>
    <s v="Non trouvé"/>
    <x v="1"/>
    <s v="Non trouvé"/>
    <s v="Antenne inconnue"/>
    <n v="8"/>
    <n v="449"/>
  </r>
  <r>
    <s v="ANT-0062"/>
    <d v="2023-10-22T12:08:00"/>
    <n v="12"/>
    <s v="En Cours"/>
    <x v="2"/>
    <s v="Non trouvé"/>
    <s v="Non trouvé"/>
    <x v="1"/>
    <s v="Non trouvé"/>
    <s v="Antenne inconnue"/>
    <n v="8"/>
    <n v="449"/>
  </r>
  <r>
    <s v="ANT-0062"/>
    <d v="2023-10-22T23:11:00"/>
    <n v="84"/>
    <s v="En Cours"/>
    <x v="2"/>
    <s v="Non trouvé"/>
    <s v="Non trouvé"/>
    <x v="1"/>
    <s v="Non trouvé"/>
    <s v="Antenne inconnue"/>
    <n v="8"/>
    <n v="449"/>
  </r>
  <r>
    <s v="ANT-0063"/>
    <d v="2023-10-05T04:42:00"/>
    <n v="23"/>
    <s v="En Cours"/>
    <x v="2"/>
    <s v="Non trouvé"/>
    <s v="Non trouvé"/>
    <x v="1"/>
    <s v="Non trouvé"/>
    <s v="Antenne inconnue"/>
    <n v="9"/>
    <n v="631"/>
  </r>
  <r>
    <s v="ANT-0063"/>
    <d v="2023-10-27T17:45:00"/>
    <n v="75"/>
    <s v="Résolu"/>
    <x v="2"/>
    <s v="Non trouvé"/>
    <s v="Non trouvé"/>
    <x v="1"/>
    <s v="Non trouvé"/>
    <s v="Antenne inconnue"/>
    <n v="9"/>
    <n v="631"/>
  </r>
  <r>
    <s v="ANT-0063"/>
    <d v="2023-10-16T07:12:00"/>
    <n v="97"/>
    <s v="Résolu"/>
    <x v="2"/>
    <s v="Non trouvé"/>
    <s v="Non trouvé"/>
    <x v="1"/>
    <s v="Non trouvé"/>
    <s v="Antenne inconnue"/>
    <n v="9"/>
    <n v="631"/>
  </r>
  <r>
    <s v="ANT-0063"/>
    <d v="2023-10-07T22:44:00"/>
    <n v="86"/>
    <s v="En Cours"/>
    <x v="2"/>
    <s v="Non trouvé"/>
    <s v="Non trouvé"/>
    <x v="1"/>
    <s v="Non trouvé"/>
    <s v="Antenne inconnue"/>
    <n v="9"/>
    <n v="631"/>
  </r>
  <r>
    <s v="ANT-0063"/>
    <d v="2023-10-30T17:49:00"/>
    <n v="62"/>
    <s v="En Cours"/>
    <x v="2"/>
    <s v="Non trouvé"/>
    <s v="Non trouvé"/>
    <x v="1"/>
    <s v="Non trouvé"/>
    <s v="Antenne inconnue"/>
    <n v="9"/>
    <n v="631"/>
  </r>
  <r>
    <s v="ANT-0063"/>
    <d v="2023-10-09T10:39:00"/>
    <n v="79"/>
    <s v="Résolu"/>
    <x v="2"/>
    <s v="Non trouvé"/>
    <s v="Non trouvé"/>
    <x v="1"/>
    <s v="Non trouvé"/>
    <s v="Antenne inconnue"/>
    <n v="9"/>
    <n v="631"/>
  </r>
  <r>
    <s v="ANT-0063"/>
    <d v="2023-10-31T02:09:00"/>
    <n v="97"/>
    <s v="Non Résolu"/>
    <x v="2"/>
    <s v="Non trouvé"/>
    <s v="Non trouvé"/>
    <x v="1"/>
    <s v="Non trouvé"/>
    <s v="Antenne inconnue"/>
    <n v="9"/>
    <n v="631"/>
  </r>
  <r>
    <s v="ANT-0063"/>
    <d v="2023-10-16T23:27:00"/>
    <n v="47"/>
    <s v="En Cours"/>
    <x v="2"/>
    <s v="Non trouvé"/>
    <s v="Non trouvé"/>
    <x v="1"/>
    <s v="Non trouvé"/>
    <s v="Antenne inconnue"/>
    <n v="9"/>
    <n v="631"/>
  </r>
  <r>
    <s v="ANT-0063"/>
    <d v="2023-10-04T23:00:00"/>
    <n v="65"/>
    <s v="En Cours"/>
    <x v="2"/>
    <s v="Non trouvé"/>
    <s v="Non trouvé"/>
    <x v="1"/>
    <s v="Non trouvé"/>
    <s v="Antenne inconnue"/>
    <n v="9"/>
    <n v="631"/>
  </r>
  <r>
    <s v="ANT-0064"/>
    <d v="2023-10-03T12:24:00"/>
    <n v="26"/>
    <s v="En Cours"/>
    <x v="2"/>
    <s v="Non trouvé"/>
    <s v="Non trouvé"/>
    <x v="1"/>
    <s v="Non trouvé"/>
    <s v="Antenne inconnue"/>
    <n v="7"/>
    <n v="361"/>
  </r>
  <r>
    <s v="ANT-0064"/>
    <d v="2023-10-25T12:55:00"/>
    <n v="65"/>
    <s v="En Cours"/>
    <x v="2"/>
    <s v="Non trouvé"/>
    <s v="Non trouvé"/>
    <x v="1"/>
    <s v="Non trouvé"/>
    <s v="Antenne inconnue"/>
    <n v="7"/>
    <n v="361"/>
  </r>
  <r>
    <s v="ANT-0064"/>
    <d v="2023-10-08T14:40:00"/>
    <n v="29"/>
    <s v="Non Résolu"/>
    <x v="2"/>
    <s v="Non trouvé"/>
    <s v="Non trouvé"/>
    <x v="1"/>
    <s v="Non trouvé"/>
    <s v="Antenne inconnue"/>
    <n v="7"/>
    <n v="361"/>
  </r>
  <r>
    <s v="ANT-0064"/>
    <d v="2023-10-04T14:32:00"/>
    <n v="39"/>
    <s v="Résolu"/>
    <x v="2"/>
    <s v="Non trouvé"/>
    <s v="Non trouvé"/>
    <x v="1"/>
    <s v="Non trouvé"/>
    <s v="Antenne inconnue"/>
    <n v="7"/>
    <n v="361"/>
  </r>
  <r>
    <s v="ANT-0064"/>
    <d v="2023-10-23T14:02:00"/>
    <n v="108"/>
    <s v="Résolu"/>
    <x v="2"/>
    <s v="Non trouvé"/>
    <s v="Non trouvé"/>
    <x v="1"/>
    <s v="Non trouvé"/>
    <s v="Antenne inconnue"/>
    <n v="7"/>
    <n v="361"/>
  </r>
  <r>
    <s v="ANT-0064"/>
    <d v="2023-10-12T03:32:00"/>
    <n v="89"/>
    <s v="Non Résolu"/>
    <x v="2"/>
    <s v="Non trouvé"/>
    <s v="Non trouvé"/>
    <x v="1"/>
    <s v="Non trouvé"/>
    <s v="Antenne inconnue"/>
    <n v="7"/>
    <n v="361"/>
  </r>
  <r>
    <s v="ANT-0064"/>
    <d v="2023-10-10T04:11:00"/>
    <n v="5"/>
    <s v="Résolu"/>
    <x v="2"/>
    <s v="Non trouvé"/>
    <s v="Non trouvé"/>
    <x v="1"/>
    <s v="Non trouvé"/>
    <s v="Antenne inconnue"/>
    <n v="7"/>
    <n v="361"/>
  </r>
  <r>
    <s v="ANT-0065"/>
    <d v="2023-10-12T02:32:00"/>
    <n v="52"/>
    <s v="En Cours"/>
    <x v="5"/>
    <n v="1.499457"/>
    <n v="13.876317999999999"/>
    <x v="2"/>
    <s v="Nokia"/>
    <s v="OK"/>
    <n v="3"/>
    <n v="149"/>
  </r>
  <r>
    <s v="ANT-0065"/>
    <d v="2023-10-30T18:09:00"/>
    <n v="19"/>
    <s v="Non Résolu"/>
    <x v="5"/>
    <n v="1.499457"/>
    <n v="13.876317999999999"/>
    <x v="2"/>
    <s v="Nokia"/>
    <s v="OK"/>
    <n v="3"/>
    <n v="149"/>
  </r>
  <r>
    <s v="ANT-0065"/>
    <d v="2023-10-22T11:34:00"/>
    <n v="78"/>
    <s v="En Cours"/>
    <x v="5"/>
    <n v="1.499457"/>
    <n v="13.876317999999999"/>
    <x v="2"/>
    <s v="Nokia"/>
    <s v="OK"/>
    <n v="3"/>
    <n v="149"/>
  </r>
  <r>
    <s v="ANT-0066"/>
    <d v="2023-10-21T03:01:00"/>
    <n v="109"/>
    <s v="En Cours"/>
    <x v="17"/>
    <n v="1.7832440000000001"/>
    <n v="25.477405999999998"/>
    <x v="2"/>
    <s v="Huawei"/>
    <s v="OK"/>
    <n v="4"/>
    <n v="272"/>
  </r>
  <r>
    <s v="ANT-0066"/>
    <d v="2023-10-10T19:51:00"/>
    <n v="74"/>
    <s v="En Cours"/>
    <x v="17"/>
    <n v="1.7832440000000001"/>
    <n v="25.477405999999998"/>
    <x v="2"/>
    <s v="Huawei"/>
    <s v="OK"/>
    <n v="4"/>
    <n v="272"/>
  </r>
  <r>
    <s v="ANT-0066"/>
    <d v="2023-10-26T22:33:00"/>
    <n v="83"/>
    <s v="Résolu"/>
    <x v="17"/>
    <n v="1.7832440000000001"/>
    <n v="25.477405999999998"/>
    <x v="2"/>
    <s v="Huawei"/>
    <s v="OK"/>
    <n v="4"/>
    <n v="272"/>
  </r>
  <r>
    <s v="ANT-0066"/>
    <d v="2023-10-12T01:32:00"/>
    <n v="6"/>
    <s v="En Cours"/>
    <x v="17"/>
    <n v="1.7832440000000001"/>
    <n v="25.477405999999998"/>
    <x v="2"/>
    <s v="Huawei"/>
    <s v="OK"/>
    <n v="4"/>
    <n v="272"/>
  </r>
  <r>
    <s v="ANT-0067"/>
    <d v="2023-10-09T01:45:00"/>
    <n v="49"/>
    <s v="Non Résolu"/>
    <x v="2"/>
    <s v="Non trouvé"/>
    <s v="Non trouvé"/>
    <x v="1"/>
    <s v="Non trouvé"/>
    <s v="Antenne inconnue"/>
    <n v="3"/>
    <n v="92"/>
  </r>
  <r>
    <s v="ANT-0067"/>
    <d v="2023-10-21T10:29:00"/>
    <n v="26"/>
    <s v="Résolu"/>
    <x v="2"/>
    <s v="Non trouvé"/>
    <s v="Non trouvé"/>
    <x v="1"/>
    <s v="Non trouvé"/>
    <s v="Antenne inconnue"/>
    <n v="3"/>
    <n v="92"/>
  </r>
  <r>
    <s v="ANT-0067"/>
    <d v="2023-10-28T06:27:00"/>
    <n v="17"/>
    <s v="En Cours"/>
    <x v="2"/>
    <s v="Non trouvé"/>
    <s v="Non trouvé"/>
    <x v="1"/>
    <s v="Non trouvé"/>
    <s v="Antenne inconnue"/>
    <n v="3"/>
    <n v="92"/>
  </r>
  <r>
    <s v="ANT-0068"/>
    <d v="2023-10-21T02:39:00"/>
    <n v="16"/>
    <s v="Non Résolu"/>
    <x v="2"/>
    <s v="Non trouvé"/>
    <s v="Non trouvé"/>
    <x v="1"/>
    <s v="Non trouvé"/>
    <s v="Antenne inconnue"/>
    <n v="3"/>
    <n v="151"/>
  </r>
  <r>
    <s v="ANT-0068"/>
    <d v="2023-10-10T16:25:00"/>
    <n v="55"/>
    <s v="En Cours"/>
    <x v="2"/>
    <s v="Non trouvé"/>
    <s v="Non trouvé"/>
    <x v="1"/>
    <s v="Non trouvé"/>
    <s v="Antenne inconnue"/>
    <n v="3"/>
    <n v="151"/>
  </r>
  <r>
    <s v="ANT-0068"/>
    <d v="2023-10-22T11:34:00"/>
    <n v="80"/>
    <s v="En Cours"/>
    <x v="2"/>
    <s v="Non trouvé"/>
    <s v="Non trouvé"/>
    <x v="1"/>
    <s v="Non trouvé"/>
    <s v="Antenne inconnue"/>
    <n v="3"/>
    <n v="151"/>
  </r>
  <r>
    <s v="ANT-0069"/>
    <d v="2023-10-21T13:53:00"/>
    <n v="51"/>
    <s v="En Cours"/>
    <x v="2"/>
    <s v="Non trouvé"/>
    <s v="Non trouvé"/>
    <x v="1"/>
    <s v="Non trouvé"/>
    <s v="Antenne inconnue"/>
    <n v="8"/>
    <n v="640"/>
  </r>
  <r>
    <s v="ANT-0069"/>
    <d v="2023-10-28T13:52:00"/>
    <n v="76"/>
    <s v="En Cours"/>
    <x v="2"/>
    <s v="Non trouvé"/>
    <s v="Non trouvé"/>
    <x v="1"/>
    <s v="Non trouvé"/>
    <s v="Antenne inconnue"/>
    <n v="8"/>
    <n v="640"/>
  </r>
  <r>
    <s v="ANT-0069"/>
    <d v="2023-10-17T11:39:00"/>
    <n v="82"/>
    <s v="Résolu"/>
    <x v="2"/>
    <s v="Non trouvé"/>
    <s v="Non trouvé"/>
    <x v="1"/>
    <s v="Non trouvé"/>
    <s v="Antenne inconnue"/>
    <n v="8"/>
    <n v="640"/>
  </r>
  <r>
    <s v="ANT-0069"/>
    <d v="2023-10-22T09:14:00"/>
    <n v="72"/>
    <s v="Résolu"/>
    <x v="2"/>
    <s v="Non trouvé"/>
    <s v="Non trouvé"/>
    <x v="1"/>
    <s v="Non trouvé"/>
    <s v="Antenne inconnue"/>
    <n v="8"/>
    <n v="640"/>
  </r>
  <r>
    <s v="ANT-0069"/>
    <d v="2023-10-04T20:45:00"/>
    <n v="97"/>
    <s v="En Cours"/>
    <x v="2"/>
    <s v="Non trouvé"/>
    <s v="Non trouvé"/>
    <x v="1"/>
    <s v="Non trouvé"/>
    <s v="Antenne inconnue"/>
    <n v="8"/>
    <n v="640"/>
  </r>
  <r>
    <s v="ANT-0069"/>
    <d v="2023-10-22T02:33:00"/>
    <n v="67"/>
    <s v="En Cours"/>
    <x v="2"/>
    <s v="Non trouvé"/>
    <s v="Non trouvé"/>
    <x v="1"/>
    <s v="Non trouvé"/>
    <s v="Antenne inconnue"/>
    <n v="8"/>
    <n v="640"/>
  </r>
  <r>
    <s v="ANT-0069"/>
    <d v="2023-10-21T06:18:00"/>
    <n v="96"/>
    <s v="Résolu"/>
    <x v="2"/>
    <s v="Non trouvé"/>
    <s v="Non trouvé"/>
    <x v="1"/>
    <s v="Non trouvé"/>
    <s v="Antenne inconnue"/>
    <n v="8"/>
    <n v="640"/>
  </r>
  <r>
    <s v="ANT-0069"/>
    <d v="2023-10-13T21:07:00"/>
    <n v="99"/>
    <s v="Résolu"/>
    <x v="2"/>
    <s v="Non trouvé"/>
    <s v="Non trouvé"/>
    <x v="1"/>
    <s v="Non trouvé"/>
    <s v="Antenne inconnue"/>
    <n v="8"/>
    <n v="640"/>
  </r>
  <r>
    <s v="ANT-0070"/>
    <d v="2023-10-10T03:53:00"/>
    <n v="32"/>
    <s v="En Cours"/>
    <x v="9"/>
    <n v="-10.764815"/>
    <n v="14.602039"/>
    <x v="0"/>
    <s v="Nokia"/>
    <s v="OK"/>
    <n v="4"/>
    <n v="177"/>
  </r>
  <r>
    <s v="ANT-0070"/>
    <d v="2023-10-31T21:53:00"/>
    <n v="48"/>
    <s v="Résolu"/>
    <x v="9"/>
    <n v="-10.764815"/>
    <n v="14.602039"/>
    <x v="0"/>
    <s v="Nokia"/>
    <s v="OK"/>
    <n v="4"/>
    <n v="177"/>
  </r>
  <r>
    <s v="ANT-0070"/>
    <d v="2023-10-08T14:35:00"/>
    <n v="70"/>
    <s v="Non Résolu"/>
    <x v="9"/>
    <n v="-10.764815"/>
    <n v="14.602039"/>
    <x v="0"/>
    <s v="Nokia"/>
    <s v="OK"/>
    <n v="4"/>
    <n v="177"/>
  </r>
  <r>
    <s v="ANT-0070"/>
    <d v="2023-10-08T16:50:00"/>
    <n v="27"/>
    <s v="En Cours"/>
    <x v="9"/>
    <n v="-10.764815"/>
    <n v="14.602039"/>
    <x v="0"/>
    <s v="Nokia"/>
    <s v="OK"/>
    <n v="4"/>
    <n v="177"/>
  </r>
  <r>
    <s v="ANT-0071"/>
    <d v="2023-10-24T03:43:00"/>
    <n v="62"/>
    <s v="Résolu"/>
    <x v="13"/>
    <n v="-12.595355"/>
    <n v="17.897442000000002"/>
    <x v="0"/>
    <s v="Huawei"/>
    <s v="OK"/>
    <n v="6"/>
    <n v="416"/>
  </r>
  <r>
    <s v="ANT-0071"/>
    <d v="2023-10-15T04:27:00"/>
    <n v="45"/>
    <s v="Non Résolu"/>
    <x v="13"/>
    <n v="-12.595355"/>
    <n v="17.897442000000002"/>
    <x v="0"/>
    <s v="Huawei"/>
    <s v="OK"/>
    <n v="6"/>
    <n v="416"/>
  </r>
  <r>
    <s v="ANT-0071"/>
    <d v="2023-10-16T21:07:00"/>
    <n v="58"/>
    <s v="Non Résolu"/>
    <x v="13"/>
    <n v="-12.595355"/>
    <n v="17.897442000000002"/>
    <x v="0"/>
    <s v="Huawei"/>
    <s v="OK"/>
    <n v="6"/>
    <n v="416"/>
  </r>
  <r>
    <s v="ANT-0071"/>
    <d v="2023-10-05T07:33:00"/>
    <n v="110"/>
    <s v="Résolu"/>
    <x v="13"/>
    <n v="-12.595355"/>
    <n v="17.897442000000002"/>
    <x v="0"/>
    <s v="Huawei"/>
    <s v="OK"/>
    <n v="6"/>
    <n v="416"/>
  </r>
  <r>
    <s v="ANT-0071"/>
    <d v="2023-10-20T00:57:00"/>
    <n v="75"/>
    <s v="En Cours"/>
    <x v="13"/>
    <n v="-12.595355"/>
    <n v="17.897442000000002"/>
    <x v="0"/>
    <s v="Huawei"/>
    <s v="OK"/>
    <n v="6"/>
    <n v="416"/>
  </r>
  <r>
    <s v="ANT-0071"/>
    <d v="2023-10-10T13:24:00"/>
    <n v="66"/>
    <s v="Non Résolu"/>
    <x v="13"/>
    <n v="-12.595355"/>
    <n v="17.897442000000002"/>
    <x v="0"/>
    <s v="Huawei"/>
    <s v="OK"/>
    <n v="6"/>
    <n v="416"/>
  </r>
  <r>
    <s v="ANT-0072"/>
    <d v="2023-10-05T08:02:00"/>
    <n v="11"/>
    <s v="Résolu"/>
    <x v="2"/>
    <s v="Non trouvé"/>
    <s v="Non trouvé"/>
    <x v="1"/>
    <s v="Non trouvé"/>
    <s v="Antenne inconnue"/>
    <n v="3"/>
    <n v="209"/>
  </r>
  <r>
    <s v="ANT-0072"/>
    <d v="2023-10-13T17:23:00"/>
    <n v="107"/>
    <s v="Résolu"/>
    <x v="2"/>
    <s v="Non trouvé"/>
    <s v="Non trouvé"/>
    <x v="1"/>
    <s v="Non trouvé"/>
    <s v="Antenne inconnue"/>
    <n v="3"/>
    <n v="209"/>
  </r>
  <r>
    <s v="ANT-0072"/>
    <d v="2023-10-06T20:31:00"/>
    <n v="91"/>
    <s v="En Cours"/>
    <x v="2"/>
    <s v="Non trouvé"/>
    <s v="Non trouvé"/>
    <x v="1"/>
    <s v="Non trouvé"/>
    <s v="Antenne inconnue"/>
    <n v="3"/>
    <n v="209"/>
  </r>
  <r>
    <s v="ANT-0073"/>
    <d v="2023-10-29T08:11:00"/>
    <n v="45"/>
    <s v="En Cours"/>
    <x v="2"/>
    <s v="Non trouvé"/>
    <s v="Non trouvé"/>
    <x v="1"/>
    <s v="Non trouvé"/>
    <s v="Antenne inconnue"/>
    <n v="2"/>
    <n v="151"/>
  </r>
  <r>
    <s v="ANT-0073"/>
    <d v="2023-10-22T14:00:00"/>
    <n v="106"/>
    <s v="En Cours"/>
    <x v="2"/>
    <s v="Non trouvé"/>
    <s v="Non trouvé"/>
    <x v="1"/>
    <s v="Non trouvé"/>
    <s v="Antenne inconnue"/>
    <n v="2"/>
    <n v="151"/>
  </r>
  <r>
    <s v="ANT-0074"/>
    <d v="2023-10-11T03:05:00"/>
    <n v="39"/>
    <s v="Résolu"/>
    <x v="2"/>
    <s v="Non trouvé"/>
    <s v="Non trouvé"/>
    <x v="1"/>
    <s v="Non trouvé"/>
    <s v="Antenne inconnue"/>
    <n v="4"/>
    <n v="196"/>
  </r>
  <r>
    <s v="ANT-0074"/>
    <d v="2023-10-23T08:49:00"/>
    <n v="64"/>
    <s v="Non Résolu"/>
    <x v="2"/>
    <s v="Non trouvé"/>
    <s v="Non trouvé"/>
    <x v="1"/>
    <s v="Non trouvé"/>
    <s v="Antenne inconnue"/>
    <n v="4"/>
    <n v="196"/>
  </r>
  <r>
    <s v="ANT-0074"/>
    <d v="2023-10-08T14:39:00"/>
    <n v="63"/>
    <s v="En Cours"/>
    <x v="2"/>
    <s v="Non trouvé"/>
    <s v="Non trouvé"/>
    <x v="1"/>
    <s v="Non trouvé"/>
    <s v="Antenne inconnue"/>
    <n v="4"/>
    <n v="196"/>
  </r>
  <r>
    <s v="ANT-0074"/>
    <d v="2023-10-31T23:38:00"/>
    <n v="30"/>
    <s v="En Cours"/>
    <x v="2"/>
    <s v="Non trouvé"/>
    <s v="Non trouvé"/>
    <x v="1"/>
    <s v="Non trouvé"/>
    <s v="Antenne inconnue"/>
    <n v="4"/>
    <n v="196"/>
  </r>
  <r>
    <s v="ANT-0075"/>
    <d v="2023-10-03T22:40:00"/>
    <n v="51"/>
    <s v="En Cours"/>
    <x v="15"/>
    <n v="-8.0800809999999998"/>
    <n v="30.147970999999998"/>
    <x v="2"/>
    <s v="Huawei"/>
    <s v="OK"/>
    <n v="7"/>
    <n v="334"/>
  </r>
  <r>
    <s v="ant-0075"/>
    <d v="2023-10-17T18:21:00"/>
    <n v="8"/>
    <s v="En Cours"/>
    <x v="15"/>
    <n v="-8.0800809999999998"/>
    <n v="30.147970999999998"/>
    <x v="2"/>
    <s v="Huawei"/>
    <s v="OK"/>
    <n v="7"/>
    <n v="334"/>
  </r>
  <r>
    <s v="ANT-0075"/>
    <d v="2023-10-18T11:33:00"/>
    <n v="48"/>
    <s v="En Cours"/>
    <x v="15"/>
    <n v="-8.0800809999999998"/>
    <n v="30.147970999999998"/>
    <x v="2"/>
    <s v="Huawei"/>
    <s v="OK"/>
    <n v="7"/>
    <n v="334"/>
  </r>
  <r>
    <s v="ANT-0075"/>
    <d v="2023-10-13T14:23:00"/>
    <n v="67"/>
    <s v="En Cours"/>
    <x v="15"/>
    <n v="-8.0800809999999998"/>
    <n v="30.147970999999998"/>
    <x v="2"/>
    <s v="Huawei"/>
    <s v="OK"/>
    <n v="7"/>
    <n v="334"/>
  </r>
  <r>
    <s v="ANT-0075"/>
    <d v="2023-10-27T04:48:00"/>
    <n v="12"/>
    <s v="Non Résolu"/>
    <x v="15"/>
    <n v="-8.0800809999999998"/>
    <n v="30.147970999999998"/>
    <x v="2"/>
    <s v="Huawei"/>
    <s v="OK"/>
    <n v="7"/>
    <n v="334"/>
  </r>
  <r>
    <s v="ANT-0075"/>
    <d v="2023-10-26T05:18:00"/>
    <n v="104"/>
    <s v="Non Résolu"/>
    <x v="15"/>
    <n v="-8.0800809999999998"/>
    <n v="30.147970999999998"/>
    <x v="2"/>
    <s v="Huawei"/>
    <s v="OK"/>
    <n v="7"/>
    <n v="334"/>
  </r>
  <r>
    <s v="ANT-0075"/>
    <d v="2023-10-09T13:24:00"/>
    <n v="44"/>
    <s v="En Cours"/>
    <x v="15"/>
    <n v="-8.0800809999999998"/>
    <n v="30.147970999999998"/>
    <x v="2"/>
    <s v="Huawei"/>
    <s v="OK"/>
    <n v="7"/>
    <n v="334"/>
  </r>
  <r>
    <s v="ANT-0076"/>
    <d v="2023-10-20T10:05:00"/>
    <n v="71"/>
    <s v="Non Résolu"/>
    <x v="2"/>
    <s v="Non trouvé"/>
    <s v="Non trouvé"/>
    <x v="1"/>
    <s v="Non trouvé"/>
    <s v="Antenne inconnue"/>
    <n v="4"/>
    <n v="278"/>
  </r>
  <r>
    <s v="ANT-0076"/>
    <d v="2023-10-09T10:07:00"/>
    <n v="107"/>
    <s v="Non Résolu"/>
    <x v="2"/>
    <s v="Non trouvé"/>
    <s v="Non trouvé"/>
    <x v="1"/>
    <s v="Non trouvé"/>
    <s v="Antenne inconnue"/>
    <n v="4"/>
    <n v="278"/>
  </r>
  <r>
    <s v="ANT-0076"/>
    <d v="2023-10-08T13:54:00"/>
    <n v="87"/>
    <s v="En Cours"/>
    <x v="2"/>
    <s v="Non trouvé"/>
    <s v="Non trouvé"/>
    <x v="1"/>
    <s v="Non trouvé"/>
    <s v="Antenne inconnue"/>
    <n v="4"/>
    <n v="278"/>
  </r>
  <r>
    <s v="ANT-0076"/>
    <d v="2023-10-05T13:41:00"/>
    <n v="13"/>
    <s v="En Cours"/>
    <x v="2"/>
    <s v="Non trouvé"/>
    <s v="Non trouvé"/>
    <x v="1"/>
    <s v="Non trouvé"/>
    <s v="Antenne inconnue"/>
    <n v="4"/>
    <n v="278"/>
  </r>
  <r>
    <s v="ANT-0077"/>
    <d v="2023-10-08T23:35:00"/>
    <n v="15"/>
    <s v="Non Résolu"/>
    <x v="2"/>
    <s v="Non trouvé"/>
    <s v="Non trouvé"/>
    <x v="1"/>
    <s v="Non trouvé"/>
    <s v="Antenne inconnue"/>
    <n v="13"/>
    <n v="731"/>
  </r>
  <r>
    <s v="ANT-0077"/>
    <d v="2023-10-07T06:34:00"/>
    <n v="55"/>
    <s v="Résolu"/>
    <x v="2"/>
    <s v="Non trouvé"/>
    <s v="Non trouvé"/>
    <x v="1"/>
    <s v="Non trouvé"/>
    <s v="Antenne inconnue"/>
    <n v="13"/>
    <n v="731"/>
  </r>
  <r>
    <s v="ANT-0077"/>
    <d v="2023-10-28T05:04:00"/>
    <n v="67"/>
    <s v="Résolu"/>
    <x v="2"/>
    <s v="Non trouvé"/>
    <s v="Non trouvé"/>
    <x v="1"/>
    <s v="Non trouvé"/>
    <s v="Antenne inconnue"/>
    <n v="13"/>
    <n v="731"/>
  </r>
  <r>
    <s v="ANT-0077"/>
    <d v="2023-10-09T06:42:00"/>
    <n v="120"/>
    <s v="Non Résolu"/>
    <x v="2"/>
    <s v="Non trouvé"/>
    <s v="Non trouvé"/>
    <x v="1"/>
    <s v="Non trouvé"/>
    <s v="Antenne inconnue"/>
    <n v="13"/>
    <n v="731"/>
  </r>
  <r>
    <s v="ANT-0077"/>
    <d v="2023-10-09T10:54:00"/>
    <n v="17"/>
    <s v="Non Résolu"/>
    <x v="2"/>
    <s v="Non trouvé"/>
    <s v="Non trouvé"/>
    <x v="1"/>
    <s v="Non trouvé"/>
    <s v="Antenne inconnue"/>
    <n v="13"/>
    <n v="731"/>
  </r>
  <r>
    <s v="ANT-0077"/>
    <d v="2023-10-25T13:38:00"/>
    <n v="22"/>
    <s v="En Cours"/>
    <x v="2"/>
    <s v="Non trouvé"/>
    <s v="Non trouvé"/>
    <x v="1"/>
    <s v="Non trouvé"/>
    <s v="Antenne inconnue"/>
    <n v="13"/>
    <n v="731"/>
  </r>
  <r>
    <s v="ANT-0077"/>
    <d v="2023-10-26T05:10:00"/>
    <n v="36"/>
    <s v="Résolu"/>
    <x v="2"/>
    <s v="Non trouvé"/>
    <s v="Non trouvé"/>
    <x v="1"/>
    <s v="Non trouvé"/>
    <s v="Antenne inconnue"/>
    <n v="13"/>
    <n v="731"/>
  </r>
  <r>
    <s v="ANT-0077"/>
    <d v="2023-10-09T21:48:00"/>
    <n v="76"/>
    <s v="Résolu"/>
    <x v="2"/>
    <s v="Non trouvé"/>
    <s v="Non trouvé"/>
    <x v="1"/>
    <s v="Non trouvé"/>
    <s v="Antenne inconnue"/>
    <n v="13"/>
    <n v="731"/>
  </r>
  <r>
    <s v="ANT-0077"/>
    <d v="2023-10-14T08:13:00"/>
    <n v="28"/>
    <s v="Résolu"/>
    <x v="2"/>
    <s v="Non trouvé"/>
    <s v="Non trouvé"/>
    <x v="1"/>
    <s v="Non trouvé"/>
    <s v="Antenne inconnue"/>
    <n v="13"/>
    <n v="731"/>
  </r>
  <r>
    <s v="ANT-0077"/>
    <d v="2023-10-03T10:06:00"/>
    <n v="97"/>
    <s v="Résolu"/>
    <x v="2"/>
    <s v="Non trouvé"/>
    <s v="Non trouvé"/>
    <x v="1"/>
    <s v="Non trouvé"/>
    <s v="Antenne inconnue"/>
    <n v="13"/>
    <n v="731"/>
  </r>
  <r>
    <s v="ANT-0077"/>
    <d v="2023-10-10T06:02:00"/>
    <n v="44"/>
    <s v="Résolu"/>
    <x v="2"/>
    <s v="Non trouvé"/>
    <s v="Non trouvé"/>
    <x v="1"/>
    <s v="Non trouvé"/>
    <s v="Antenne inconnue"/>
    <n v="13"/>
    <n v="731"/>
  </r>
  <r>
    <s v="ANT-0077"/>
    <d v="2023-10-13T15:02:00"/>
    <n v="107"/>
    <s v="Non Résolu"/>
    <x v="2"/>
    <s v="Non trouvé"/>
    <s v="Non trouvé"/>
    <x v="1"/>
    <s v="Non trouvé"/>
    <s v="Antenne inconnue"/>
    <n v="13"/>
    <n v="731"/>
  </r>
  <r>
    <s v="ANT-0077"/>
    <d v="2023-10-11T07:26:00"/>
    <n v="47"/>
    <s v="Non Résolu"/>
    <x v="2"/>
    <s v="Non trouvé"/>
    <s v="Non trouvé"/>
    <x v="1"/>
    <s v="Non trouvé"/>
    <s v="Antenne inconnue"/>
    <n v="13"/>
    <n v="731"/>
  </r>
  <r>
    <s v="ANT-0078"/>
    <d v="2023-10-14T11:27:00"/>
    <n v="102"/>
    <s v="En Cours"/>
    <x v="18"/>
    <n v="-12.141233"/>
    <n v="15.179043999999999"/>
    <x v="2"/>
    <s v="Ericsson"/>
    <s v="OK"/>
    <n v="6"/>
    <n v="489"/>
  </r>
  <r>
    <s v="ANT-0078"/>
    <d v="2023-10-30T07:55:00"/>
    <n v="75"/>
    <s v="Non Résolu"/>
    <x v="18"/>
    <n v="-12.141233"/>
    <n v="15.179043999999999"/>
    <x v="2"/>
    <s v="Ericsson"/>
    <s v="OK"/>
    <n v="6"/>
    <n v="489"/>
  </r>
  <r>
    <s v="ANT-0078"/>
    <d v="2023-10-24T02:27:00"/>
    <n v="85"/>
    <s v="Non Résolu"/>
    <x v="18"/>
    <n v="-12.141233"/>
    <n v="15.179043999999999"/>
    <x v="2"/>
    <s v="Ericsson"/>
    <s v="OK"/>
    <n v="6"/>
    <n v="489"/>
  </r>
  <r>
    <s v="ANT-0078"/>
    <d v="2023-10-13T15:06:00"/>
    <n v="69"/>
    <s v="Non Résolu"/>
    <x v="18"/>
    <n v="-12.141233"/>
    <n v="15.179043999999999"/>
    <x v="2"/>
    <s v="Ericsson"/>
    <s v="OK"/>
    <n v="6"/>
    <n v="489"/>
  </r>
  <r>
    <s v="ANT-0078"/>
    <d v="2023-10-15T14:15:00"/>
    <n v="41"/>
    <s v="Résolu"/>
    <x v="18"/>
    <n v="-12.141233"/>
    <n v="15.179043999999999"/>
    <x v="2"/>
    <s v="Ericsson"/>
    <s v="OK"/>
    <n v="6"/>
    <n v="489"/>
  </r>
  <r>
    <s v="ANT-0078"/>
    <d v="2023-10-17T16:10:00"/>
    <n v="117"/>
    <s v="Résolu"/>
    <x v="18"/>
    <n v="-12.141233"/>
    <n v="15.179043999999999"/>
    <x v="2"/>
    <s v="Ericsson"/>
    <s v="OK"/>
    <n v="6"/>
    <n v="489"/>
  </r>
  <r>
    <s v="ANT-0079"/>
    <d v="2023-10-29T18:12:00"/>
    <n v="71"/>
    <s v="Non Résolu"/>
    <x v="19"/>
    <n v="-8.4824669999999998"/>
    <n v="21.897777999999999"/>
    <x v="2"/>
    <s v="Ericsson"/>
    <s v="OK"/>
    <n v="4"/>
    <n v="300"/>
  </r>
  <r>
    <s v="ANT-0079"/>
    <s v="27/10/2023 04:31"/>
    <n v="80"/>
    <s v="En Cours"/>
    <x v="19"/>
    <n v="-8.4824669999999998"/>
    <n v="21.897777999999999"/>
    <x v="2"/>
    <s v="Ericsson"/>
    <s v="OK"/>
    <n v="4"/>
    <n v="300"/>
  </r>
  <r>
    <s v="ANT-0079"/>
    <d v="2023-10-20T22:05:00"/>
    <n v="90"/>
    <s v="Résolu"/>
    <x v="19"/>
    <n v="-8.4824669999999998"/>
    <n v="21.897777999999999"/>
    <x v="2"/>
    <s v="Ericsson"/>
    <s v="OK"/>
    <n v="4"/>
    <n v="300"/>
  </r>
  <r>
    <s v="ANT-0079"/>
    <d v="2023-10-22T09:02:00"/>
    <n v="59"/>
    <s v="En Cours"/>
    <x v="19"/>
    <n v="-8.4824669999999998"/>
    <n v="21.897777999999999"/>
    <x v="2"/>
    <s v="Ericsson"/>
    <s v="OK"/>
    <n v="4"/>
    <n v="300"/>
  </r>
  <r>
    <s v="ANT-0080"/>
    <d v="2023-10-11T11:00:00"/>
    <n v="73"/>
    <s v="Non Résolu"/>
    <x v="13"/>
    <n v="0.24202000000000001"/>
    <n v="17.396256999999999"/>
    <x v="0"/>
    <s v="Huawei"/>
    <s v="OK"/>
    <n v="2"/>
    <n v="137"/>
  </r>
  <r>
    <s v="ANT-0080"/>
    <d v="2023-10-07T04:01:00"/>
    <n v="64"/>
    <s v="Non Résolu"/>
    <x v="13"/>
    <n v="0.24202000000000001"/>
    <n v="17.396256999999999"/>
    <x v="0"/>
    <s v="Huawei"/>
    <s v="OK"/>
    <n v="2"/>
    <n v="137"/>
  </r>
  <r>
    <s v="ANT-0081"/>
    <d v="2023-10-18T04:12:00"/>
    <n v="69"/>
    <s v="Non Résolu"/>
    <x v="20"/>
    <n v="-10.577049000000001"/>
    <n v="23.721854"/>
    <x v="0"/>
    <s v="ZTE"/>
    <s v="OK"/>
    <n v="9"/>
    <n v="608"/>
  </r>
  <r>
    <s v="ANT-0081"/>
    <s v="15/10/2023 10:11"/>
    <n v="88"/>
    <s v="Résolu"/>
    <x v="20"/>
    <n v="-10.577049000000001"/>
    <n v="23.721854"/>
    <x v="0"/>
    <s v="ZTE"/>
    <s v="OK"/>
    <n v="9"/>
    <n v="608"/>
  </r>
  <r>
    <s v="ANT-0081"/>
    <d v="2023-10-12T23:08:00"/>
    <n v="45"/>
    <s v="Résolu"/>
    <x v="20"/>
    <n v="-10.577049000000001"/>
    <n v="23.721854"/>
    <x v="0"/>
    <s v="ZTE"/>
    <s v="OK"/>
    <n v="9"/>
    <n v="608"/>
  </r>
  <r>
    <s v="ANT-0081"/>
    <d v="2023-10-26T18:41:00"/>
    <n v="22"/>
    <s v="Non Résolu"/>
    <x v="20"/>
    <n v="-10.577049000000001"/>
    <n v="23.721854"/>
    <x v="0"/>
    <s v="ZTE"/>
    <s v="OK"/>
    <n v="9"/>
    <n v="608"/>
  </r>
  <r>
    <s v="ANT-0081"/>
    <d v="2023-10-05T11:19:00"/>
    <n v="93"/>
    <s v="Résolu"/>
    <x v="20"/>
    <n v="-10.577049000000001"/>
    <n v="23.721854"/>
    <x v="0"/>
    <s v="ZTE"/>
    <s v="OK"/>
    <n v="9"/>
    <n v="608"/>
  </r>
  <r>
    <s v="ANT-0081"/>
    <d v="2023-10-08T09:51:00"/>
    <n v="52"/>
    <s v="En Cours"/>
    <x v="20"/>
    <n v="-10.577049000000001"/>
    <n v="23.721854"/>
    <x v="0"/>
    <s v="ZTE"/>
    <s v="OK"/>
    <n v="9"/>
    <n v="608"/>
  </r>
  <r>
    <s v="ANT-0081"/>
    <d v="2023-10-03T01:09:00"/>
    <n v="115"/>
    <s v="Non Résolu"/>
    <x v="20"/>
    <n v="-10.577049000000001"/>
    <n v="23.721854"/>
    <x v="0"/>
    <s v="ZTE"/>
    <s v="OK"/>
    <n v="9"/>
    <n v="608"/>
  </r>
  <r>
    <s v="ANT-0081"/>
    <d v="2023-10-26T23:30:00"/>
    <n v="6"/>
    <s v="Résolu"/>
    <x v="20"/>
    <n v="-10.577049000000001"/>
    <n v="23.721854"/>
    <x v="0"/>
    <s v="ZTE"/>
    <s v="OK"/>
    <n v="9"/>
    <n v="608"/>
  </r>
  <r>
    <s v="ANT-0081"/>
    <d v="2023-10-20T15:45:00"/>
    <n v="118"/>
    <s v="Non Résolu"/>
    <x v="20"/>
    <n v="-10.577049000000001"/>
    <n v="23.721854"/>
    <x v="0"/>
    <s v="ZTE"/>
    <s v="OK"/>
    <n v="9"/>
    <n v="608"/>
  </r>
  <r>
    <s v="ANT-0082"/>
    <d v="2023-10-08T08:42:00"/>
    <n v="82"/>
    <s v="Résolu"/>
    <x v="7"/>
    <n v="-12.776386"/>
    <n v="14.157596"/>
    <x v="3"/>
    <s v="Nokia"/>
    <s v="OK"/>
    <n v="6"/>
    <n v="480"/>
  </r>
  <r>
    <s v="ANT-0082"/>
    <d v="2023-10-24T17:03:00"/>
    <n v="62"/>
    <s v="Non Résolu"/>
    <x v="7"/>
    <n v="-12.776386"/>
    <n v="14.157596"/>
    <x v="3"/>
    <s v="Nokia"/>
    <s v="OK"/>
    <n v="6"/>
    <n v="480"/>
  </r>
  <r>
    <s v="ANT-0082"/>
    <d v="2023-10-10T16:19:00"/>
    <n v="103"/>
    <s v="Non Résolu"/>
    <x v="7"/>
    <n v="-12.776386"/>
    <n v="14.157596"/>
    <x v="3"/>
    <s v="Nokia"/>
    <s v="OK"/>
    <n v="6"/>
    <n v="480"/>
  </r>
  <r>
    <s v="ANT-0082"/>
    <d v="2023-10-06T09:35:00"/>
    <n v="55"/>
    <s v="Résolu"/>
    <x v="7"/>
    <n v="-12.776386"/>
    <n v="14.157596"/>
    <x v="3"/>
    <s v="Nokia"/>
    <s v="OK"/>
    <n v="6"/>
    <n v="480"/>
  </r>
  <r>
    <s v="ANT-0082"/>
    <d v="2023-10-07T04:50:00"/>
    <n v="73"/>
    <s v="Résolu"/>
    <x v="7"/>
    <n v="-12.776386"/>
    <n v="14.157596"/>
    <x v="3"/>
    <s v="Nokia"/>
    <s v="OK"/>
    <n v="6"/>
    <n v="480"/>
  </r>
  <r>
    <s v="ANT-0082"/>
    <d v="2023-10-15T21:27:00"/>
    <n v="105"/>
    <s v="Résolu"/>
    <x v="7"/>
    <n v="-12.776386"/>
    <n v="14.157596"/>
    <x v="3"/>
    <s v="Nokia"/>
    <s v="OK"/>
    <n v="6"/>
    <n v="480"/>
  </r>
  <r>
    <s v="ANT-0083"/>
    <d v="2023-10-16T13:12:00"/>
    <n v="52"/>
    <s v="Résolu"/>
    <x v="2"/>
    <s v="Non trouvé"/>
    <s v="Non trouvé"/>
    <x v="1"/>
    <s v="Non trouvé"/>
    <s v="Antenne inconnue"/>
    <n v="4"/>
    <n v="167"/>
  </r>
  <r>
    <s v="ANT-0083"/>
    <d v="2023-10-24T21:43:00"/>
    <n v="46"/>
    <s v="En Cours"/>
    <x v="2"/>
    <s v="Non trouvé"/>
    <s v="Non trouvé"/>
    <x v="1"/>
    <s v="Non trouvé"/>
    <s v="Antenne inconnue"/>
    <n v="4"/>
    <n v="167"/>
  </r>
  <r>
    <s v="ANT-0083"/>
    <d v="2023-10-14T08:02:00"/>
    <n v="62"/>
    <s v="Résolu"/>
    <x v="2"/>
    <s v="Non trouvé"/>
    <s v="Non trouvé"/>
    <x v="1"/>
    <s v="Non trouvé"/>
    <s v="Antenne inconnue"/>
    <n v="4"/>
    <n v="167"/>
  </r>
  <r>
    <s v="ANT-0083"/>
    <d v="2023-10-27T15:46:00"/>
    <n v="7"/>
    <s v="Résolu"/>
    <x v="2"/>
    <s v="Non trouvé"/>
    <s v="Non trouvé"/>
    <x v="1"/>
    <s v="Non trouvé"/>
    <s v="Antenne inconnue"/>
    <n v="4"/>
    <n v="167"/>
  </r>
  <r>
    <s v="ANT-0084"/>
    <d v="2023-10-02T13:47:00"/>
    <n v="55"/>
    <s v="Résolu"/>
    <x v="21"/>
    <n v="2.413557"/>
    <n v="19.690681999999999"/>
    <x v="0"/>
    <s v="Huawei"/>
    <s v="OK"/>
    <n v="4"/>
    <n v="373"/>
  </r>
  <r>
    <s v="ANT-0084"/>
    <d v="2023-10-23T12:24:00"/>
    <n v="116"/>
    <s v="Non Résolu"/>
    <x v="21"/>
    <n v="2.413557"/>
    <n v="19.690681999999999"/>
    <x v="0"/>
    <s v="Huawei"/>
    <s v="OK"/>
    <n v="4"/>
    <n v="373"/>
  </r>
  <r>
    <s v="ANT-0084"/>
    <d v="2023-10-25T07:55:00"/>
    <n v="92"/>
    <s v="Non Résolu"/>
    <x v="21"/>
    <n v="2.413557"/>
    <n v="19.690681999999999"/>
    <x v="0"/>
    <s v="Huawei"/>
    <s v="OK"/>
    <n v="4"/>
    <n v="373"/>
  </r>
  <r>
    <s v="ANT-0084"/>
    <d v="2023-10-02T11:32:00"/>
    <n v="110"/>
    <s v="Non Résolu"/>
    <x v="21"/>
    <n v="2.413557"/>
    <n v="19.690681999999999"/>
    <x v="0"/>
    <s v="Huawei"/>
    <s v="OK"/>
    <n v="4"/>
    <n v="373"/>
  </r>
  <r>
    <s v="ANT-0085"/>
    <d v="2023-10-22T17:19:00"/>
    <n v="119"/>
    <s v="Résolu"/>
    <x v="2"/>
    <s v="Non trouvé"/>
    <s v="Non trouvé"/>
    <x v="1"/>
    <s v="Non trouvé"/>
    <s v="Antenne inconnue"/>
    <n v="7"/>
    <n v="553"/>
  </r>
  <r>
    <s v="ANT-0085"/>
    <d v="2023-10-07T04:01:00"/>
    <n v="113"/>
    <s v="En Cours"/>
    <x v="2"/>
    <s v="Non trouvé"/>
    <s v="Non trouvé"/>
    <x v="1"/>
    <s v="Non trouvé"/>
    <s v="Antenne inconnue"/>
    <n v="7"/>
    <n v="553"/>
  </r>
  <r>
    <s v="ANT-0085"/>
    <d v="2023-10-14T23:35:00"/>
    <n v="68"/>
    <s v="Résolu"/>
    <x v="2"/>
    <s v="Non trouvé"/>
    <s v="Non trouvé"/>
    <x v="1"/>
    <s v="Non trouvé"/>
    <s v="Antenne inconnue"/>
    <n v="7"/>
    <n v="553"/>
  </r>
  <r>
    <s v="ant-0085"/>
    <d v="2023-10-07T08:42:00"/>
    <n v="10"/>
    <s v="Résolu"/>
    <x v="2"/>
    <s v="Non trouvé"/>
    <s v="Non trouvé"/>
    <x v="1"/>
    <s v="Non trouvé"/>
    <s v="Antenne inconnue"/>
    <n v="7"/>
    <n v="553"/>
  </r>
  <r>
    <s v="ANT-0085"/>
    <d v="2023-10-28T21:49:00"/>
    <n v="99"/>
    <s v="Résolu"/>
    <x v="2"/>
    <s v="Non trouvé"/>
    <s v="Non trouvé"/>
    <x v="1"/>
    <s v="Non trouvé"/>
    <s v="Antenne inconnue"/>
    <n v="7"/>
    <n v="553"/>
  </r>
  <r>
    <s v="ANT-0085"/>
    <d v="2023-10-15T16:38:00"/>
    <n v="72"/>
    <s v="Résolu"/>
    <x v="2"/>
    <s v="Non trouvé"/>
    <s v="Non trouvé"/>
    <x v="1"/>
    <s v="Non trouvé"/>
    <s v="Antenne inconnue"/>
    <n v="7"/>
    <n v="553"/>
  </r>
  <r>
    <s v="ANT-0085"/>
    <d v="2023-10-13T23:02:00"/>
    <n v="72"/>
    <s v="Résolu"/>
    <x v="2"/>
    <s v="Non trouvé"/>
    <s v="Non trouvé"/>
    <x v="1"/>
    <s v="Non trouvé"/>
    <s v="Antenne inconnue"/>
    <n v="7"/>
    <n v="553"/>
  </r>
  <r>
    <s v="ANT-0086"/>
    <d v="2023-10-24T04:59:00"/>
    <n v="107"/>
    <s v="Non Résolu"/>
    <x v="22"/>
    <n v="4.2904629999999999"/>
    <n v="26.354195000000001"/>
    <x v="3"/>
    <s v="Ericsson"/>
    <s v="OK"/>
    <n v="4"/>
    <n v="228"/>
  </r>
  <r>
    <s v="ANT-0086"/>
    <d v="2023-10-23T09:01:00"/>
    <n v="65"/>
    <s v="En Cours"/>
    <x v="22"/>
    <n v="4.2904629999999999"/>
    <n v="26.354195000000001"/>
    <x v="3"/>
    <s v="Ericsson"/>
    <s v="OK"/>
    <n v="4"/>
    <n v="228"/>
  </r>
  <r>
    <s v="ANT-0086"/>
    <d v="2023-10-20T23:31:00"/>
    <n v="12"/>
    <s v="En Cours"/>
    <x v="22"/>
    <n v="4.2904629999999999"/>
    <n v="26.354195000000001"/>
    <x v="3"/>
    <s v="Ericsson"/>
    <s v="OK"/>
    <n v="4"/>
    <n v="228"/>
  </r>
  <r>
    <s v="ANT-0086"/>
    <d v="2023-10-26T03:32:00"/>
    <n v="44"/>
    <s v="Résolu"/>
    <x v="22"/>
    <n v="4.2904629999999999"/>
    <n v="26.354195000000001"/>
    <x v="3"/>
    <s v="Ericsson"/>
    <s v="OK"/>
    <n v="4"/>
    <n v="228"/>
  </r>
  <r>
    <s v="ANT-0087"/>
    <d v="2023-10-14T07:11:00"/>
    <n v="43"/>
    <s v="En Cours"/>
    <x v="2"/>
    <s v="Non trouvé"/>
    <s v="Non trouvé"/>
    <x v="1"/>
    <s v="Non trouvé"/>
    <s v="Antenne inconnue"/>
    <n v="2"/>
    <n v="77"/>
  </r>
  <r>
    <s v="ANT-0087"/>
    <d v="2023-10-04T07:47:00"/>
    <n v="34"/>
    <s v="Résolu"/>
    <x v="2"/>
    <s v="Non trouvé"/>
    <s v="Non trouvé"/>
    <x v="1"/>
    <s v="Non trouvé"/>
    <s v="Antenne inconnue"/>
    <n v="2"/>
    <n v="77"/>
  </r>
  <r>
    <s v="ANT-0088"/>
    <d v="2023-10-10T19:47:00"/>
    <n v="110"/>
    <s v="Non Résolu"/>
    <x v="23"/>
    <n v="-9.7803979999999999"/>
    <n v="17.686595000000001"/>
    <x v="0"/>
    <s v="Ericsson"/>
    <s v="OK"/>
    <n v="5"/>
    <n v="369"/>
  </r>
  <r>
    <s v="ANT-0088"/>
    <d v="2023-10-06T04:36:00"/>
    <n v="99"/>
    <s v="En Cours"/>
    <x v="23"/>
    <n v="-9.7803979999999999"/>
    <n v="17.686595000000001"/>
    <x v="0"/>
    <s v="Ericsson"/>
    <s v="OK"/>
    <n v="5"/>
    <n v="369"/>
  </r>
  <r>
    <s v="ANT-0088"/>
    <d v="2023-10-22T09:02:00"/>
    <n v="9"/>
    <s v="En Cours"/>
    <x v="23"/>
    <n v="-9.7803979999999999"/>
    <n v="17.686595000000001"/>
    <x v="0"/>
    <s v="Ericsson"/>
    <s v="OK"/>
    <n v="5"/>
    <n v="369"/>
  </r>
  <r>
    <s v="ANT-0088"/>
    <d v="2023-10-11T10:48:00"/>
    <n v="66"/>
    <s v="Résolu"/>
    <x v="23"/>
    <n v="-9.7803979999999999"/>
    <n v="17.686595000000001"/>
    <x v="0"/>
    <s v="Ericsson"/>
    <s v="OK"/>
    <n v="5"/>
    <n v="369"/>
  </r>
  <r>
    <s v="ANT-0088"/>
    <d v="2023-10-21T18:06:00"/>
    <n v="85"/>
    <s v="Résolu"/>
    <x v="23"/>
    <n v="-9.7803979999999999"/>
    <n v="17.686595000000001"/>
    <x v="0"/>
    <s v="Ericsson"/>
    <s v="OK"/>
    <n v="5"/>
    <n v="369"/>
  </r>
  <r>
    <s v="ANT-0089"/>
    <d v="2023-10-01T17:12:00"/>
    <n v="41"/>
    <s v="Non Résolu"/>
    <x v="2"/>
    <s v="Non trouvé"/>
    <s v="Non trouvé"/>
    <x v="1"/>
    <s v="Non trouvé"/>
    <s v="Antenne inconnue"/>
    <n v="5"/>
    <n v="277"/>
  </r>
  <r>
    <s v="ANT-0089"/>
    <d v="2023-10-09T17:55:00"/>
    <n v="61"/>
    <s v="Résolu"/>
    <x v="2"/>
    <s v="Non trouvé"/>
    <s v="Non trouvé"/>
    <x v="1"/>
    <s v="Non trouvé"/>
    <s v="Antenne inconnue"/>
    <n v="5"/>
    <n v="277"/>
  </r>
  <r>
    <s v="ANT-0089"/>
    <d v="2023-10-14T22:46:00"/>
    <n v="20"/>
    <s v="Résolu"/>
    <x v="2"/>
    <s v="Non trouvé"/>
    <s v="Non trouvé"/>
    <x v="1"/>
    <s v="Non trouvé"/>
    <s v="Antenne inconnue"/>
    <n v="5"/>
    <n v="277"/>
  </r>
  <r>
    <s v="ANT-0089"/>
    <d v="2023-10-26T20:37:00"/>
    <n v="54"/>
    <s v="Résolu"/>
    <x v="2"/>
    <s v="Non trouvé"/>
    <s v="Non trouvé"/>
    <x v="1"/>
    <s v="Non trouvé"/>
    <s v="Antenne inconnue"/>
    <n v="5"/>
    <n v="277"/>
  </r>
  <r>
    <s v="ANT-0089"/>
    <d v="2023-10-05T21:30:00"/>
    <n v="101"/>
    <s v="Résolu"/>
    <x v="2"/>
    <s v="Non trouvé"/>
    <s v="Non trouvé"/>
    <x v="1"/>
    <s v="Non trouvé"/>
    <s v="Antenne inconnue"/>
    <n v="5"/>
    <n v="277"/>
  </r>
  <r>
    <s v="ANT-0090"/>
    <d v="2023-10-06T14:24:00"/>
    <n v="15"/>
    <s v="En Cours"/>
    <x v="15"/>
    <n v="-7.3379339999999997"/>
    <n v="28.404001999999998"/>
    <x v="3"/>
    <s v="Nokia"/>
    <s v="OK"/>
    <n v="5"/>
    <n v="184"/>
  </r>
  <r>
    <s v="ant-0090"/>
    <d v="2023-10-23T09:58:00"/>
    <n v="34"/>
    <s v="Non Résolu"/>
    <x v="15"/>
    <n v="-7.3379339999999997"/>
    <n v="28.404001999999998"/>
    <x v="3"/>
    <s v="Nokia"/>
    <s v="OK"/>
    <n v="5"/>
    <n v="184"/>
  </r>
  <r>
    <s v="ANT-0090"/>
    <d v="2023-10-14T14:21:00"/>
    <n v="58"/>
    <s v="Résolu"/>
    <x v="15"/>
    <n v="-7.3379339999999997"/>
    <n v="28.404001999999998"/>
    <x v="3"/>
    <s v="Nokia"/>
    <s v="OK"/>
    <n v="5"/>
    <n v="184"/>
  </r>
  <r>
    <s v="ANT-0090"/>
    <d v="2023-10-23T14:28:00"/>
    <n v="35"/>
    <s v="Résolu"/>
    <x v="15"/>
    <n v="-7.3379339999999997"/>
    <n v="28.404001999999998"/>
    <x v="3"/>
    <s v="Nokia"/>
    <s v="OK"/>
    <n v="5"/>
    <n v="184"/>
  </r>
  <r>
    <s v="ANT-0090"/>
    <d v="2023-10-13T13:38:00"/>
    <n v="42"/>
    <s v="Non Résolu"/>
    <x v="15"/>
    <n v="-7.3379339999999997"/>
    <n v="28.404001999999998"/>
    <x v="3"/>
    <s v="Nokia"/>
    <s v="OK"/>
    <n v="5"/>
    <n v="184"/>
  </r>
  <r>
    <s v="ANT-0091"/>
    <d v="2023-10-28T15:28:00"/>
    <n v="89"/>
    <s v="Non Résolu"/>
    <x v="9"/>
    <n v="-4.7886769999999999"/>
    <n v="23.600221999999999"/>
    <x v="3"/>
    <s v="ZTE"/>
    <s v="OK"/>
    <n v="6"/>
    <n v="373"/>
  </r>
  <r>
    <s v="ANT-0091"/>
    <d v="2023-10-21T10:00:00"/>
    <n v="70"/>
    <s v="Résolu"/>
    <x v="9"/>
    <n v="-4.7886769999999999"/>
    <n v="23.600221999999999"/>
    <x v="3"/>
    <s v="ZTE"/>
    <s v="OK"/>
    <n v="6"/>
    <n v="373"/>
  </r>
  <r>
    <s v="ANT-0091"/>
    <d v="2023-10-30T10:55:00"/>
    <n v="79"/>
    <s v="En Cours"/>
    <x v="9"/>
    <n v="-4.7886769999999999"/>
    <n v="23.600221999999999"/>
    <x v="3"/>
    <s v="ZTE"/>
    <s v="OK"/>
    <n v="6"/>
    <n v="373"/>
  </r>
  <r>
    <s v="ANT-0091"/>
    <d v="2023-10-10T14:41:00"/>
    <n v="39"/>
    <s v="En Cours"/>
    <x v="9"/>
    <n v="-4.7886769999999999"/>
    <n v="23.600221999999999"/>
    <x v="3"/>
    <s v="ZTE"/>
    <s v="OK"/>
    <n v="6"/>
    <n v="373"/>
  </r>
  <r>
    <s v="ANT-0091"/>
    <d v="2023-10-17T16:39:00"/>
    <n v="62"/>
    <s v="Non Résolu"/>
    <x v="9"/>
    <n v="-4.7886769999999999"/>
    <n v="23.600221999999999"/>
    <x v="3"/>
    <s v="ZTE"/>
    <s v="OK"/>
    <n v="6"/>
    <n v="373"/>
  </r>
  <r>
    <s v="ANT-0091"/>
    <d v="2023-10-06T04:36:00"/>
    <n v="34"/>
    <s v="Résolu"/>
    <x v="9"/>
    <n v="-4.7886769999999999"/>
    <n v="23.600221999999999"/>
    <x v="3"/>
    <s v="ZTE"/>
    <s v="OK"/>
    <n v="6"/>
    <n v="373"/>
  </r>
  <r>
    <s v="ant-0092"/>
    <d v="2023-10-17T03:24:00"/>
    <n v="92"/>
    <s v="Non Résolu"/>
    <x v="2"/>
    <s v="Non trouvé"/>
    <s v="Non trouvé"/>
    <x v="1"/>
    <s v="Non trouvé"/>
    <s v="Antenne inconnue"/>
    <n v="4"/>
    <n v="198"/>
  </r>
  <r>
    <s v="ANT-0092"/>
    <d v="2023-10-02T05:30:00"/>
    <n v="23"/>
    <s v="Résolu"/>
    <x v="2"/>
    <s v="Non trouvé"/>
    <s v="Non trouvé"/>
    <x v="1"/>
    <s v="Non trouvé"/>
    <s v="Antenne inconnue"/>
    <n v="4"/>
    <n v="198"/>
  </r>
  <r>
    <s v="ANT-0092"/>
    <d v="2023-10-15T09:49:00"/>
    <n v="65"/>
    <s v="En Cours"/>
    <x v="2"/>
    <s v="Non trouvé"/>
    <s v="Non trouvé"/>
    <x v="1"/>
    <s v="Non trouvé"/>
    <s v="Antenne inconnue"/>
    <n v="4"/>
    <n v="198"/>
  </r>
  <r>
    <s v="ANT-0092"/>
    <d v="2023-10-20T15:12:00"/>
    <n v="18"/>
    <s v="En Cours"/>
    <x v="2"/>
    <s v="Non trouvé"/>
    <s v="Non trouvé"/>
    <x v="1"/>
    <s v="Non trouvé"/>
    <s v="Antenne inconnue"/>
    <n v="4"/>
    <n v="198"/>
  </r>
  <r>
    <s v="ANT-0093"/>
    <d v="2023-10-14T00:33:00"/>
    <n v="21"/>
    <s v="Non Résolu"/>
    <x v="8"/>
    <n v="2.975352"/>
    <n v="22.535886000000001"/>
    <x v="0"/>
    <s v="Huawei"/>
    <s v="OK"/>
    <n v="8"/>
    <n v="495"/>
  </r>
  <r>
    <s v="ANT-0093"/>
    <d v="2023-10-01T17:26:00"/>
    <n v="83"/>
    <s v="Résolu"/>
    <x v="8"/>
    <n v="2.975352"/>
    <n v="22.535886000000001"/>
    <x v="0"/>
    <s v="Huawei"/>
    <s v="OK"/>
    <n v="8"/>
    <n v="495"/>
  </r>
  <r>
    <s v="ANT-0093"/>
    <d v="2023-10-17T22:17:00"/>
    <n v="69"/>
    <s v="Non Résolu"/>
    <x v="8"/>
    <n v="2.975352"/>
    <n v="22.535886000000001"/>
    <x v="0"/>
    <s v="Huawei"/>
    <s v="OK"/>
    <n v="8"/>
    <n v="495"/>
  </r>
  <r>
    <s v="ANT-0093"/>
    <d v="2023-10-22T07:31:00"/>
    <n v="94"/>
    <s v="Non Résolu"/>
    <x v="8"/>
    <n v="2.975352"/>
    <n v="22.535886000000001"/>
    <x v="0"/>
    <s v="Huawei"/>
    <s v="OK"/>
    <n v="8"/>
    <n v="495"/>
  </r>
  <r>
    <s v="ANT-0093"/>
    <d v="2023-10-01T11:50:00"/>
    <n v="88"/>
    <s v="Résolu"/>
    <x v="8"/>
    <n v="2.975352"/>
    <n v="22.535886000000001"/>
    <x v="0"/>
    <s v="Huawei"/>
    <s v="OK"/>
    <n v="8"/>
    <n v="495"/>
  </r>
  <r>
    <s v="ANT-0093"/>
    <d v="2023-10-23T15:55:00"/>
    <n v="6"/>
    <s v="En Cours"/>
    <x v="8"/>
    <n v="2.975352"/>
    <n v="22.535886000000001"/>
    <x v="0"/>
    <s v="Huawei"/>
    <s v="OK"/>
    <n v="8"/>
    <n v="495"/>
  </r>
  <r>
    <s v="ANT-0093"/>
    <d v="2023-10-05T05:42:00"/>
    <n v="21"/>
    <s v="Non Résolu"/>
    <x v="8"/>
    <n v="2.975352"/>
    <n v="22.535886000000001"/>
    <x v="0"/>
    <s v="Huawei"/>
    <s v="OK"/>
    <n v="8"/>
    <n v="495"/>
  </r>
  <r>
    <s v="ANT-0093"/>
    <d v="2023-10-05T13:12:00"/>
    <n v="113"/>
    <s v="Non Résolu"/>
    <x v="8"/>
    <n v="2.975352"/>
    <n v="22.535886000000001"/>
    <x v="0"/>
    <s v="Huawei"/>
    <s v="OK"/>
    <n v="8"/>
    <n v="495"/>
  </r>
  <r>
    <s v="ANT-0094"/>
    <d v="2023-10-09T17:07:00"/>
    <n v="38"/>
    <s v="Résolu"/>
    <x v="19"/>
    <n v="-10.650321"/>
    <n v="15.917044000000001"/>
    <x v="0"/>
    <s v="Nokia"/>
    <s v="OK"/>
    <n v="4"/>
    <n v="265"/>
  </r>
  <r>
    <s v="ANT-0094"/>
    <d v="2023-10-10T08:37:00"/>
    <n v="56"/>
    <s v="Non Résolu"/>
    <x v="19"/>
    <n v="-10.650321"/>
    <n v="15.917044000000001"/>
    <x v="0"/>
    <s v="Nokia"/>
    <s v="OK"/>
    <n v="4"/>
    <n v="265"/>
  </r>
  <r>
    <s v="ANT-0094"/>
    <d v="2023-10-17T17:01:00"/>
    <n v="70"/>
    <s v="Non Résolu"/>
    <x v="19"/>
    <n v="-10.650321"/>
    <n v="15.917044000000001"/>
    <x v="0"/>
    <s v="Nokia"/>
    <s v="OK"/>
    <n v="4"/>
    <n v="265"/>
  </r>
  <r>
    <s v="ANT-0094"/>
    <d v="2023-10-27T12:44:00"/>
    <n v="101"/>
    <s v="En Cours"/>
    <x v="19"/>
    <n v="-10.650321"/>
    <n v="15.917044000000001"/>
    <x v="0"/>
    <s v="Nokia"/>
    <s v="OK"/>
    <n v="4"/>
    <n v="265"/>
  </r>
  <r>
    <s v="ANT-0095"/>
    <d v="2023-10-18T04:17:00"/>
    <n v="96"/>
    <s v="Résolu"/>
    <x v="2"/>
    <s v="Non trouvé"/>
    <s v="Non trouvé"/>
    <x v="1"/>
    <s v="Non trouvé"/>
    <s v="Antenne inconnue"/>
    <n v="3"/>
    <n v="273"/>
  </r>
  <r>
    <s v="ANT-0095"/>
    <d v="2023-10-13T22:18:00"/>
    <n v="60"/>
    <s v="Résolu"/>
    <x v="2"/>
    <s v="Non trouvé"/>
    <s v="Non trouvé"/>
    <x v="1"/>
    <s v="Non trouvé"/>
    <s v="Antenne inconnue"/>
    <n v="3"/>
    <n v="273"/>
  </r>
  <r>
    <s v="ANT-0095"/>
    <d v="2023-10-07T06:34:00"/>
    <n v="117"/>
    <s v="En Cours"/>
    <x v="2"/>
    <s v="Non trouvé"/>
    <s v="Non trouvé"/>
    <x v="1"/>
    <s v="Non trouvé"/>
    <s v="Antenne inconnue"/>
    <n v="3"/>
    <n v="273"/>
  </r>
  <r>
    <s v="ANT-0096"/>
    <d v="2023-10-05T19:34:00"/>
    <n v="85"/>
    <s v="Non Résolu"/>
    <x v="5"/>
    <n v="3.0603760000000002"/>
    <n v="19.708034000000001"/>
    <x v="3"/>
    <s v="ZTE"/>
    <s v="OK"/>
    <n v="6"/>
    <n v="358"/>
  </r>
  <r>
    <s v="ANT-0096"/>
    <d v="2023-10-29T14:45:00"/>
    <n v="35"/>
    <s v="En Cours"/>
    <x v="5"/>
    <n v="3.0603760000000002"/>
    <n v="19.708034000000001"/>
    <x v="3"/>
    <s v="ZTE"/>
    <s v="OK"/>
    <n v="6"/>
    <n v="358"/>
  </r>
  <r>
    <s v="ANT-0096"/>
    <d v="2023-10-05T17:03:00"/>
    <n v="25"/>
    <s v="Résolu"/>
    <x v="5"/>
    <n v="3.0603760000000002"/>
    <n v="19.708034000000001"/>
    <x v="3"/>
    <s v="ZTE"/>
    <s v="OK"/>
    <n v="6"/>
    <n v="358"/>
  </r>
  <r>
    <s v="ANT-0096"/>
    <d v="2023-10-05T21:44:00"/>
    <n v="44"/>
    <s v="Non Résolu"/>
    <x v="5"/>
    <n v="3.0603760000000002"/>
    <n v="19.708034000000001"/>
    <x v="3"/>
    <s v="ZTE"/>
    <s v="OK"/>
    <n v="6"/>
    <n v="358"/>
  </r>
  <r>
    <s v="ANT-0096"/>
    <d v="2023-10-04T05:19:00"/>
    <n v="101"/>
    <s v="Résolu"/>
    <x v="5"/>
    <n v="3.0603760000000002"/>
    <n v="19.708034000000001"/>
    <x v="3"/>
    <s v="ZTE"/>
    <s v="OK"/>
    <n v="6"/>
    <n v="358"/>
  </r>
  <r>
    <s v="ANT-0096"/>
    <d v="2023-10-27T23:16:00"/>
    <n v="68"/>
    <s v="Résolu"/>
    <x v="5"/>
    <n v="3.0603760000000002"/>
    <n v="19.708034000000001"/>
    <x v="3"/>
    <s v="ZTE"/>
    <s v="OK"/>
    <n v="6"/>
    <n v="358"/>
  </r>
  <r>
    <s v="ANT-0097"/>
    <d v="2023-10-04T12:17:00"/>
    <n v="68"/>
    <s v="En Cours"/>
    <x v="2"/>
    <s v="Non trouvé"/>
    <s v="Non trouvé"/>
    <x v="1"/>
    <s v="Non trouvé"/>
    <s v="Antenne inconnue"/>
    <n v="8"/>
    <n v="510"/>
  </r>
  <r>
    <s v="ANT-0097"/>
    <d v="2023-10-15T20:53:00"/>
    <n v="93"/>
    <s v="En Cours"/>
    <x v="2"/>
    <s v="Non trouvé"/>
    <s v="Non trouvé"/>
    <x v="1"/>
    <s v="Non trouvé"/>
    <s v="Antenne inconnue"/>
    <n v="8"/>
    <n v="510"/>
  </r>
  <r>
    <s v="ANT-0097"/>
    <d v="2023-10-20T02:43:00"/>
    <n v="30"/>
    <s v="Non Résolu"/>
    <x v="2"/>
    <s v="Non trouvé"/>
    <s v="Non trouvé"/>
    <x v="1"/>
    <s v="Non trouvé"/>
    <s v="Antenne inconnue"/>
    <n v="8"/>
    <n v="510"/>
  </r>
  <r>
    <m/>
    <n v="45202.45416666667"/>
    <n v="34"/>
    <s v="Résolu"/>
    <x v="2"/>
    <s v="Non trouvé"/>
    <s v="Non trouvé"/>
    <x v="1"/>
    <s v="Non trouvé"/>
    <s v="Antenne inconnue"/>
    <n v="0"/>
    <n v="0"/>
  </r>
  <r>
    <s v="ANT-0097"/>
    <d v="2023-10-09T01:00:00"/>
    <n v="70"/>
    <s v="Résolu"/>
    <x v="2"/>
    <s v="Non trouvé"/>
    <s v="Non trouvé"/>
    <x v="1"/>
    <s v="Non trouvé"/>
    <s v="Antenne inconnue"/>
    <n v="8"/>
    <n v="510"/>
  </r>
  <r>
    <s v="ANT-0097"/>
    <d v="2023-10-29T08:35:00"/>
    <n v="25"/>
    <s v="En Cours"/>
    <x v="2"/>
    <s v="Non trouvé"/>
    <s v="Non trouvé"/>
    <x v="1"/>
    <s v="Non trouvé"/>
    <s v="Antenne inconnue"/>
    <n v="8"/>
    <n v="510"/>
  </r>
  <r>
    <s v="ANT-0097"/>
    <d v="2023-10-30T08:11:00"/>
    <n v="82"/>
    <s v="Non Résolu"/>
    <x v="2"/>
    <s v="Non trouvé"/>
    <s v="Non trouvé"/>
    <x v="1"/>
    <s v="Non trouvé"/>
    <s v="Antenne inconnue"/>
    <n v="8"/>
    <n v="510"/>
  </r>
  <r>
    <s v="ANT-0097"/>
    <d v="2023-10-22T23:43:00"/>
    <n v="87"/>
    <s v="En Cours"/>
    <x v="2"/>
    <s v="Non trouvé"/>
    <s v="Non trouvé"/>
    <x v="1"/>
    <s v="Non trouvé"/>
    <s v="Antenne inconnue"/>
    <n v="8"/>
    <n v="510"/>
  </r>
  <r>
    <s v="ANT-0097"/>
    <d v="2023-10-22T06:41:00"/>
    <n v="55"/>
    <s v="Non Résolu"/>
    <x v="2"/>
    <s v="Non trouvé"/>
    <s v="Non trouvé"/>
    <x v="1"/>
    <s v="Non trouvé"/>
    <s v="Antenne inconnue"/>
    <n v="8"/>
    <n v="510"/>
  </r>
  <r>
    <s v="ANT-0098"/>
    <d v="2023-10-25T09:05:00"/>
    <n v="48"/>
    <s v="En Cours"/>
    <x v="2"/>
    <s v="Non trouvé"/>
    <s v="Non trouvé"/>
    <x v="1"/>
    <s v="Non trouvé"/>
    <s v="Antenne inconnue"/>
    <n v="11"/>
    <n v="746"/>
  </r>
  <r>
    <s v="ANT-0098"/>
    <d v="2023-10-21T05:50:00"/>
    <n v="96"/>
    <s v="Non Résolu"/>
    <x v="2"/>
    <s v="Non trouvé"/>
    <s v="Non trouvé"/>
    <x v="1"/>
    <s v="Non trouvé"/>
    <s v="Antenne inconnue"/>
    <n v="11"/>
    <n v="746"/>
  </r>
  <r>
    <s v="ANT-0098"/>
    <d v="2023-10-07T09:13:00"/>
    <n v="38"/>
    <s v="Non Résolu"/>
    <x v="2"/>
    <s v="Non trouvé"/>
    <s v="Non trouvé"/>
    <x v="1"/>
    <s v="Non trouvé"/>
    <s v="Antenne inconnue"/>
    <n v="11"/>
    <n v="746"/>
  </r>
  <r>
    <s v="ANT-0098"/>
    <d v="2023-10-19T08:02:00"/>
    <n v="87"/>
    <s v="Non Résolu"/>
    <x v="2"/>
    <s v="Non trouvé"/>
    <s v="Non trouvé"/>
    <x v="1"/>
    <s v="Non trouvé"/>
    <s v="Antenne inconnue"/>
    <n v="11"/>
    <n v="746"/>
  </r>
  <r>
    <s v="ANT-0098"/>
    <d v="2023-10-20T02:29:00"/>
    <n v="37"/>
    <s v="En Cours"/>
    <x v="2"/>
    <s v="Non trouvé"/>
    <s v="Non trouvé"/>
    <x v="1"/>
    <s v="Non trouvé"/>
    <s v="Antenne inconnue"/>
    <n v="11"/>
    <n v="746"/>
  </r>
  <r>
    <s v="ANT-0098"/>
    <d v="2023-10-09T19:44:00"/>
    <n v="120"/>
    <s v="Non Résolu"/>
    <x v="2"/>
    <s v="Non trouvé"/>
    <s v="Non trouvé"/>
    <x v="1"/>
    <s v="Non trouvé"/>
    <s v="Antenne inconnue"/>
    <n v="11"/>
    <n v="746"/>
  </r>
  <r>
    <s v="ANT-0098"/>
    <d v="2023-10-14T22:31:00"/>
    <n v="9"/>
    <s v="Résolu"/>
    <x v="2"/>
    <s v="Non trouvé"/>
    <s v="Non trouvé"/>
    <x v="1"/>
    <s v="Non trouvé"/>
    <s v="Antenne inconnue"/>
    <n v="11"/>
    <n v="746"/>
  </r>
  <r>
    <s v="ANT-0098"/>
    <d v="2023-10-15T01:13:00"/>
    <n v="70"/>
    <s v="En Cours"/>
    <x v="2"/>
    <s v="Non trouvé"/>
    <s v="Non trouvé"/>
    <x v="1"/>
    <s v="Non trouvé"/>
    <s v="Antenne inconnue"/>
    <n v="11"/>
    <n v="746"/>
  </r>
  <r>
    <s v="ANT-0098"/>
    <d v="2023-10-23T15:55:00"/>
    <n v="79"/>
    <s v="En Cours"/>
    <x v="2"/>
    <s v="Non trouvé"/>
    <s v="Non trouvé"/>
    <x v="1"/>
    <s v="Non trouvé"/>
    <s v="Antenne inconnue"/>
    <n v="11"/>
    <n v="746"/>
  </r>
  <r>
    <s v="ANT-0098"/>
    <d v="2023-10-09T00:36:00"/>
    <n v="113"/>
    <s v="Résolu"/>
    <x v="2"/>
    <s v="Non trouvé"/>
    <s v="Non trouvé"/>
    <x v="1"/>
    <s v="Non trouvé"/>
    <s v="Antenne inconnue"/>
    <n v="11"/>
    <n v="746"/>
  </r>
  <r>
    <s v="ANT-0098"/>
    <d v="2023-10-28T00:15:00"/>
    <n v="49"/>
    <s v="En Cours"/>
    <x v="2"/>
    <s v="Non trouvé"/>
    <s v="Non trouvé"/>
    <x v="1"/>
    <s v="Non trouvé"/>
    <s v="Antenne inconnue"/>
    <n v="11"/>
    <n v="746"/>
  </r>
  <r>
    <s v="ANT-0099"/>
    <d v="2023-10-03T05:15:00"/>
    <n v="56"/>
    <s v="En Cours"/>
    <x v="8"/>
    <n v="-11.157245"/>
    <n v="21.262627999999999"/>
    <x v="2"/>
    <s v="ZTE"/>
    <s v="OK"/>
    <n v="5"/>
    <n v="412"/>
  </r>
  <r>
    <s v="ANT-0099"/>
    <d v="2023-10-22T20:09:00"/>
    <n v="93"/>
    <s v="En Cours"/>
    <x v="8"/>
    <n v="-11.157245"/>
    <n v="21.262627999999999"/>
    <x v="2"/>
    <s v="ZTE"/>
    <s v="OK"/>
    <n v="5"/>
    <n v="412"/>
  </r>
  <r>
    <s v="ANT-0099"/>
    <d v="2023-10-03T09:54:00"/>
    <n v="44"/>
    <s v="Résolu"/>
    <x v="8"/>
    <n v="-11.157245"/>
    <n v="21.262627999999999"/>
    <x v="2"/>
    <s v="ZTE"/>
    <s v="OK"/>
    <n v="5"/>
    <n v="412"/>
  </r>
  <r>
    <s v="ANT-0099"/>
    <d v="2023-10-21T15:55:00"/>
    <n v="110"/>
    <s v="Non Résolu"/>
    <x v="8"/>
    <n v="-11.157245"/>
    <n v="21.262627999999999"/>
    <x v="2"/>
    <s v="ZTE"/>
    <s v="OK"/>
    <n v="5"/>
    <n v="412"/>
  </r>
  <r>
    <s v="ANT-0099"/>
    <d v="2023-10-16T06:55:00"/>
    <n v="109"/>
    <s v="Résolu"/>
    <x v="8"/>
    <n v="-11.157245"/>
    <n v="21.262627999999999"/>
    <x v="2"/>
    <s v="ZTE"/>
    <s v="OK"/>
    <n v="5"/>
    <n v="412"/>
  </r>
  <r>
    <s v="ANT-0100"/>
    <d v="2023-10-10T05:28:00"/>
    <n v="13"/>
    <s v="Non Résolu"/>
    <x v="2"/>
    <s v="Non trouvé"/>
    <s v="Non trouvé"/>
    <x v="1"/>
    <s v="Non trouvé"/>
    <s v="Antenne inconnue"/>
    <n v="10"/>
    <n v="630"/>
  </r>
  <r>
    <s v="ANT-0100"/>
    <d v="2023-10-10T18:39:00"/>
    <n v="102"/>
    <s v="Résolu"/>
    <x v="2"/>
    <s v="Non trouvé"/>
    <s v="Non trouvé"/>
    <x v="1"/>
    <s v="Non trouvé"/>
    <s v="Antenne inconnue"/>
    <n v="10"/>
    <n v="630"/>
  </r>
  <r>
    <s v="ANT-0100"/>
    <d v="2023-10-20T07:45:00"/>
    <n v="25"/>
    <s v="Résolu"/>
    <x v="2"/>
    <s v="Non trouvé"/>
    <s v="Non trouvé"/>
    <x v="1"/>
    <s v="Non trouvé"/>
    <s v="Antenne inconnue"/>
    <n v="10"/>
    <n v="630"/>
  </r>
  <r>
    <s v="ant-0100"/>
    <d v="2023-10-28T14:06:00"/>
    <n v="65"/>
    <s v="Résolu"/>
    <x v="2"/>
    <s v="Non trouvé"/>
    <s v="Non trouvé"/>
    <x v="1"/>
    <s v="Non trouvé"/>
    <s v="Antenne inconnue"/>
    <n v="10"/>
    <n v="630"/>
  </r>
  <r>
    <s v="ANT-0100"/>
    <d v="2023-10-24T20:52:00"/>
    <n v="99"/>
    <s v="Non Résolu"/>
    <x v="2"/>
    <s v="Non trouvé"/>
    <s v="Non trouvé"/>
    <x v="1"/>
    <s v="Non trouvé"/>
    <s v="Antenne inconnue"/>
    <n v="10"/>
    <n v="630"/>
  </r>
  <r>
    <s v="ANT-0100"/>
    <d v="2023-10-16T16:09:00"/>
    <n v="46"/>
    <s v="Non Résolu"/>
    <x v="2"/>
    <s v="Non trouvé"/>
    <s v="Non trouvé"/>
    <x v="1"/>
    <s v="Non trouvé"/>
    <s v="Antenne inconnue"/>
    <n v="10"/>
    <n v="630"/>
  </r>
  <r>
    <s v="ANT-0100"/>
    <d v="2023-10-17T11:01:00"/>
    <n v="69"/>
    <s v="En Cours"/>
    <x v="2"/>
    <s v="Non trouvé"/>
    <s v="Non trouvé"/>
    <x v="1"/>
    <s v="Non trouvé"/>
    <s v="Antenne inconnue"/>
    <n v="10"/>
    <n v="630"/>
  </r>
  <r>
    <s v="ANT-0100"/>
    <d v="2023-10-16T01:08:00"/>
    <n v="35"/>
    <s v="Résolu"/>
    <x v="2"/>
    <s v="Non trouvé"/>
    <s v="Non trouvé"/>
    <x v="1"/>
    <s v="Non trouvé"/>
    <s v="Antenne inconnue"/>
    <n v="10"/>
    <n v="630"/>
  </r>
  <r>
    <s v="ANT-0100"/>
    <d v="2023-10-23T22:40:00"/>
    <n v="87"/>
    <s v="Non Résolu"/>
    <x v="2"/>
    <s v="Non trouvé"/>
    <s v="Non trouvé"/>
    <x v="1"/>
    <s v="Non trouvé"/>
    <s v="Antenne inconnue"/>
    <n v="10"/>
    <n v="630"/>
  </r>
  <r>
    <s v="ANT-0100"/>
    <d v="2023-10-30T19:14:00"/>
    <n v="89"/>
    <s v="Résolu"/>
    <x v="2"/>
    <s v="Non trouvé"/>
    <s v="Non trouvé"/>
    <x v="1"/>
    <s v="Non trouvé"/>
    <s v="Antenne inconnue"/>
    <n v="10"/>
    <n v="630"/>
  </r>
  <r>
    <s v="ANT-0101"/>
    <d v="2023-10-27T01:51:00"/>
    <n v="60"/>
    <s v="Résolu"/>
    <x v="24"/>
    <n v="1.0134879999999999"/>
    <n v="20.363515"/>
    <x v="0"/>
    <s v="Nokia"/>
    <s v="OK"/>
    <n v="5"/>
    <n v="312"/>
  </r>
  <r>
    <s v="ANT-0101"/>
    <d v="2023-10-03T12:00:00"/>
    <n v="93"/>
    <s v="Résolu"/>
    <x v="24"/>
    <n v="1.0134879999999999"/>
    <n v="20.363515"/>
    <x v="0"/>
    <s v="Nokia"/>
    <s v="OK"/>
    <n v="5"/>
    <n v="312"/>
  </r>
  <r>
    <s v="ANT-0101"/>
    <d v="2023-10-19T17:35:00"/>
    <n v="57"/>
    <s v="En Cours"/>
    <x v="24"/>
    <n v="1.0134879999999999"/>
    <n v="20.363515"/>
    <x v="0"/>
    <s v="Nokia"/>
    <s v="OK"/>
    <n v="5"/>
    <n v="312"/>
  </r>
  <r>
    <s v="ANT-0101"/>
    <d v="2023-10-04T10:45:00"/>
    <n v="5"/>
    <s v="En Cours"/>
    <x v="24"/>
    <n v="1.0134879999999999"/>
    <n v="20.363515"/>
    <x v="0"/>
    <s v="Nokia"/>
    <s v="OK"/>
    <n v="5"/>
    <n v="312"/>
  </r>
  <r>
    <s v="ANT-0101"/>
    <d v="2023-10-24T19:04:00"/>
    <n v="97"/>
    <s v="Résolu"/>
    <x v="24"/>
    <n v="1.0134879999999999"/>
    <n v="20.363515"/>
    <x v="0"/>
    <s v="Nokia"/>
    <s v="OK"/>
    <n v="5"/>
    <n v="312"/>
  </r>
  <r>
    <s v="ANT-0102"/>
    <d v="2023-10-28T02:49:00"/>
    <n v="57"/>
    <s v="En Cours"/>
    <x v="2"/>
    <s v="Non trouvé"/>
    <s v="Non trouvé"/>
    <x v="1"/>
    <s v="Non trouvé"/>
    <s v="Antenne inconnue"/>
    <n v="8"/>
    <n v="351"/>
  </r>
  <r>
    <s v="ANT-0102"/>
    <d v="2023-10-16T03:27:00"/>
    <n v="18"/>
    <s v="Résolu"/>
    <x v="2"/>
    <s v="Non trouvé"/>
    <s v="Non trouvé"/>
    <x v="1"/>
    <s v="Non trouvé"/>
    <s v="Antenne inconnue"/>
    <n v="8"/>
    <n v="351"/>
  </r>
  <r>
    <s v="ANT-0102"/>
    <d v="2023-10-19T09:05:00"/>
    <n v="18"/>
    <s v="Résolu"/>
    <x v="2"/>
    <s v="Non trouvé"/>
    <s v="Non trouvé"/>
    <x v="1"/>
    <s v="Non trouvé"/>
    <s v="Antenne inconnue"/>
    <n v="8"/>
    <n v="351"/>
  </r>
  <r>
    <s v="ANT-0102"/>
    <d v="2023-10-17T17:31:00"/>
    <n v="21"/>
    <s v="Non Résolu"/>
    <x v="2"/>
    <s v="Non trouvé"/>
    <s v="Non trouvé"/>
    <x v="1"/>
    <s v="Non trouvé"/>
    <s v="Antenne inconnue"/>
    <n v="8"/>
    <n v="351"/>
  </r>
  <r>
    <s v="ANT-0102"/>
    <d v="2023-10-12T18:18:00"/>
    <n v="83"/>
    <s v="Non Résolu"/>
    <x v="2"/>
    <s v="Non trouvé"/>
    <s v="Non trouvé"/>
    <x v="1"/>
    <s v="Non trouvé"/>
    <s v="Antenne inconnue"/>
    <n v="8"/>
    <n v="351"/>
  </r>
  <r>
    <s v="ANT-0102"/>
    <d v="2023-10-24T13:11:00"/>
    <n v="63"/>
    <s v="Résolu"/>
    <x v="2"/>
    <s v="Non trouvé"/>
    <s v="Non trouvé"/>
    <x v="1"/>
    <s v="Non trouvé"/>
    <s v="Antenne inconnue"/>
    <n v="8"/>
    <n v="351"/>
  </r>
  <r>
    <s v="ANT-0102"/>
    <d v="2023-10-14T18:25:00"/>
    <n v="25"/>
    <s v="En Cours"/>
    <x v="2"/>
    <s v="Non trouvé"/>
    <s v="Non trouvé"/>
    <x v="1"/>
    <s v="Non trouvé"/>
    <s v="Antenne inconnue"/>
    <n v="8"/>
    <n v="351"/>
  </r>
  <r>
    <s v="ANT-0102"/>
    <d v="2023-10-28T00:08:00"/>
    <n v="66"/>
    <s v="En Cours"/>
    <x v="2"/>
    <s v="Non trouvé"/>
    <s v="Non trouvé"/>
    <x v="1"/>
    <s v="Non trouvé"/>
    <s v="Antenne inconnue"/>
    <n v="8"/>
    <n v="351"/>
  </r>
  <r>
    <s v="ANT-0103"/>
    <d v="2023-10-20T13:13:00"/>
    <n v="91"/>
    <s v="Résolu"/>
    <x v="3"/>
    <n v="-0.79459900000000006"/>
    <n v="26.775570999999999"/>
    <x v="2"/>
    <s v="Huawei"/>
    <s v="OK"/>
    <n v="6"/>
    <n v="445"/>
  </r>
  <r>
    <s v="ANT-0103"/>
    <d v="2023-10-28T07:21:00"/>
    <n v="42"/>
    <s v="En Cours"/>
    <x v="3"/>
    <n v="-0.79459900000000006"/>
    <n v="26.775570999999999"/>
    <x v="2"/>
    <s v="Huawei"/>
    <s v="OK"/>
    <n v="6"/>
    <n v="445"/>
  </r>
  <r>
    <s v="ANT-0103"/>
    <d v="2023-10-23T10:24:00"/>
    <n v="90"/>
    <s v="En Cours"/>
    <x v="3"/>
    <n v="-0.79459900000000006"/>
    <n v="26.775570999999999"/>
    <x v="2"/>
    <s v="Huawei"/>
    <s v="OK"/>
    <n v="6"/>
    <n v="445"/>
  </r>
  <r>
    <s v="ANT-0103"/>
    <d v="2023-10-11T16:53:00"/>
    <n v="20"/>
    <s v="Résolu"/>
    <x v="3"/>
    <n v="-0.79459900000000006"/>
    <n v="26.775570999999999"/>
    <x v="2"/>
    <s v="Huawei"/>
    <s v="OK"/>
    <n v="6"/>
    <n v="445"/>
  </r>
  <r>
    <s v="ANT-0103"/>
    <d v="2023-10-14T18:19:00"/>
    <n v="119"/>
    <s v="En Cours"/>
    <x v="3"/>
    <n v="-0.79459900000000006"/>
    <n v="26.775570999999999"/>
    <x v="2"/>
    <s v="Huawei"/>
    <s v="OK"/>
    <n v="6"/>
    <n v="445"/>
  </r>
  <r>
    <s v="ANT-0103"/>
    <d v="2023-10-31T20:09:00"/>
    <n v="83"/>
    <s v="En Cours"/>
    <x v="3"/>
    <n v="-0.79459900000000006"/>
    <n v="26.775570999999999"/>
    <x v="2"/>
    <s v="Huawei"/>
    <s v="OK"/>
    <n v="6"/>
    <n v="445"/>
  </r>
  <r>
    <s v="ANT-0104"/>
    <d v="2023-10-05T13:11:00"/>
    <n v="64"/>
    <s v="Non Résolu"/>
    <x v="2"/>
    <s v="Non trouvé"/>
    <s v="Non trouvé"/>
    <x v="1"/>
    <s v="Non trouvé"/>
    <s v="Antenne inconnue"/>
    <n v="4"/>
    <n v="299"/>
  </r>
  <r>
    <s v="ANT-0104"/>
    <d v="2023-10-26T08:21:00"/>
    <n v="115"/>
    <s v="En Cours"/>
    <x v="2"/>
    <s v="Non trouvé"/>
    <s v="Non trouvé"/>
    <x v="1"/>
    <s v="Non trouvé"/>
    <s v="Antenne inconnue"/>
    <n v="4"/>
    <n v="299"/>
  </r>
  <r>
    <s v="ANT-0104"/>
    <d v="2023-10-21T13:18:00"/>
    <n v="69"/>
    <s v="Résolu"/>
    <x v="2"/>
    <s v="Non trouvé"/>
    <s v="Non trouvé"/>
    <x v="1"/>
    <s v="Non trouvé"/>
    <s v="Antenne inconnue"/>
    <n v="4"/>
    <n v="299"/>
  </r>
  <r>
    <s v="ANT-0104"/>
    <d v="2023-10-26T02:08:00"/>
    <n v="51"/>
    <s v="Résolu"/>
    <x v="2"/>
    <s v="Non trouvé"/>
    <s v="Non trouvé"/>
    <x v="1"/>
    <s v="Non trouvé"/>
    <s v="Antenne inconnue"/>
    <n v="4"/>
    <n v="299"/>
  </r>
  <r>
    <s v="ANT-0105"/>
    <d v="2023-10-13T03:22:00"/>
    <n v="20"/>
    <s v="Résolu"/>
    <x v="2"/>
    <s v="Non trouvé"/>
    <s v="Non trouvé"/>
    <x v="1"/>
    <s v="Non trouvé"/>
    <s v="Antenne inconnue"/>
    <n v="7"/>
    <n v="381"/>
  </r>
  <r>
    <s v="ANT-0105"/>
    <d v="2023-10-17T16:10:00"/>
    <n v="41"/>
    <s v="En Cours"/>
    <x v="2"/>
    <s v="Non trouvé"/>
    <s v="Non trouvé"/>
    <x v="1"/>
    <s v="Non trouvé"/>
    <s v="Antenne inconnue"/>
    <n v="7"/>
    <n v="381"/>
  </r>
  <r>
    <s v="ANT-0105"/>
    <d v="2023-10-16T04:28:00"/>
    <n v="47"/>
    <s v="En Cours"/>
    <x v="2"/>
    <s v="Non trouvé"/>
    <s v="Non trouvé"/>
    <x v="1"/>
    <s v="Non trouvé"/>
    <s v="Antenne inconnue"/>
    <n v="7"/>
    <n v="381"/>
  </r>
  <r>
    <s v="ANT-0105"/>
    <d v="2023-10-19T23:46:00"/>
    <n v="49"/>
    <s v="Non Résolu"/>
    <x v="2"/>
    <s v="Non trouvé"/>
    <s v="Non trouvé"/>
    <x v="1"/>
    <s v="Non trouvé"/>
    <s v="Antenne inconnue"/>
    <n v="7"/>
    <n v="381"/>
  </r>
  <r>
    <s v="ANT-0105"/>
    <d v="2023-10-15T16:09:00"/>
    <n v="101"/>
    <s v="Résolu"/>
    <x v="2"/>
    <s v="Non trouvé"/>
    <s v="Non trouvé"/>
    <x v="1"/>
    <s v="Non trouvé"/>
    <s v="Antenne inconnue"/>
    <n v="7"/>
    <n v="381"/>
  </r>
  <r>
    <s v="ANT-0105"/>
    <d v="2023-10-15T03:16:00"/>
    <n v="92"/>
    <s v="Résolu"/>
    <x v="2"/>
    <s v="Non trouvé"/>
    <s v="Non trouvé"/>
    <x v="1"/>
    <s v="Non trouvé"/>
    <s v="Antenne inconnue"/>
    <n v="7"/>
    <n v="381"/>
  </r>
  <r>
    <s v="ANT-0105"/>
    <d v="2023-10-20T19:43:00"/>
    <n v="31"/>
    <s v="Non Résolu"/>
    <x v="2"/>
    <s v="Non trouvé"/>
    <s v="Non trouvé"/>
    <x v="1"/>
    <s v="Non trouvé"/>
    <s v="Antenne inconnue"/>
    <n v="7"/>
    <n v="381"/>
  </r>
  <r>
    <s v="ANT-0106"/>
    <d v="2023-10-11T03:15:00"/>
    <n v="51"/>
    <s v="Non Résolu"/>
    <x v="4"/>
    <n v="-2.2876210000000001"/>
    <n v="27.582545"/>
    <x v="0"/>
    <s v="Huawei"/>
    <s v="OK"/>
    <n v="8"/>
    <n v="583"/>
  </r>
  <r>
    <s v="ANT-0106"/>
    <d v="2023-10-15T19:36:00"/>
    <n v="113"/>
    <s v="Résolu"/>
    <x v="4"/>
    <n v="-2.2876210000000001"/>
    <n v="27.582545"/>
    <x v="0"/>
    <s v="Huawei"/>
    <s v="OK"/>
    <n v="8"/>
    <n v="583"/>
  </r>
  <r>
    <s v="ANT-0106"/>
    <d v="2023-10-14T21:24:00"/>
    <n v="116"/>
    <s v="En Cours"/>
    <x v="4"/>
    <n v="-2.2876210000000001"/>
    <n v="27.582545"/>
    <x v="0"/>
    <s v="Huawei"/>
    <s v="OK"/>
    <n v="8"/>
    <n v="583"/>
  </r>
  <r>
    <s v="ANT-0106"/>
    <d v="2023-10-16T00:22:00"/>
    <n v="38"/>
    <s v="En Cours"/>
    <x v="4"/>
    <n v="-2.2876210000000001"/>
    <n v="27.582545"/>
    <x v="0"/>
    <s v="Huawei"/>
    <s v="OK"/>
    <n v="8"/>
    <n v="583"/>
  </r>
  <r>
    <s v="ANT-0106"/>
    <d v="2023-10-21T02:49:00"/>
    <n v="14"/>
    <s v="En Cours"/>
    <x v="4"/>
    <n v="-2.2876210000000001"/>
    <n v="27.582545"/>
    <x v="0"/>
    <s v="Huawei"/>
    <s v="OK"/>
    <n v="8"/>
    <n v="583"/>
  </r>
  <r>
    <s v="ANT-0106"/>
    <d v="2023-10-28T03:55:00"/>
    <n v="81"/>
    <s v="En Cours"/>
    <x v="4"/>
    <n v="-2.2876210000000001"/>
    <n v="27.582545"/>
    <x v="0"/>
    <s v="Huawei"/>
    <s v="OK"/>
    <n v="8"/>
    <n v="583"/>
  </r>
  <r>
    <s v="ANT-0106"/>
    <d v="2023-10-21T21:27:00"/>
    <n v="101"/>
    <s v="En Cours"/>
    <x v="4"/>
    <n v="-2.2876210000000001"/>
    <n v="27.582545"/>
    <x v="0"/>
    <s v="Huawei"/>
    <s v="OK"/>
    <n v="8"/>
    <n v="583"/>
  </r>
  <r>
    <s v="ANT-0106"/>
    <d v="2023-10-04T01:00:00"/>
    <n v="69"/>
    <s v="En Cours"/>
    <x v="4"/>
    <n v="-2.2876210000000001"/>
    <n v="27.582545"/>
    <x v="0"/>
    <s v="Huawei"/>
    <s v="OK"/>
    <n v="8"/>
    <n v="583"/>
  </r>
  <r>
    <s v="ANT-0107"/>
    <d v="2023-10-02T18:30:00"/>
    <n v="83"/>
    <s v="Résolu"/>
    <x v="2"/>
    <s v="Non trouvé"/>
    <s v="Non trouvé"/>
    <x v="1"/>
    <s v="Non trouvé"/>
    <s v="Antenne inconnue"/>
    <n v="5"/>
    <n v="294"/>
  </r>
  <r>
    <s v="ANT-0107"/>
    <d v="2023-10-04T02:34:00"/>
    <n v="45"/>
    <s v="Non Résolu"/>
    <x v="2"/>
    <s v="Non trouvé"/>
    <s v="Non trouvé"/>
    <x v="1"/>
    <s v="Non trouvé"/>
    <s v="Antenne inconnue"/>
    <n v="5"/>
    <n v="294"/>
  </r>
  <r>
    <s v="ANT-0107"/>
    <d v="2023-10-17T21:40:00"/>
    <n v="49"/>
    <s v="Résolu"/>
    <x v="2"/>
    <s v="Non trouvé"/>
    <s v="Non trouvé"/>
    <x v="1"/>
    <s v="Non trouvé"/>
    <s v="Antenne inconnue"/>
    <n v="5"/>
    <n v="294"/>
  </r>
  <r>
    <s v="ANT-0107"/>
    <d v="2023-10-18T19:39:00"/>
    <n v="12"/>
    <s v="Non Résolu"/>
    <x v="2"/>
    <s v="Non trouvé"/>
    <s v="Non trouvé"/>
    <x v="1"/>
    <s v="Non trouvé"/>
    <s v="Antenne inconnue"/>
    <n v="5"/>
    <n v="294"/>
  </r>
  <r>
    <s v="ANT-0107"/>
    <d v="2023-10-15T11:59:00"/>
    <n v="105"/>
    <s v="En Cours"/>
    <x v="2"/>
    <s v="Non trouvé"/>
    <s v="Non trouvé"/>
    <x v="1"/>
    <s v="Non trouvé"/>
    <s v="Antenne inconnue"/>
    <n v="5"/>
    <n v="294"/>
  </r>
  <r>
    <s v="ANT-0108"/>
    <d v="2023-10-07T22:04:00"/>
    <n v="119"/>
    <s v="Non Résolu"/>
    <x v="2"/>
    <s v="Non trouvé"/>
    <s v="Non trouvé"/>
    <x v="1"/>
    <s v="Non trouvé"/>
    <s v="Antenne inconnue"/>
    <n v="6"/>
    <n v="469"/>
  </r>
  <r>
    <s v="ANT-0108"/>
    <d v="2023-10-25T05:32:00"/>
    <n v="40"/>
    <s v="En Cours"/>
    <x v="2"/>
    <s v="Non trouvé"/>
    <s v="Non trouvé"/>
    <x v="1"/>
    <s v="Non trouvé"/>
    <s v="Antenne inconnue"/>
    <n v="6"/>
    <n v="469"/>
  </r>
  <r>
    <s v="ANT-0108"/>
    <d v="2023-10-14T18:43:00"/>
    <n v="92"/>
    <s v="Résolu"/>
    <x v="2"/>
    <s v="Non trouvé"/>
    <s v="Non trouvé"/>
    <x v="1"/>
    <s v="Non trouvé"/>
    <s v="Antenne inconnue"/>
    <n v="6"/>
    <n v="469"/>
  </r>
  <r>
    <s v="ANT-0108"/>
    <d v="2023-10-18T08:51:00"/>
    <n v="15"/>
    <s v="Résolu"/>
    <x v="2"/>
    <s v="Non trouvé"/>
    <s v="Non trouvé"/>
    <x v="1"/>
    <s v="Non trouvé"/>
    <s v="Antenne inconnue"/>
    <n v="6"/>
    <n v="469"/>
  </r>
  <r>
    <s v="ANT-0108"/>
    <d v="2023-10-12T09:11:00"/>
    <n v="119"/>
    <s v="En Cours"/>
    <x v="2"/>
    <s v="Non trouvé"/>
    <s v="Non trouvé"/>
    <x v="1"/>
    <s v="Non trouvé"/>
    <s v="Antenne inconnue"/>
    <n v="6"/>
    <n v="469"/>
  </r>
  <r>
    <s v="ANT-0108"/>
    <d v="2023-10-12T09:08:00"/>
    <n v="84"/>
    <s v="Résolu"/>
    <x v="2"/>
    <s v="Non trouvé"/>
    <s v="Non trouvé"/>
    <x v="1"/>
    <s v="Non trouvé"/>
    <s v="Antenne inconnue"/>
    <n v="6"/>
    <n v="469"/>
  </r>
  <r>
    <s v="ANT-0109"/>
    <d v="2023-10-08T16:38:00"/>
    <n v="29"/>
    <s v="Non Résolu"/>
    <x v="2"/>
    <s v="Non trouvé"/>
    <s v="Non trouvé"/>
    <x v="1"/>
    <s v="Non trouvé"/>
    <s v="Antenne inconnue"/>
    <n v="7"/>
    <n v="507"/>
  </r>
  <r>
    <s v="ANT-0109"/>
    <d v="2023-10-16T02:48:00"/>
    <n v="62"/>
    <s v="Non Résolu"/>
    <x v="2"/>
    <s v="Non trouvé"/>
    <s v="Non trouvé"/>
    <x v="1"/>
    <s v="Non trouvé"/>
    <s v="Antenne inconnue"/>
    <n v="7"/>
    <n v="507"/>
  </r>
  <r>
    <s v="ANT-0109"/>
    <d v="2023-10-27T14:05:00"/>
    <n v="119"/>
    <s v="Non Résolu"/>
    <x v="2"/>
    <s v="Non trouvé"/>
    <s v="Non trouvé"/>
    <x v="1"/>
    <s v="Non trouvé"/>
    <s v="Antenne inconnue"/>
    <n v="7"/>
    <n v="507"/>
  </r>
  <r>
    <s v="ANT-0109"/>
    <d v="2023-10-26T03:32:00"/>
    <n v="93"/>
    <s v="Non Résolu"/>
    <x v="2"/>
    <s v="Non trouvé"/>
    <s v="Non trouvé"/>
    <x v="1"/>
    <s v="Non trouvé"/>
    <s v="Antenne inconnue"/>
    <n v="7"/>
    <n v="507"/>
  </r>
  <r>
    <s v="ANT-0109"/>
    <d v="2023-10-12T17:21:00"/>
    <n v="77"/>
    <s v="Résolu"/>
    <x v="2"/>
    <s v="Non trouvé"/>
    <s v="Non trouvé"/>
    <x v="1"/>
    <s v="Non trouvé"/>
    <s v="Antenne inconnue"/>
    <n v="7"/>
    <n v="507"/>
  </r>
  <r>
    <s v="ANT-0109"/>
    <d v="2023-10-26T05:44:00"/>
    <n v="16"/>
    <s v="Non Résolu"/>
    <x v="2"/>
    <s v="Non trouvé"/>
    <s v="Non trouvé"/>
    <x v="1"/>
    <s v="Non trouvé"/>
    <s v="Antenne inconnue"/>
    <n v="7"/>
    <n v="507"/>
  </r>
  <r>
    <s v="ANT-0109"/>
    <d v="2023-10-01T02:47:00"/>
    <n v="111"/>
    <s v="En Cours"/>
    <x v="2"/>
    <s v="Non trouvé"/>
    <s v="Non trouvé"/>
    <x v="1"/>
    <s v="Non trouvé"/>
    <s v="Antenne inconnue"/>
    <n v="7"/>
    <n v="507"/>
  </r>
  <r>
    <s v="ANT-0110"/>
    <d v="2023-10-07T12:57:00"/>
    <n v="68"/>
    <s v="Résolu"/>
    <x v="25"/>
    <n v="-7.9425049999999997"/>
    <n v="24.111059000000001"/>
    <x v="3"/>
    <s v="ZTE"/>
    <s v="OK"/>
    <n v="4"/>
    <n v="305"/>
  </r>
  <r>
    <s v="ANT-0110"/>
    <d v="2023-10-30T02:55:00"/>
    <n v="118"/>
    <s v="Non Résolu"/>
    <x v="25"/>
    <n v="-7.9425049999999997"/>
    <n v="24.111059000000001"/>
    <x v="3"/>
    <s v="ZTE"/>
    <s v="OK"/>
    <n v="4"/>
    <n v="305"/>
  </r>
  <r>
    <s v="ANT-0110"/>
    <d v="2023-10-29T11:22:00"/>
    <n v="6"/>
    <s v="Résolu"/>
    <x v="25"/>
    <n v="-7.9425049999999997"/>
    <n v="24.111059000000001"/>
    <x v="3"/>
    <s v="ZTE"/>
    <s v="OK"/>
    <n v="4"/>
    <n v="305"/>
  </r>
  <r>
    <s v="ANT-0110"/>
    <d v="2023-10-26T18:46:00"/>
    <n v="113"/>
    <s v="Non Résolu"/>
    <x v="25"/>
    <n v="-7.9425049999999997"/>
    <n v="24.111059000000001"/>
    <x v="3"/>
    <s v="ZTE"/>
    <s v="OK"/>
    <n v="4"/>
    <n v="305"/>
  </r>
  <r>
    <s v="ant-0111"/>
    <d v="2023-10-30T09:36:00"/>
    <n v="45"/>
    <s v="Non Résolu"/>
    <x v="2"/>
    <s v="Non trouvé"/>
    <s v="Non trouvé"/>
    <x v="1"/>
    <s v="Non trouvé"/>
    <s v="Antenne inconnue"/>
    <n v="8"/>
    <n v="513"/>
  </r>
  <r>
    <s v="ANT-0111"/>
    <d v="2023-10-19T13:40:00"/>
    <n v="70"/>
    <s v="En Cours"/>
    <x v="2"/>
    <s v="Non trouvé"/>
    <s v="Non trouvé"/>
    <x v="1"/>
    <s v="Non trouvé"/>
    <s v="Antenne inconnue"/>
    <n v="8"/>
    <n v="513"/>
  </r>
  <r>
    <s v="ANT-0111"/>
    <d v="2023-10-26T13:21:00"/>
    <n v="43"/>
    <s v="En Cours"/>
    <x v="2"/>
    <s v="Non trouvé"/>
    <s v="Non trouvé"/>
    <x v="1"/>
    <s v="Non trouvé"/>
    <s v="Antenne inconnue"/>
    <n v="8"/>
    <n v="513"/>
  </r>
  <r>
    <s v="ANT-0111"/>
    <d v="2023-10-27T09:49:00"/>
    <n v="95"/>
    <s v="Non Résolu"/>
    <x v="2"/>
    <s v="Non trouvé"/>
    <s v="Non trouvé"/>
    <x v="1"/>
    <s v="Non trouvé"/>
    <s v="Antenne inconnue"/>
    <n v="8"/>
    <n v="513"/>
  </r>
  <r>
    <s v="ANT-0111"/>
    <d v="2023-10-14T03:50:00"/>
    <n v="33"/>
    <s v="En Cours"/>
    <x v="2"/>
    <s v="Non trouvé"/>
    <s v="Non trouvé"/>
    <x v="1"/>
    <s v="Non trouvé"/>
    <s v="Antenne inconnue"/>
    <n v="8"/>
    <n v="513"/>
  </r>
  <r>
    <s v="ANT-0111"/>
    <d v="2023-10-28T03:15:00"/>
    <n v="47"/>
    <s v="Non Résolu"/>
    <x v="2"/>
    <s v="Non trouvé"/>
    <s v="Non trouvé"/>
    <x v="1"/>
    <s v="Non trouvé"/>
    <s v="Antenne inconnue"/>
    <n v="8"/>
    <n v="513"/>
  </r>
  <r>
    <s v="ANT-0111"/>
    <d v="2023-10-08T17:08:00"/>
    <n v="99"/>
    <s v="Non Résolu"/>
    <x v="2"/>
    <s v="Non trouvé"/>
    <s v="Non trouvé"/>
    <x v="1"/>
    <s v="Non trouvé"/>
    <s v="Antenne inconnue"/>
    <n v="8"/>
    <n v="513"/>
  </r>
  <r>
    <s v="ANT-0111"/>
    <d v="2023-10-27T13:47:00"/>
    <n v="81"/>
    <s v="Non Résolu"/>
    <x v="2"/>
    <s v="Non trouvé"/>
    <s v="Non trouvé"/>
    <x v="1"/>
    <s v="Non trouvé"/>
    <s v="Antenne inconnue"/>
    <n v="8"/>
    <n v="513"/>
  </r>
  <r>
    <s v="ANT-0112"/>
    <d v="2023-10-19T11:30:00"/>
    <n v="70"/>
    <s v="Non Résolu"/>
    <x v="24"/>
    <n v="-7.8417870000000001"/>
    <n v="14.730712"/>
    <x v="2"/>
    <s v="Nokia"/>
    <s v="OK"/>
    <n v="3"/>
    <n v="195"/>
  </r>
  <r>
    <s v="ANT-0112"/>
    <d v="2023-10-21T04:58:00"/>
    <n v="102"/>
    <s v="En Cours"/>
    <x v="24"/>
    <n v="-7.8417870000000001"/>
    <n v="14.730712"/>
    <x v="2"/>
    <s v="Nokia"/>
    <s v="OK"/>
    <n v="3"/>
    <n v="195"/>
  </r>
  <r>
    <s v="ANT-0112"/>
    <d v="2023-10-12T11:27:00"/>
    <n v="23"/>
    <s v="En Cours"/>
    <x v="24"/>
    <n v="-7.8417870000000001"/>
    <n v="14.730712"/>
    <x v="2"/>
    <s v="Nokia"/>
    <s v="OK"/>
    <n v="3"/>
    <n v="195"/>
  </r>
  <r>
    <s v="ANT-0113"/>
    <d v="2023-10-30T17:48:00"/>
    <n v="105"/>
    <s v="En Cours"/>
    <x v="2"/>
    <s v="Non trouvé"/>
    <s v="Non trouvé"/>
    <x v="1"/>
    <s v="Non trouvé"/>
    <s v="Antenne inconnue"/>
    <n v="5"/>
    <n v="395"/>
  </r>
  <r>
    <s v="ANT-0113"/>
    <d v="2023-10-24T01:58:00"/>
    <n v="98"/>
    <s v="En Cours"/>
    <x v="2"/>
    <s v="Non trouvé"/>
    <s v="Non trouvé"/>
    <x v="1"/>
    <s v="Non trouvé"/>
    <s v="Antenne inconnue"/>
    <n v="5"/>
    <n v="395"/>
  </r>
  <r>
    <s v="ANT-0113"/>
    <d v="2023-10-08T17:08:00"/>
    <n v="95"/>
    <s v="En Cours"/>
    <x v="2"/>
    <s v="Non trouvé"/>
    <s v="Non trouvé"/>
    <x v="1"/>
    <s v="Non trouvé"/>
    <s v="Antenne inconnue"/>
    <n v="5"/>
    <n v="395"/>
  </r>
  <r>
    <s v="ANT-0113"/>
    <d v="2023-10-31T18:38:00"/>
    <n v="27"/>
    <s v="En Cours"/>
    <x v="2"/>
    <s v="Non trouvé"/>
    <s v="Non trouvé"/>
    <x v="1"/>
    <s v="Non trouvé"/>
    <s v="Antenne inconnue"/>
    <n v="5"/>
    <n v="395"/>
  </r>
  <r>
    <s v="ANT-0113"/>
    <d v="2023-10-21T03:49:00"/>
    <n v="70"/>
    <s v="En Cours"/>
    <x v="2"/>
    <s v="Non trouvé"/>
    <s v="Non trouvé"/>
    <x v="1"/>
    <s v="Non trouvé"/>
    <s v="Antenne inconnue"/>
    <n v="5"/>
    <n v="395"/>
  </r>
  <r>
    <s v="ANT-0114"/>
    <d v="2023-10-30T22:18:00"/>
    <n v="48"/>
    <s v="En Cours"/>
    <x v="2"/>
    <s v="Non trouvé"/>
    <s v="Non trouvé"/>
    <x v="1"/>
    <s v="Non trouvé"/>
    <s v="Antenne inconnue"/>
    <n v="2"/>
    <n v="120"/>
  </r>
  <r>
    <s v="ANT-0114"/>
    <d v="2023-10-13T16:23:00"/>
    <n v="72"/>
    <s v="Résolu"/>
    <x v="2"/>
    <s v="Non trouvé"/>
    <s v="Non trouvé"/>
    <x v="1"/>
    <s v="Non trouvé"/>
    <s v="Antenne inconnue"/>
    <n v="2"/>
    <n v="120"/>
  </r>
  <r>
    <s v="ANT-0115"/>
    <d v="2023-10-28T07:55:00"/>
    <n v="28"/>
    <s v="Non Résolu"/>
    <x v="2"/>
    <s v="Non trouvé"/>
    <s v="Non trouvé"/>
    <x v="1"/>
    <s v="Non trouvé"/>
    <s v="Antenne inconnue"/>
    <n v="7"/>
    <n v="361"/>
  </r>
  <r>
    <s v="ANT-0115"/>
    <d v="2023-10-27T09:15:00"/>
    <n v="107"/>
    <s v="Non Résolu"/>
    <x v="2"/>
    <s v="Non trouvé"/>
    <s v="Non trouvé"/>
    <x v="1"/>
    <s v="Non trouvé"/>
    <s v="Antenne inconnue"/>
    <n v="7"/>
    <n v="361"/>
  </r>
  <r>
    <s v="ANT-0115"/>
    <d v="2023-10-30T16:17:00"/>
    <n v="65"/>
    <s v="Résolu"/>
    <x v="2"/>
    <s v="Non trouvé"/>
    <s v="Non trouvé"/>
    <x v="1"/>
    <s v="Non trouvé"/>
    <s v="Antenne inconnue"/>
    <n v="7"/>
    <n v="361"/>
  </r>
  <r>
    <s v="ANT-0115"/>
    <d v="2023-10-02T10:15:00"/>
    <n v="49"/>
    <s v="Résolu"/>
    <x v="2"/>
    <s v="Non trouvé"/>
    <s v="Non trouvé"/>
    <x v="1"/>
    <s v="Non trouvé"/>
    <s v="Antenne inconnue"/>
    <n v="7"/>
    <n v="361"/>
  </r>
  <r>
    <s v="ANT-0115"/>
    <d v="2023-10-24T11:51:00"/>
    <n v="75"/>
    <s v="Non Résolu"/>
    <x v="2"/>
    <s v="Non trouvé"/>
    <s v="Non trouvé"/>
    <x v="1"/>
    <s v="Non trouvé"/>
    <s v="Antenne inconnue"/>
    <n v="7"/>
    <n v="361"/>
  </r>
  <r>
    <s v="ANT-0115"/>
    <d v="2023-10-06T14:24:00"/>
    <n v="19"/>
    <s v="Non Résolu"/>
    <x v="2"/>
    <s v="Non trouvé"/>
    <s v="Non trouvé"/>
    <x v="1"/>
    <s v="Non trouvé"/>
    <s v="Antenne inconnue"/>
    <n v="7"/>
    <n v="361"/>
  </r>
  <r>
    <s v="ANT-0115"/>
    <d v="2023-10-02T18:30:00"/>
    <n v="18"/>
    <s v="En Cours"/>
    <x v="2"/>
    <s v="Non trouvé"/>
    <s v="Non trouvé"/>
    <x v="1"/>
    <s v="Non trouvé"/>
    <s v="Antenne inconnue"/>
    <n v="7"/>
    <n v="361"/>
  </r>
  <r>
    <s v="ANT-0116"/>
    <d v="2023-10-04T03:47:00"/>
    <n v="25"/>
    <s v="Non Résolu"/>
    <x v="2"/>
    <s v="Non trouvé"/>
    <s v="Non trouvé"/>
    <x v="1"/>
    <s v="Non trouvé"/>
    <s v="Antenne inconnue"/>
    <n v="9"/>
    <n v="552"/>
  </r>
  <r>
    <s v="ANT-0116"/>
    <d v="2023-10-28T18:37:00"/>
    <n v="76"/>
    <s v="Résolu"/>
    <x v="2"/>
    <s v="Non trouvé"/>
    <s v="Non trouvé"/>
    <x v="1"/>
    <s v="Non trouvé"/>
    <s v="Antenne inconnue"/>
    <n v="9"/>
    <n v="552"/>
  </r>
  <r>
    <s v="ANT-0116"/>
    <d v="2023-10-22T02:17:00"/>
    <n v="55"/>
    <s v="Résolu"/>
    <x v="2"/>
    <s v="Non trouvé"/>
    <s v="Non trouvé"/>
    <x v="1"/>
    <s v="Non trouvé"/>
    <s v="Antenne inconnue"/>
    <n v="9"/>
    <n v="552"/>
  </r>
  <r>
    <s v="ANT-0116"/>
    <d v="2023-10-17T20:07:00"/>
    <n v="96"/>
    <s v="En Cours"/>
    <x v="2"/>
    <s v="Non trouvé"/>
    <s v="Non trouvé"/>
    <x v="1"/>
    <s v="Non trouvé"/>
    <s v="Antenne inconnue"/>
    <n v="9"/>
    <n v="552"/>
  </r>
  <r>
    <s v="ANT-0116"/>
    <d v="2023-10-26T15:57:00"/>
    <n v="58"/>
    <s v="En Cours"/>
    <x v="2"/>
    <s v="Non trouvé"/>
    <s v="Non trouvé"/>
    <x v="1"/>
    <s v="Non trouvé"/>
    <s v="Antenne inconnue"/>
    <n v="9"/>
    <n v="552"/>
  </r>
  <r>
    <s v="ANT-0116"/>
    <d v="2023-10-02T10:59:00"/>
    <n v="7"/>
    <s v="Résolu"/>
    <x v="2"/>
    <s v="Non trouvé"/>
    <s v="Non trouvé"/>
    <x v="1"/>
    <s v="Non trouvé"/>
    <s v="Antenne inconnue"/>
    <n v="9"/>
    <n v="552"/>
  </r>
  <r>
    <m/>
    <n v="45221.146527777782"/>
    <n v="83"/>
    <s v="En Cours"/>
    <x v="2"/>
    <s v="Non trouvé"/>
    <s v="Non trouvé"/>
    <x v="1"/>
    <s v="Non trouvé"/>
    <s v="Antenne inconnue"/>
    <n v="0"/>
    <n v="0"/>
  </r>
  <r>
    <s v="ANT-0116"/>
    <d v="2023-10-05T16:26:00"/>
    <n v="92"/>
    <s v="Résolu"/>
    <x v="2"/>
    <s v="Non trouvé"/>
    <s v="Non trouvé"/>
    <x v="1"/>
    <s v="Non trouvé"/>
    <s v="Antenne inconnue"/>
    <n v="9"/>
    <n v="552"/>
  </r>
  <r>
    <s v="ANT-0116"/>
    <d v="2023-10-26T22:07:00"/>
    <n v="45"/>
    <s v="Résolu"/>
    <x v="2"/>
    <s v="Non trouvé"/>
    <s v="Non trouvé"/>
    <x v="1"/>
    <s v="Non trouvé"/>
    <s v="Antenne inconnue"/>
    <n v="9"/>
    <n v="552"/>
  </r>
  <r>
    <s v="ANT-0116"/>
    <d v="2023-10-25T07:27:00"/>
    <n v="98"/>
    <s v="Non Résolu"/>
    <x v="2"/>
    <s v="Non trouvé"/>
    <s v="Non trouvé"/>
    <x v="1"/>
    <s v="Non trouvé"/>
    <s v="Antenne inconnue"/>
    <n v="9"/>
    <n v="552"/>
  </r>
  <r>
    <s v="ANT-0117"/>
    <d v="2023-10-27T14:58:00"/>
    <n v="118"/>
    <s v="Non Résolu"/>
    <x v="19"/>
    <n v="1.938083"/>
    <n v="28.25281"/>
    <x v="0"/>
    <s v="Nokia"/>
    <s v="OK"/>
    <n v="5"/>
    <n v="420"/>
  </r>
  <r>
    <s v="ANT-0117"/>
    <d v="2023-10-22T12:04:00"/>
    <n v="97"/>
    <s v="Non Résolu"/>
    <x v="19"/>
    <n v="1.938083"/>
    <n v="28.25281"/>
    <x v="0"/>
    <s v="Nokia"/>
    <s v="OK"/>
    <n v="5"/>
    <n v="420"/>
  </r>
  <r>
    <s v="ANT-0117"/>
    <d v="2023-10-13T10:01:00"/>
    <n v="55"/>
    <s v="Non Résolu"/>
    <x v="19"/>
    <n v="1.938083"/>
    <n v="28.25281"/>
    <x v="0"/>
    <s v="Nokia"/>
    <s v="OK"/>
    <n v="5"/>
    <n v="420"/>
  </r>
  <r>
    <s v="ANT-0117"/>
    <d v="2023-10-04T21:51:00"/>
    <n v="62"/>
    <s v="Résolu"/>
    <x v="19"/>
    <n v="1.938083"/>
    <n v="28.25281"/>
    <x v="0"/>
    <s v="Nokia"/>
    <s v="OK"/>
    <n v="5"/>
    <n v="420"/>
  </r>
  <r>
    <s v="ANT-0117"/>
    <d v="2023-10-17T10:27:00"/>
    <n v="88"/>
    <s v="Résolu"/>
    <x v="19"/>
    <n v="1.938083"/>
    <n v="28.25281"/>
    <x v="0"/>
    <s v="Nokia"/>
    <s v="OK"/>
    <n v="5"/>
    <n v="420"/>
  </r>
  <r>
    <s v="ANT-0118"/>
    <d v="2023-10-20T14:33:00"/>
    <n v="93"/>
    <s v="En Cours"/>
    <x v="2"/>
    <s v="Non trouvé"/>
    <s v="Non trouvé"/>
    <x v="1"/>
    <s v="Non trouvé"/>
    <s v="Antenne inconnue"/>
    <n v="10"/>
    <n v="647"/>
  </r>
  <r>
    <s v="ANT-0118"/>
    <d v="2023-10-17T13:53:00"/>
    <n v="79"/>
    <s v="Résolu"/>
    <x v="2"/>
    <s v="Non trouvé"/>
    <s v="Non trouvé"/>
    <x v="1"/>
    <s v="Non trouvé"/>
    <s v="Antenne inconnue"/>
    <n v="10"/>
    <n v="647"/>
  </r>
  <r>
    <s v="ANT-0118"/>
    <d v="2023-10-24T16:41:00"/>
    <n v="20"/>
    <s v="Résolu"/>
    <x v="2"/>
    <s v="Non trouvé"/>
    <s v="Non trouvé"/>
    <x v="1"/>
    <s v="Non trouvé"/>
    <s v="Antenne inconnue"/>
    <n v="10"/>
    <n v="647"/>
  </r>
  <r>
    <s v="ANT-0118"/>
    <d v="2023-10-10T20:27:00"/>
    <n v="93"/>
    <s v="Résolu"/>
    <x v="2"/>
    <s v="Non trouvé"/>
    <s v="Non trouvé"/>
    <x v="1"/>
    <s v="Non trouvé"/>
    <s v="Antenne inconnue"/>
    <n v="10"/>
    <n v="647"/>
  </r>
  <r>
    <s v="ANT-0118"/>
    <d v="2023-10-15T01:03:00"/>
    <n v="70"/>
    <s v="En Cours"/>
    <x v="2"/>
    <s v="Non trouvé"/>
    <s v="Non trouvé"/>
    <x v="1"/>
    <s v="Non trouvé"/>
    <s v="Antenne inconnue"/>
    <n v="10"/>
    <n v="647"/>
  </r>
  <r>
    <s v="ANT-0118"/>
    <d v="2023-10-06T11:23:00"/>
    <n v="101"/>
    <s v="En Cours"/>
    <x v="2"/>
    <s v="Non trouvé"/>
    <s v="Non trouvé"/>
    <x v="1"/>
    <s v="Non trouvé"/>
    <s v="Antenne inconnue"/>
    <n v="10"/>
    <n v="647"/>
  </r>
  <r>
    <s v="ANT-0118"/>
    <d v="2023-10-10T03:03:00"/>
    <n v="24"/>
    <s v="En Cours"/>
    <x v="2"/>
    <s v="Non trouvé"/>
    <s v="Non trouvé"/>
    <x v="1"/>
    <s v="Non trouvé"/>
    <s v="Antenne inconnue"/>
    <n v="10"/>
    <n v="647"/>
  </r>
  <r>
    <s v="ANT-0118"/>
    <d v="2023-10-11T00:11:00"/>
    <n v="59"/>
    <s v="Non Résolu"/>
    <x v="2"/>
    <s v="Non trouvé"/>
    <s v="Non trouvé"/>
    <x v="1"/>
    <s v="Non trouvé"/>
    <s v="Antenne inconnue"/>
    <n v="10"/>
    <n v="647"/>
  </r>
  <r>
    <s v="ANT-0118"/>
    <d v="2023-10-10T11:06:00"/>
    <n v="102"/>
    <s v="En Cours"/>
    <x v="2"/>
    <s v="Non trouvé"/>
    <s v="Non trouvé"/>
    <x v="1"/>
    <s v="Non trouvé"/>
    <s v="Antenne inconnue"/>
    <n v="10"/>
    <n v="647"/>
  </r>
  <r>
    <s v="ANT-0118"/>
    <d v="2023-10-01T20:04:00"/>
    <n v="6"/>
    <s v="Résolu"/>
    <x v="2"/>
    <s v="Non trouvé"/>
    <s v="Non trouvé"/>
    <x v="1"/>
    <s v="Non trouvé"/>
    <s v="Antenne inconnue"/>
    <n v="10"/>
    <n v="647"/>
  </r>
  <r>
    <s v="ANT-0119"/>
    <d v="2023-10-18T08:47:00"/>
    <n v="46"/>
    <s v="En Cours"/>
    <x v="2"/>
    <s v="Non trouvé"/>
    <s v="Non trouvé"/>
    <x v="1"/>
    <s v="Non trouvé"/>
    <s v="Antenne inconnue"/>
    <n v="6"/>
    <n v="320"/>
  </r>
  <r>
    <s v="ANT-0119"/>
    <d v="2023-10-22T20:19:00"/>
    <n v="16"/>
    <s v="Non Résolu"/>
    <x v="2"/>
    <s v="Non trouvé"/>
    <s v="Non trouvé"/>
    <x v="1"/>
    <s v="Non trouvé"/>
    <s v="Antenne inconnue"/>
    <n v="6"/>
    <n v="320"/>
  </r>
  <r>
    <s v="ANT-0119"/>
    <d v="2023-10-14T03:08:00"/>
    <n v="95"/>
    <s v="Non Résolu"/>
    <x v="2"/>
    <s v="Non trouvé"/>
    <s v="Non trouvé"/>
    <x v="1"/>
    <s v="Non trouvé"/>
    <s v="Antenne inconnue"/>
    <n v="6"/>
    <n v="320"/>
  </r>
  <r>
    <s v="ANT-0119"/>
    <d v="2023-10-11T18:27:00"/>
    <n v="22"/>
    <s v="Non Résolu"/>
    <x v="2"/>
    <s v="Non trouvé"/>
    <s v="Non trouvé"/>
    <x v="1"/>
    <s v="Non trouvé"/>
    <s v="Antenne inconnue"/>
    <n v="6"/>
    <n v="320"/>
  </r>
  <r>
    <s v="ANT-0119"/>
    <d v="2023-10-31T15:07:00"/>
    <n v="91"/>
    <s v="Résolu"/>
    <x v="2"/>
    <s v="Non trouvé"/>
    <s v="Non trouvé"/>
    <x v="1"/>
    <s v="Non trouvé"/>
    <s v="Antenne inconnue"/>
    <n v="6"/>
    <n v="320"/>
  </r>
  <r>
    <s v="ANT-0119"/>
    <d v="2023-10-26T10:23:00"/>
    <n v="50"/>
    <s v="Non Résolu"/>
    <x v="2"/>
    <s v="Non trouvé"/>
    <s v="Non trouvé"/>
    <x v="1"/>
    <s v="Non trouvé"/>
    <s v="Antenne inconnue"/>
    <n v="6"/>
    <n v="320"/>
  </r>
  <r>
    <s v="ANT-0120"/>
    <d v="2023-10-04T19:27:00"/>
    <n v="14"/>
    <s v="Résolu"/>
    <x v="18"/>
    <n v="3.4676979999999999"/>
    <n v="13.459707"/>
    <x v="2"/>
    <s v="Huawei"/>
    <s v="OK"/>
    <n v="2"/>
    <n v="118"/>
  </r>
  <r>
    <m/>
    <n v="45210.879861111112"/>
    <n v="88"/>
    <s v="Non Résolu"/>
    <x v="2"/>
    <s v="Non trouvé"/>
    <s v="Non trouvé"/>
    <x v="1"/>
    <s v="Non trouvé"/>
    <s v="Antenne inconnue"/>
    <n v="0"/>
    <n v="0"/>
  </r>
  <r>
    <s v="ANT-0120"/>
    <d v="2023-10-22T06:23:00"/>
    <n v="104"/>
    <s v="Résolu"/>
    <x v="18"/>
    <n v="3.4676979999999999"/>
    <n v="13.459707"/>
    <x v="2"/>
    <s v="Huawei"/>
    <s v="OK"/>
    <n v="2"/>
    <n v="118"/>
  </r>
  <r>
    <s v="ANT-0121"/>
    <d v="2023-10-14T10:17:00"/>
    <n v="88"/>
    <s v="Résolu"/>
    <x v="4"/>
    <n v="-7.3952039999999997"/>
    <n v="21.651043999999999"/>
    <x v="0"/>
    <s v="Huawei"/>
    <s v="OK"/>
    <n v="3"/>
    <n v="257"/>
  </r>
  <r>
    <s v="ANT-0121"/>
    <d v="2023-10-11T21:54:00"/>
    <n v="80"/>
    <s v="Résolu"/>
    <x v="4"/>
    <n v="-7.3952039999999997"/>
    <n v="21.651043999999999"/>
    <x v="0"/>
    <s v="Huawei"/>
    <s v="OK"/>
    <n v="3"/>
    <n v="257"/>
  </r>
  <r>
    <s v="ANT-0121"/>
    <d v="2023-10-31T09:29:00"/>
    <n v="89"/>
    <s v="En Cours"/>
    <x v="4"/>
    <n v="-7.3952039999999997"/>
    <n v="21.651043999999999"/>
    <x v="0"/>
    <s v="Huawei"/>
    <s v="OK"/>
    <n v="3"/>
    <n v="257"/>
  </r>
  <r>
    <s v="ANT-0122"/>
    <d v="2023-10-20T02:26:00"/>
    <n v="14"/>
    <s v="En Cours"/>
    <x v="15"/>
    <n v="1.897178"/>
    <n v="23.902604"/>
    <x v="3"/>
    <s v="Nokia"/>
    <s v="OK"/>
    <n v="5"/>
    <n v="244"/>
  </r>
  <r>
    <s v="ANT-0122"/>
    <d v="2023-10-03T07:46:00"/>
    <n v="46"/>
    <s v="En Cours"/>
    <x v="15"/>
    <n v="1.897178"/>
    <n v="23.902604"/>
    <x v="3"/>
    <s v="Nokia"/>
    <s v="OK"/>
    <n v="5"/>
    <n v="244"/>
  </r>
  <r>
    <s v="ANT-0122"/>
    <d v="2023-10-19T16:38:00"/>
    <n v="35"/>
    <s v="En Cours"/>
    <x v="15"/>
    <n v="1.897178"/>
    <n v="23.902604"/>
    <x v="3"/>
    <s v="Nokia"/>
    <s v="OK"/>
    <n v="5"/>
    <n v="244"/>
  </r>
  <r>
    <s v="ANT-0122"/>
    <d v="2023-10-06T11:19:00"/>
    <n v="117"/>
    <s v="En Cours"/>
    <x v="15"/>
    <n v="1.897178"/>
    <n v="23.902604"/>
    <x v="3"/>
    <s v="Nokia"/>
    <s v="OK"/>
    <n v="5"/>
    <n v="244"/>
  </r>
  <r>
    <s v="ANT-0122"/>
    <d v="2023-10-08T00:16:00"/>
    <n v="32"/>
    <s v="Résolu"/>
    <x v="15"/>
    <n v="1.897178"/>
    <n v="23.902604"/>
    <x v="3"/>
    <s v="Nokia"/>
    <s v="OK"/>
    <n v="5"/>
    <n v="244"/>
  </r>
  <r>
    <s v="ANT-0123"/>
    <d v="2023-10-12T17:56:00"/>
    <n v="52"/>
    <s v="Non Résolu"/>
    <x v="4"/>
    <n v="-1.6893210000000001"/>
    <n v="30.446543999999999"/>
    <x v="0"/>
    <s v="Huawei"/>
    <s v="OK"/>
    <n v="5"/>
    <n v="402"/>
  </r>
  <r>
    <s v="ANT-0123"/>
    <d v="2023-10-13T01:54:00"/>
    <n v="96"/>
    <s v="Résolu"/>
    <x v="4"/>
    <n v="-1.6893210000000001"/>
    <n v="30.446543999999999"/>
    <x v="0"/>
    <s v="Huawei"/>
    <s v="OK"/>
    <n v="5"/>
    <n v="402"/>
  </r>
  <r>
    <s v="ANT-0123"/>
    <d v="2023-10-15T01:37:00"/>
    <n v="53"/>
    <s v="Résolu"/>
    <x v="4"/>
    <n v="-1.6893210000000001"/>
    <n v="30.446543999999999"/>
    <x v="0"/>
    <s v="Huawei"/>
    <s v="OK"/>
    <n v="5"/>
    <n v="402"/>
  </r>
  <r>
    <s v="ANT-0123"/>
    <d v="2023-10-03T17:13:00"/>
    <n v="107"/>
    <s v="En Cours"/>
    <x v="4"/>
    <n v="-1.6893210000000001"/>
    <n v="30.446543999999999"/>
    <x v="0"/>
    <s v="Huawei"/>
    <s v="OK"/>
    <n v="5"/>
    <n v="402"/>
  </r>
  <r>
    <s v="ANT-0123"/>
    <d v="2023-10-05T15:00:00"/>
    <n v="94"/>
    <s v="En Cours"/>
    <x v="4"/>
    <n v="-1.6893210000000001"/>
    <n v="30.446543999999999"/>
    <x v="0"/>
    <s v="Huawei"/>
    <s v="OK"/>
    <n v="5"/>
    <n v="402"/>
  </r>
  <r>
    <s v="ANT-0124"/>
    <d v="2023-10-11T06:29:00"/>
    <n v="36"/>
    <s v="Non Résolu"/>
    <x v="2"/>
    <s v="Non trouvé"/>
    <s v="Non trouvé"/>
    <x v="1"/>
    <s v="Non trouvé"/>
    <s v="Antenne inconnue"/>
    <n v="4"/>
    <n v="118"/>
  </r>
  <r>
    <s v="ANT-0124"/>
    <d v="2023-10-06T02:39:00"/>
    <n v="9"/>
    <s v="Non Résolu"/>
    <x v="2"/>
    <s v="Non trouvé"/>
    <s v="Non trouvé"/>
    <x v="1"/>
    <s v="Non trouvé"/>
    <s v="Antenne inconnue"/>
    <n v="4"/>
    <n v="118"/>
  </r>
  <r>
    <s v="ANT-0124"/>
    <d v="2023-10-28T17:23:00"/>
    <n v="46"/>
    <s v="Résolu"/>
    <x v="2"/>
    <s v="Non trouvé"/>
    <s v="Non trouvé"/>
    <x v="1"/>
    <s v="Non trouvé"/>
    <s v="Antenne inconnue"/>
    <n v="4"/>
    <n v="118"/>
  </r>
  <r>
    <s v="ANT-0124"/>
    <d v="2023-10-17T06:24:00"/>
    <n v="27"/>
    <s v="Non Résolu"/>
    <x v="2"/>
    <s v="Non trouvé"/>
    <s v="Non trouvé"/>
    <x v="1"/>
    <s v="Non trouvé"/>
    <s v="Antenne inconnue"/>
    <n v="4"/>
    <n v="118"/>
  </r>
  <r>
    <s v="ant-0125"/>
    <d v="2023-10-29T12:17:00"/>
    <n v="108"/>
    <s v="Résolu"/>
    <x v="2"/>
    <s v="Non trouvé"/>
    <s v="Non trouvé"/>
    <x v="1"/>
    <s v="Non trouvé"/>
    <s v="Antenne inconnue"/>
    <n v="4"/>
    <n v="356"/>
  </r>
  <r>
    <s v="ANT-0125"/>
    <d v="2023-10-24T16:02:00"/>
    <n v="86"/>
    <s v="En Cours"/>
    <x v="2"/>
    <s v="Non trouvé"/>
    <s v="Non trouvé"/>
    <x v="1"/>
    <s v="Non trouvé"/>
    <s v="Antenne inconnue"/>
    <n v="4"/>
    <n v="356"/>
  </r>
  <r>
    <s v="ANT-0125"/>
    <d v="2023-10-14T05:52:00"/>
    <n v="73"/>
    <s v="En Cours"/>
    <x v="2"/>
    <s v="Non trouvé"/>
    <s v="Non trouvé"/>
    <x v="1"/>
    <s v="Non trouvé"/>
    <s v="Antenne inconnue"/>
    <n v="4"/>
    <n v="356"/>
  </r>
  <r>
    <s v="ANT-0125"/>
    <d v="2023-10-15T22:19:00"/>
    <n v="89"/>
    <s v="En Cours"/>
    <x v="2"/>
    <s v="Non trouvé"/>
    <s v="Non trouvé"/>
    <x v="1"/>
    <s v="Non trouvé"/>
    <s v="Antenne inconnue"/>
    <n v="4"/>
    <n v="356"/>
  </r>
  <r>
    <s v="ANT-0126"/>
    <d v="2023-10-08T03:29:00"/>
    <n v="16"/>
    <s v="Non Résolu"/>
    <x v="2"/>
    <s v="Non trouvé"/>
    <s v="Non trouvé"/>
    <x v="1"/>
    <s v="Non trouvé"/>
    <s v="Antenne inconnue"/>
    <n v="10"/>
    <n v="658"/>
  </r>
  <r>
    <s v="ANT-0126"/>
    <d v="2023-10-27T23:57:00"/>
    <n v="80"/>
    <s v="Résolu"/>
    <x v="2"/>
    <s v="Non trouvé"/>
    <s v="Non trouvé"/>
    <x v="1"/>
    <s v="Non trouvé"/>
    <s v="Antenne inconnue"/>
    <n v="10"/>
    <n v="658"/>
  </r>
  <r>
    <s v="ANT-0126"/>
    <d v="2023-10-15T02:45:00"/>
    <n v="48"/>
    <s v="En Cours"/>
    <x v="2"/>
    <s v="Non trouvé"/>
    <s v="Non trouvé"/>
    <x v="1"/>
    <s v="Non trouvé"/>
    <s v="Antenne inconnue"/>
    <n v="10"/>
    <n v="658"/>
  </r>
  <r>
    <s v="ANT-0126"/>
    <d v="2023-10-31T00:48:00"/>
    <n v="51"/>
    <s v="Résolu"/>
    <x v="2"/>
    <s v="Non trouvé"/>
    <s v="Non trouvé"/>
    <x v="1"/>
    <s v="Non trouvé"/>
    <s v="Antenne inconnue"/>
    <n v="10"/>
    <n v="658"/>
  </r>
  <r>
    <s v="ANT-0126"/>
    <d v="2023-10-10T23:55:00"/>
    <n v="103"/>
    <s v="Non Résolu"/>
    <x v="2"/>
    <s v="Non trouvé"/>
    <s v="Non trouvé"/>
    <x v="1"/>
    <s v="Non trouvé"/>
    <s v="Antenne inconnue"/>
    <n v="10"/>
    <n v="658"/>
  </r>
  <r>
    <s v="ANT-0126"/>
    <d v="2023-10-15T18:35:00"/>
    <n v="90"/>
    <s v="En Cours"/>
    <x v="2"/>
    <s v="Non trouvé"/>
    <s v="Non trouvé"/>
    <x v="1"/>
    <s v="Non trouvé"/>
    <s v="Antenne inconnue"/>
    <n v="10"/>
    <n v="658"/>
  </r>
  <r>
    <s v="ANT-0126"/>
    <d v="2023-10-12T21:46:00"/>
    <n v="24"/>
    <s v="Non Résolu"/>
    <x v="2"/>
    <s v="Non trouvé"/>
    <s v="Non trouvé"/>
    <x v="1"/>
    <s v="Non trouvé"/>
    <s v="Antenne inconnue"/>
    <n v="10"/>
    <n v="658"/>
  </r>
  <r>
    <s v="ANT-0126"/>
    <d v="2023-10-31T07:52:00"/>
    <n v="116"/>
    <s v="Résolu"/>
    <x v="2"/>
    <s v="Non trouvé"/>
    <s v="Non trouvé"/>
    <x v="1"/>
    <s v="Non trouvé"/>
    <s v="Antenne inconnue"/>
    <n v="10"/>
    <n v="658"/>
  </r>
  <r>
    <s v="ANT-0126"/>
    <d v="2023-10-08T12:05:00"/>
    <n v="62"/>
    <s v="Résolu"/>
    <x v="2"/>
    <s v="Non trouvé"/>
    <s v="Non trouvé"/>
    <x v="1"/>
    <s v="Non trouvé"/>
    <s v="Antenne inconnue"/>
    <n v="10"/>
    <n v="658"/>
  </r>
  <r>
    <s v="ANT-0126"/>
    <d v="2023-10-03T21:54:00"/>
    <n v="68"/>
    <s v="En Cours"/>
    <x v="2"/>
    <s v="Non trouvé"/>
    <s v="Non trouvé"/>
    <x v="1"/>
    <s v="Non trouvé"/>
    <s v="Antenne inconnue"/>
    <n v="10"/>
    <n v="658"/>
  </r>
  <r>
    <s v="ANT-0127"/>
    <d v="2023-10-01T12:16:00"/>
    <n v="54"/>
    <s v="Non Résolu"/>
    <x v="2"/>
    <s v="Non trouvé"/>
    <s v="Non trouvé"/>
    <x v="1"/>
    <s v="Non trouvé"/>
    <s v="Antenne inconnue"/>
    <n v="6"/>
    <n v="444"/>
  </r>
  <r>
    <s v="ant-0127"/>
    <d v="2023-10-28T03:28:00"/>
    <n v="84"/>
    <s v="Résolu"/>
    <x v="2"/>
    <s v="Non trouvé"/>
    <s v="Non trouvé"/>
    <x v="1"/>
    <s v="Non trouvé"/>
    <s v="Antenne inconnue"/>
    <n v="6"/>
    <n v="444"/>
  </r>
  <r>
    <s v="ANT-0127"/>
    <d v="2023-10-26T14:57:00"/>
    <n v="45"/>
    <s v="En Cours"/>
    <x v="2"/>
    <s v="Non trouvé"/>
    <s v="Non trouvé"/>
    <x v="1"/>
    <s v="Non trouvé"/>
    <s v="Antenne inconnue"/>
    <n v="6"/>
    <n v="444"/>
  </r>
  <r>
    <s v="ANT-0127"/>
    <d v="2023-10-03T05:17:00"/>
    <n v="92"/>
    <s v="Résolu"/>
    <x v="2"/>
    <s v="Non trouvé"/>
    <s v="Non trouvé"/>
    <x v="1"/>
    <s v="Non trouvé"/>
    <s v="Antenne inconnue"/>
    <n v="6"/>
    <n v="444"/>
  </r>
  <r>
    <m/>
    <n v="45218.647916666669"/>
    <n v="117"/>
    <s v="Non Résolu"/>
    <x v="2"/>
    <s v="Non trouvé"/>
    <s v="Non trouvé"/>
    <x v="1"/>
    <s v="Non trouvé"/>
    <s v="Antenne inconnue"/>
    <n v="0"/>
    <n v="0"/>
  </r>
  <r>
    <s v="ANT-0127"/>
    <d v="2023-10-18T00:40:00"/>
    <n v="61"/>
    <s v="Résolu"/>
    <x v="2"/>
    <s v="Non trouvé"/>
    <s v="Non trouvé"/>
    <x v="1"/>
    <s v="Non trouvé"/>
    <s v="Antenne inconnue"/>
    <n v="6"/>
    <n v="444"/>
  </r>
  <r>
    <s v="ANT-0127"/>
    <d v="2023-10-19T19:04:00"/>
    <n v="108"/>
    <s v="Résolu"/>
    <x v="2"/>
    <s v="Non trouvé"/>
    <s v="Non trouvé"/>
    <x v="1"/>
    <s v="Non trouvé"/>
    <s v="Antenne inconnue"/>
    <n v="6"/>
    <n v="444"/>
  </r>
  <r>
    <s v="ANT-0128"/>
    <d v="2023-10-24T23:47:00"/>
    <n v="111"/>
    <s v="Non Résolu"/>
    <x v="2"/>
    <s v="Non trouvé"/>
    <s v="Non trouvé"/>
    <x v="1"/>
    <s v="Non trouvé"/>
    <s v="Antenne inconnue"/>
    <n v="5"/>
    <n v="433"/>
  </r>
  <r>
    <s v="ANT-0128"/>
    <d v="2023-10-13T15:25:00"/>
    <n v="75"/>
    <s v="En Cours"/>
    <x v="2"/>
    <s v="Non trouvé"/>
    <s v="Non trouvé"/>
    <x v="1"/>
    <s v="Non trouvé"/>
    <s v="Antenne inconnue"/>
    <n v="5"/>
    <n v="433"/>
  </r>
  <r>
    <s v="ANT-0128"/>
    <d v="2023-10-08T09:42:00"/>
    <n v="68"/>
    <s v="Non Résolu"/>
    <x v="2"/>
    <s v="Non trouvé"/>
    <s v="Non trouvé"/>
    <x v="1"/>
    <s v="Non trouvé"/>
    <s v="Antenne inconnue"/>
    <n v="5"/>
    <n v="433"/>
  </r>
  <r>
    <s v="ANT-0128"/>
    <d v="2023-10-04T15:39:00"/>
    <n v="106"/>
    <s v="Résolu"/>
    <x v="2"/>
    <s v="Non trouvé"/>
    <s v="Non trouvé"/>
    <x v="1"/>
    <s v="Non trouvé"/>
    <s v="Antenne inconnue"/>
    <n v="5"/>
    <n v="433"/>
  </r>
  <r>
    <s v="ANT-0128"/>
    <d v="2023-10-08T04:09:00"/>
    <n v="73"/>
    <s v="En Cours"/>
    <x v="2"/>
    <s v="Non trouvé"/>
    <s v="Non trouvé"/>
    <x v="1"/>
    <s v="Non trouvé"/>
    <s v="Antenne inconnue"/>
    <n v="5"/>
    <n v="433"/>
  </r>
  <r>
    <s v="ANT-0129"/>
    <d v="2023-10-19T07:00:00"/>
    <n v="51"/>
    <s v="Non Résolu"/>
    <x v="2"/>
    <s v="Non trouvé"/>
    <s v="Non trouvé"/>
    <x v="1"/>
    <s v="Non trouvé"/>
    <s v="Antenne inconnue"/>
    <n v="4"/>
    <n v="228"/>
  </r>
  <r>
    <s v="ANT-0129"/>
    <d v="2023-10-20T23:45:00"/>
    <n v="48"/>
    <s v="Résolu"/>
    <x v="2"/>
    <s v="Non trouvé"/>
    <s v="Non trouvé"/>
    <x v="1"/>
    <s v="Non trouvé"/>
    <s v="Antenne inconnue"/>
    <n v="4"/>
    <n v="228"/>
  </r>
  <r>
    <s v="ANT-0129"/>
    <d v="2023-10-15T02:43:00"/>
    <n v="41"/>
    <s v="Non Résolu"/>
    <x v="2"/>
    <s v="Non trouvé"/>
    <s v="Non trouvé"/>
    <x v="1"/>
    <s v="Non trouvé"/>
    <s v="Antenne inconnue"/>
    <n v="4"/>
    <n v="228"/>
  </r>
  <r>
    <s v="ANT-0129"/>
    <d v="2023-10-10T11:06:00"/>
    <n v="88"/>
    <s v="En Cours"/>
    <x v="2"/>
    <s v="Non trouvé"/>
    <s v="Non trouvé"/>
    <x v="1"/>
    <s v="Non trouvé"/>
    <s v="Antenne inconnue"/>
    <n v="4"/>
    <n v="228"/>
  </r>
  <r>
    <s v="ANT-0130"/>
    <d v="2023-10-13T23:10:00"/>
    <n v="68"/>
    <s v="Non Résolu"/>
    <x v="2"/>
    <s v="Non trouvé"/>
    <s v="Non trouvé"/>
    <x v="1"/>
    <s v="Non trouvé"/>
    <s v="Antenne inconnue"/>
    <n v="5"/>
    <n v="311"/>
  </r>
  <r>
    <s v="ANT-0130"/>
    <d v="2023-10-29T19:00:00"/>
    <n v="41"/>
    <s v="En Cours"/>
    <x v="2"/>
    <s v="Non trouvé"/>
    <s v="Non trouvé"/>
    <x v="1"/>
    <s v="Non trouvé"/>
    <s v="Antenne inconnue"/>
    <n v="5"/>
    <n v="311"/>
  </r>
  <r>
    <s v="ANT-0130"/>
    <d v="2023-10-04T22:54:00"/>
    <n v="102"/>
    <s v="Résolu"/>
    <x v="2"/>
    <s v="Non trouvé"/>
    <s v="Non trouvé"/>
    <x v="1"/>
    <s v="Non trouvé"/>
    <s v="Antenne inconnue"/>
    <n v="5"/>
    <n v="311"/>
  </r>
  <r>
    <s v="ANT-0130"/>
    <d v="2023-10-29T20:22:00"/>
    <n v="18"/>
    <s v="En Cours"/>
    <x v="2"/>
    <s v="Non trouvé"/>
    <s v="Non trouvé"/>
    <x v="1"/>
    <s v="Non trouvé"/>
    <s v="Antenne inconnue"/>
    <n v="5"/>
    <n v="311"/>
  </r>
  <r>
    <s v="ANT-0130"/>
    <d v="2023-10-09T01:48:00"/>
    <n v="82"/>
    <s v="En Cours"/>
    <x v="2"/>
    <s v="Non trouvé"/>
    <s v="Non trouvé"/>
    <x v="1"/>
    <s v="Non trouvé"/>
    <s v="Antenne inconnue"/>
    <n v="5"/>
    <n v="311"/>
  </r>
  <r>
    <s v="ANT-0131"/>
    <d v="2023-10-11T14:25:00"/>
    <n v="47"/>
    <s v="En Cours"/>
    <x v="18"/>
    <n v="-9.3652239999999995"/>
    <n v="22.593423999999999"/>
    <x v="2"/>
    <s v="Nokia"/>
    <s v="OK"/>
    <n v="5"/>
    <n v="328"/>
  </r>
  <r>
    <s v="ANT-0131"/>
    <d v="2023-10-21T21:27:00"/>
    <n v="92"/>
    <s v="Non Résolu"/>
    <x v="18"/>
    <n v="-9.3652239999999995"/>
    <n v="22.593423999999999"/>
    <x v="2"/>
    <s v="Nokia"/>
    <s v="OK"/>
    <n v="5"/>
    <n v="328"/>
  </r>
  <r>
    <s v="ANT-0131"/>
    <d v="2023-10-23T04:18:00"/>
    <n v="92"/>
    <s v="Résolu"/>
    <x v="18"/>
    <n v="-9.3652239999999995"/>
    <n v="22.593423999999999"/>
    <x v="2"/>
    <s v="Nokia"/>
    <s v="OK"/>
    <n v="5"/>
    <n v="328"/>
  </r>
  <r>
    <s v="ANT-0131"/>
    <d v="2023-10-15T10:59:00"/>
    <n v="48"/>
    <s v="En Cours"/>
    <x v="18"/>
    <n v="-9.3652239999999995"/>
    <n v="22.593423999999999"/>
    <x v="2"/>
    <s v="Nokia"/>
    <s v="OK"/>
    <n v="5"/>
    <n v="328"/>
  </r>
  <r>
    <s v="ANT-0131"/>
    <d v="2023-10-21T11:44:00"/>
    <n v="49"/>
    <s v="En Cours"/>
    <x v="18"/>
    <n v="-9.3652239999999995"/>
    <n v="22.593423999999999"/>
    <x v="2"/>
    <s v="Nokia"/>
    <s v="OK"/>
    <n v="5"/>
    <n v="328"/>
  </r>
  <r>
    <s v="ANT-0132"/>
    <d v="2023-10-30T17:43:00"/>
    <n v="117"/>
    <s v="En Cours"/>
    <x v="21"/>
    <n v="1.2691650000000001"/>
    <n v="18.789956"/>
    <x v="3"/>
    <s v="Nokia"/>
    <s v="OK"/>
    <n v="3"/>
    <n v="192"/>
  </r>
  <r>
    <s v="ANT-0132"/>
    <d v="2023-10-19T18:42:00"/>
    <n v="52"/>
    <s v="Résolu"/>
    <x v="21"/>
    <n v="1.2691650000000001"/>
    <n v="18.789956"/>
    <x v="3"/>
    <s v="Nokia"/>
    <s v="OK"/>
    <n v="3"/>
    <n v="192"/>
  </r>
  <r>
    <s v="ANT-0132"/>
    <d v="2023-10-13T21:01:00"/>
    <n v="23"/>
    <s v="Résolu"/>
    <x v="21"/>
    <n v="1.2691650000000001"/>
    <n v="18.789956"/>
    <x v="3"/>
    <s v="Nokia"/>
    <s v="OK"/>
    <n v="3"/>
    <n v="192"/>
  </r>
  <r>
    <s v="ANT-0133"/>
    <d v="2023-10-11T13:20:00"/>
    <n v="65"/>
    <s v="En Cours"/>
    <x v="2"/>
    <s v="Non trouvé"/>
    <s v="Non trouvé"/>
    <x v="1"/>
    <s v="Non trouvé"/>
    <s v="Antenne inconnue"/>
    <n v="2"/>
    <n v="106"/>
  </r>
  <r>
    <s v="ANT-0133"/>
    <d v="2023-10-06T04:24:00"/>
    <n v="41"/>
    <s v="Non Résolu"/>
    <x v="2"/>
    <s v="Non trouvé"/>
    <s v="Non trouvé"/>
    <x v="1"/>
    <s v="Non trouvé"/>
    <s v="Antenne inconnue"/>
    <n v="2"/>
    <n v="106"/>
  </r>
  <r>
    <s v="ANT-0134"/>
    <d v="2023-10-21T20:06:00"/>
    <n v="22"/>
    <s v="En Cours"/>
    <x v="26"/>
    <n v="-10.963041"/>
    <n v="12.269857"/>
    <x v="0"/>
    <s v="Huawei"/>
    <s v="OK"/>
    <n v="5"/>
    <n v="230"/>
  </r>
  <r>
    <s v="ANT-0134"/>
    <d v="2023-10-01T02:47:00"/>
    <n v="9"/>
    <s v="Résolu"/>
    <x v="26"/>
    <n v="-10.963041"/>
    <n v="12.269857"/>
    <x v="0"/>
    <s v="Huawei"/>
    <s v="OK"/>
    <n v="5"/>
    <n v="230"/>
  </r>
  <r>
    <s v="ANT-0134"/>
    <d v="2023-10-07T12:57:00"/>
    <n v="43"/>
    <s v="Résolu"/>
    <x v="26"/>
    <n v="-10.963041"/>
    <n v="12.269857"/>
    <x v="0"/>
    <s v="Huawei"/>
    <s v="OK"/>
    <n v="5"/>
    <n v="230"/>
  </r>
  <r>
    <s v="ANT-0134"/>
    <d v="2023-10-29T14:55:00"/>
    <n v="98"/>
    <s v="En Cours"/>
    <x v="26"/>
    <n v="-10.963041"/>
    <n v="12.269857"/>
    <x v="0"/>
    <s v="Huawei"/>
    <s v="OK"/>
    <n v="5"/>
    <n v="230"/>
  </r>
  <r>
    <s v="ANT-0134"/>
    <d v="2023-10-13T21:38:00"/>
    <n v="58"/>
    <s v="Résolu"/>
    <x v="26"/>
    <n v="-10.963041"/>
    <n v="12.269857"/>
    <x v="0"/>
    <s v="Huawei"/>
    <s v="OK"/>
    <n v="5"/>
    <n v="230"/>
  </r>
  <r>
    <s v="ANT-0135"/>
    <d v="2023-10-31T01:37:00"/>
    <n v="95"/>
    <s v="En Cours"/>
    <x v="2"/>
    <s v="Non trouvé"/>
    <s v="Non trouvé"/>
    <x v="1"/>
    <s v="Non trouvé"/>
    <s v="Antenne inconnue"/>
    <n v="6"/>
    <n v="564"/>
  </r>
  <r>
    <s v="ANT-0135"/>
    <d v="2023-10-23T04:45:00"/>
    <n v="115"/>
    <s v="Non Résolu"/>
    <x v="2"/>
    <s v="Non trouvé"/>
    <s v="Non trouvé"/>
    <x v="1"/>
    <s v="Non trouvé"/>
    <s v="Antenne inconnue"/>
    <n v="6"/>
    <n v="564"/>
  </r>
  <r>
    <s v="ANT-0135"/>
    <d v="2023-10-27T20:15:00"/>
    <n v="98"/>
    <s v="Résolu"/>
    <x v="2"/>
    <s v="Non trouvé"/>
    <s v="Non trouvé"/>
    <x v="1"/>
    <s v="Non trouvé"/>
    <s v="Antenne inconnue"/>
    <n v="6"/>
    <n v="564"/>
  </r>
  <r>
    <s v="ANT-0135"/>
    <d v="2023-10-18T13:42:00"/>
    <n v="102"/>
    <s v="Non Résolu"/>
    <x v="2"/>
    <s v="Non trouvé"/>
    <s v="Non trouvé"/>
    <x v="1"/>
    <s v="Non trouvé"/>
    <s v="Antenne inconnue"/>
    <n v="6"/>
    <n v="564"/>
  </r>
  <r>
    <s v="ANT-0135"/>
    <d v="2023-10-04T17:14:00"/>
    <n v="114"/>
    <s v="Non Résolu"/>
    <x v="2"/>
    <s v="Non trouvé"/>
    <s v="Non trouvé"/>
    <x v="1"/>
    <s v="Non trouvé"/>
    <s v="Antenne inconnue"/>
    <n v="6"/>
    <n v="564"/>
  </r>
  <r>
    <s v="ANT-0135"/>
    <d v="2023-10-31T10:40:00"/>
    <n v="40"/>
    <s v="Résolu"/>
    <x v="2"/>
    <s v="Non trouvé"/>
    <s v="Non trouvé"/>
    <x v="1"/>
    <s v="Non trouvé"/>
    <s v="Antenne inconnue"/>
    <n v="6"/>
    <n v="564"/>
  </r>
  <r>
    <s v="ANT-0136"/>
    <d v="2023-10-11T12:17:00"/>
    <n v="82"/>
    <s v="Non Résolu"/>
    <x v="22"/>
    <n v="-9.3900009999999998"/>
    <n v="30.001517"/>
    <x v="3"/>
    <s v="Nokia"/>
    <s v="OK"/>
    <n v="7"/>
    <n v="416"/>
  </r>
  <r>
    <s v="ANT-0136"/>
    <d v="2023-10-05T11:56:00"/>
    <n v="49"/>
    <s v="Résolu"/>
    <x v="22"/>
    <n v="-9.3900009999999998"/>
    <n v="30.001517"/>
    <x v="3"/>
    <s v="Nokia"/>
    <s v="OK"/>
    <n v="7"/>
    <n v="416"/>
  </r>
  <r>
    <s v="ANT-0136"/>
    <d v="2023-10-07T00:39:00"/>
    <n v="25"/>
    <s v="Résolu"/>
    <x v="22"/>
    <n v="-9.3900009999999998"/>
    <n v="30.001517"/>
    <x v="3"/>
    <s v="Nokia"/>
    <s v="OK"/>
    <n v="7"/>
    <n v="416"/>
  </r>
  <r>
    <s v="ANT-0136"/>
    <d v="2023-10-09T07:07:00"/>
    <n v="68"/>
    <s v="Non Résolu"/>
    <x v="22"/>
    <n v="-9.3900009999999998"/>
    <n v="30.001517"/>
    <x v="3"/>
    <s v="Nokia"/>
    <s v="OK"/>
    <n v="7"/>
    <n v="416"/>
  </r>
  <r>
    <s v="ANT-0136"/>
    <d v="2023-10-31T23:57:00"/>
    <n v="17"/>
    <s v="Résolu"/>
    <x v="22"/>
    <n v="-9.3900009999999998"/>
    <n v="30.001517"/>
    <x v="3"/>
    <s v="Nokia"/>
    <s v="OK"/>
    <n v="7"/>
    <n v="416"/>
  </r>
  <r>
    <s v="ANT-0136"/>
    <d v="2023-10-29T00:02:00"/>
    <n v="100"/>
    <s v="Non Résolu"/>
    <x v="22"/>
    <n v="-9.3900009999999998"/>
    <n v="30.001517"/>
    <x v="3"/>
    <s v="Nokia"/>
    <s v="OK"/>
    <n v="7"/>
    <n v="416"/>
  </r>
  <r>
    <s v="ANT-0136"/>
    <d v="2023-10-11T11:56:00"/>
    <n v="75"/>
    <s v="En Cours"/>
    <x v="22"/>
    <n v="-9.3900009999999998"/>
    <n v="30.001517"/>
    <x v="3"/>
    <s v="Nokia"/>
    <s v="OK"/>
    <n v="7"/>
    <n v="416"/>
  </r>
  <r>
    <s v="ANT-0137"/>
    <d v="2023-10-02T03:09:00"/>
    <n v="82"/>
    <s v="En Cours"/>
    <x v="2"/>
    <s v="Non trouvé"/>
    <s v="Non trouvé"/>
    <x v="1"/>
    <s v="Non trouvé"/>
    <s v="Antenne inconnue"/>
    <n v="4"/>
    <n v="266"/>
  </r>
  <r>
    <s v="ANT-0137"/>
    <d v="2023-10-12T23:50:00"/>
    <n v="62"/>
    <s v="Résolu"/>
    <x v="2"/>
    <s v="Non trouvé"/>
    <s v="Non trouvé"/>
    <x v="1"/>
    <s v="Non trouvé"/>
    <s v="Antenne inconnue"/>
    <n v="4"/>
    <n v="266"/>
  </r>
  <r>
    <s v="ANT-0137"/>
    <d v="2023-10-25T04:50:00"/>
    <n v="10"/>
    <s v="Non Résolu"/>
    <x v="2"/>
    <s v="Non trouvé"/>
    <s v="Non trouvé"/>
    <x v="1"/>
    <s v="Non trouvé"/>
    <s v="Antenne inconnue"/>
    <n v="4"/>
    <n v="266"/>
  </r>
  <r>
    <s v="ANT-0137"/>
    <d v="2023-10-13T04:11:00"/>
    <n v="112"/>
    <s v="En Cours"/>
    <x v="2"/>
    <s v="Non trouvé"/>
    <s v="Non trouvé"/>
    <x v="1"/>
    <s v="Non trouvé"/>
    <s v="Antenne inconnue"/>
    <n v="4"/>
    <n v="266"/>
  </r>
  <r>
    <s v="ANT-0138"/>
    <d v="2023-10-11T01:14:00"/>
    <n v="15"/>
    <s v="Non Résolu"/>
    <x v="22"/>
    <n v="-3.6233270000000002"/>
    <n v="25.915645999999999"/>
    <x v="3"/>
    <s v="Huawei"/>
    <s v="OK"/>
    <n v="8"/>
    <n v="596"/>
  </r>
  <r>
    <s v="ANT-0138"/>
    <d v="2023-10-19T19:02:00"/>
    <n v="114"/>
    <s v="Résolu"/>
    <x v="22"/>
    <n v="-3.6233270000000002"/>
    <n v="25.915645999999999"/>
    <x v="3"/>
    <s v="Huawei"/>
    <s v="OK"/>
    <n v="8"/>
    <n v="596"/>
  </r>
  <r>
    <s v="ANT-0138"/>
    <d v="2023-10-23T10:13:00"/>
    <n v="94"/>
    <s v="En Cours"/>
    <x v="22"/>
    <n v="-3.6233270000000002"/>
    <n v="25.915645999999999"/>
    <x v="3"/>
    <s v="Huawei"/>
    <s v="OK"/>
    <n v="8"/>
    <n v="596"/>
  </r>
  <r>
    <s v="ANT-0138"/>
    <d v="2023-10-19T06:29:00"/>
    <n v="66"/>
    <s v="Non Résolu"/>
    <x v="22"/>
    <n v="-3.6233270000000002"/>
    <n v="25.915645999999999"/>
    <x v="3"/>
    <s v="Huawei"/>
    <s v="OK"/>
    <n v="8"/>
    <n v="596"/>
  </r>
  <r>
    <s v="ANT-0138"/>
    <d v="2023-10-11T00:11:00"/>
    <n v="100"/>
    <s v="Résolu"/>
    <x v="22"/>
    <n v="-3.6233270000000002"/>
    <n v="25.915645999999999"/>
    <x v="3"/>
    <s v="Huawei"/>
    <s v="OK"/>
    <n v="8"/>
    <n v="596"/>
  </r>
  <r>
    <s v="ANT-0138"/>
    <d v="2023-10-05T14:04:00"/>
    <n v="86"/>
    <s v="En Cours"/>
    <x v="22"/>
    <n v="-3.6233270000000002"/>
    <n v="25.915645999999999"/>
    <x v="3"/>
    <s v="Huawei"/>
    <s v="OK"/>
    <n v="8"/>
    <n v="596"/>
  </r>
  <r>
    <s v="ANT-0138"/>
    <d v="2023-10-25T19:08:00"/>
    <n v="52"/>
    <s v="Résolu"/>
    <x v="22"/>
    <n v="-3.6233270000000002"/>
    <n v="25.915645999999999"/>
    <x v="3"/>
    <s v="Huawei"/>
    <s v="OK"/>
    <n v="8"/>
    <n v="596"/>
  </r>
  <r>
    <s v="ANT-0138"/>
    <d v="2023-10-07T04:35:00"/>
    <n v="69"/>
    <s v="Non Résolu"/>
    <x v="22"/>
    <n v="-3.6233270000000002"/>
    <n v="25.915645999999999"/>
    <x v="3"/>
    <s v="Huawei"/>
    <s v="OK"/>
    <n v="8"/>
    <n v="596"/>
  </r>
  <r>
    <s v="ANT-0139"/>
    <d v="2023-10-15T18:17:00"/>
    <n v="104"/>
    <s v="Non Résolu"/>
    <x v="2"/>
    <s v="Non trouvé"/>
    <s v="Non trouvé"/>
    <x v="1"/>
    <s v="Non trouvé"/>
    <s v="Antenne inconnue"/>
    <n v="6"/>
    <n v="374"/>
  </r>
  <r>
    <s v="ANT-0139"/>
    <d v="2023-10-22T20:04:00"/>
    <n v="71"/>
    <s v="Non Résolu"/>
    <x v="2"/>
    <s v="Non trouvé"/>
    <s v="Non trouvé"/>
    <x v="1"/>
    <s v="Non trouvé"/>
    <s v="Antenne inconnue"/>
    <n v="6"/>
    <n v="374"/>
  </r>
  <r>
    <s v="ANT-0139"/>
    <d v="2023-10-23T09:25:00"/>
    <n v="9"/>
    <s v="En Cours"/>
    <x v="2"/>
    <s v="Non trouvé"/>
    <s v="Non trouvé"/>
    <x v="1"/>
    <s v="Non trouvé"/>
    <s v="Antenne inconnue"/>
    <n v="6"/>
    <n v="374"/>
  </r>
  <r>
    <s v="ANT-0139"/>
    <d v="2023-10-11T10:57:00"/>
    <n v="77"/>
    <s v="Non Résolu"/>
    <x v="2"/>
    <s v="Non trouvé"/>
    <s v="Non trouvé"/>
    <x v="1"/>
    <s v="Non trouvé"/>
    <s v="Antenne inconnue"/>
    <n v="6"/>
    <n v="374"/>
  </r>
  <r>
    <s v="ANT-0139"/>
    <d v="2023-10-04T06:40:00"/>
    <n v="51"/>
    <s v="Non Résolu"/>
    <x v="2"/>
    <s v="Non trouvé"/>
    <s v="Non trouvé"/>
    <x v="1"/>
    <s v="Non trouvé"/>
    <s v="Antenne inconnue"/>
    <n v="6"/>
    <n v="374"/>
  </r>
  <r>
    <s v="ANT-0139"/>
    <d v="2023-10-13T15:02:00"/>
    <n v="62"/>
    <s v="Non Résolu"/>
    <x v="2"/>
    <s v="Non trouvé"/>
    <s v="Non trouvé"/>
    <x v="1"/>
    <s v="Non trouvé"/>
    <s v="Antenne inconnue"/>
    <n v="6"/>
    <n v="374"/>
  </r>
  <r>
    <s v="ANT-0140"/>
    <d v="2023-10-08T04:32:00"/>
    <n v="44"/>
    <s v="Non Résolu"/>
    <x v="2"/>
    <s v="Non trouvé"/>
    <s v="Non trouvé"/>
    <x v="1"/>
    <s v="Non trouvé"/>
    <s v="Antenne inconnue"/>
    <n v="7"/>
    <n v="434"/>
  </r>
  <r>
    <s v="ANT-0140"/>
    <d v="2023-10-21T07:17:00"/>
    <n v="82"/>
    <s v="Non Résolu"/>
    <x v="2"/>
    <s v="Non trouvé"/>
    <s v="Non trouvé"/>
    <x v="1"/>
    <s v="Non trouvé"/>
    <s v="Antenne inconnue"/>
    <n v="7"/>
    <n v="434"/>
  </r>
  <r>
    <s v="ANT-0140"/>
    <d v="2023-10-02T17:18:00"/>
    <n v="41"/>
    <s v="Non Résolu"/>
    <x v="2"/>
    <s v="Non trouvé"/>
    <s v="Non trouvé"/>
    <x v="1"/>
    <s v="Non trouvé"/>
    <s v="Antenne inconnue"/>
    <n v="7"/>
    <n v="434"/>
  </r>
  <r>
    <s v="ANT-0140"/>
    <d v="2023-10-22T07:30:00"/>
    <n v="40"/>
    <s v="Résolu"/>
    <x v="2"/>
    <s v="Non trouvé"/>
    <s v="Non trouvé"/>
    <x v="1"/>
    <s v="Non trouvé"/>
    <s v="Antenne inconnue"/>
    <n v="7"/>
    <n v="434"/>
  </r>
  <r>
    <s v="ANT-0140"/>
    <d v="2023-10-06T03:42:00"/>
    <n v="49"/>
    <s v="En Cours"/>
    <x v="2"/>
    <s v="Non trouvé"/>
    <s v="Non trouvé"/>
    <x v="1"/>
    <s v="Non trouvé"/>
    <s v="Antenne inconnue"/>
    <n v="7"/>
    <n v="434"/>
  </r>
  <r>
    <s v="ANT-0140"/>
    <d v="2023-10-18T16:50:00"/>
    <n v="120"/>
    <s v="Non Résolu"/>
    <x v="2"/>
    <s v="Non trouvé"/>
    <s v="Non trouvé"/>
    <x v="1"/>
    <s v="Non trouvé"/>
    <s v="Antenne inconnue"/>
    <n v="7"/>
    <n v="434"/>
  </r>
  <r>
    <s v="ANT-0140"/>
    <d v="2023-10-19T23:48:00"/>
    <n v="58"/>
    <s v="Résolu"/>
    <x v="2"/>
    <s v="Non trouvé"/>
    <s v="Non trouvé"/>
    <x v="1"/>
    <s v="Non trouvé"/>
    <s v="Antenne inconnue"/>
    <n v="7"/>
    <n v="434"/>
  </r>
  <r>
    <s v="ANT-0141"/>
    <d v="2023-10-08T04:41:00"/>
    <n v="40"/>
    <s v="Non Résolu"/>
    <x v="2"/>
    <s v="Non trouvé"/>
    <s v="Non trouvé"/>
    <x v="1"/>
    <s v="Non trouvé"/>
    <s v="Antenne inconnue"/>
    <n v="6"/>
    <n v="303"/>
  </r>
  <r>
    <s v="ANT-0141"/>
    <d v="2023-10-21T02:40:00"/>
    <n v="43"/>
    <s v="En Cours"/>
    <x v="2"/>
    <s v="Non trouvé"/>
    <s v="Non trouvé"/>
    <x v="1"/>
    <s v="Non trouvé"/>
    <s v="Antenne inconnue"/>
    <n v="6"/>
    <n v="303"/>
  </r>
  <r>
    <s v="ANT-0141"/>
    <d v="2023-10-17T18:15:00"/>
    <n v="19"/>
    <s v="Résolu"/>
    <x v="2"/>
    <s v="Non trouvé"/>
    <s v="Non trouvé"/>
    <x v="1"/>
    <s v="Non trouvé"/>
    <s v="Antenne inconnue"/>
    <n v="6"/>
    <n v="303"/>
  </r>
  <r>
    <s v="ANT-0141"/>
    <d v="2023-10-23T12:24:00"/>
    <n v="66"/>
    <s v="Résolu"/>
    <x v="2"/>
    <s v="Non trouvé"/>
    <s v="Non trouvé"/>
    <x v="1"/>
    <s v="Non trouvé"/>
    <s v="Antenne inconnue"/>
    <n v="6"/>
    <n v="303"/>
  </r>
  <r>
    <s v="ANT-0141"/>
    <d v="2023-10-20T15:16:00"/>
    <n v="49"/>
    <s v="Résolu"/>
    <x v="2"/>
    <s v="Non trouvé"/>
    <s v="Non trouvé"/>
    <x v="1"/>
    <s v="Non trouvé"/>
    <s v="Antenne inconnue"/>
    <n v="6"/>
    <n v="303"/>
  </r>
  <r>
    <s v="ANT-0141"/>
    <d v="2023-10-11T16:12:00"/>
    <n v="86"/>
    <s v="En Cours"/>
    <x v="2"/>
    <s v="Non trouvé"/>
    <s v="Non trouvé"/>
    <x v="1"/>
    <s v="Non trouvé"/>
    <s v="Antenne inconnue"/>
    <n v="6"/>
    <n v="303"/>
  </r>
  <r>
    <s v="ANT-0142"/>
    <d v="2023-10-17T12:43:00"/>
    <n v="78"/>
    <s v="En Cours"/>
    <x v="25"/>
    <n v="-12.229338"/>
    <n v="29.587834999999998"/>
    <x v="0"/>
    <s v="Nokia"/>
    <s v="OK"/>
    <n v="8"/>
    <n v="497"/>
  </r>
  <r>
    <s v="ANT-0142"/>
    <d v="2023-10-15T14:43:00"/>
    <n v="25"/>
    <s v="Résolu"/>
    <x v="25"/>
    <n v="-12.229338"/>
    <n v="29.587834999999998"/>
    <x v="0"/>
    <s v="Nokia"/>
    <s v="OK"/>
    <n v="8"/>
    <n v="497"/>
  </r>
  <r>
    <s v="ANT-0142"/>
    <d v="2023-10-02T11:14:00"/>
    <n v="63"/>
    <s v="Résolu"/>
    <x v="25"/>
    <n v="-12.229338"/>
    <n v="29.587834999999998"/>
    <x v="0"/>
    <s v="Nokia"/>
    <s v="OK"/>
    <n v="8"/>
    <n v="497"/>
  </r>
  <r>
    <s v="ANT-0142"/>
    <d v="2023-10-01T16:12:00"/>
    <n v="109"/>
    <s v="Résolu"/>
    <x v="25"/>
    <n v="-12.229338"/>
    <n v="29.587834999999998"/>
    <x v="0"/>
    <s v="Nokia"/>
    <s v="OK"/>
    <n v="8"/>
    <n v="497"/>
  </r>
  <r>
    <s v="ANT-0142"/>
    <d v="2023-10-17T20:28:00"/>
    <n v="30"/>
    <s v="Résolu"/>
    <x v="25"/>
    <n v="-12.229338"/>
    <n v="29.587834999999998"/>
    <x v="0"/>
    <s v="Nokia"/>
    <s v="OK"/>
    <n v="8"/>
    <n v="497"/>
  </r>
  <r>
    <s v="ANT-0142"/>
    <d v="2023-10-07T22:15:00"/>
    <n v="44"/>
    <s v="En Cours"/>
    <x v="25"/>
    <n v="-12.229338"/>
    <n v="29.587834999999998"/>
    <x v="0"/>
    <s v="Nokia"/>
    <s v="OK"/>
    <n v="8"/>
    <n v="497"/>
  </r>
  <r>
    <s v="ANT-0142"/>
    <d v="2023-10-17T17:53:00"/>
    <n v="87"/>
    <s v="En Cours"/>
    <x v="25"/>
    <n v="-12.229338"/>
    <n v="29.587834999999998"/>
    <x v="0"/>
    <s v="Nokia"/>
    <s v="OK"/>
    <n v="8"/>
    <n v="497"/>
  </r>
  <r>
    <s v="ANT-0142"/>
    <d v="2023-10-03T18:42:00"/>
    <n v="61"/>
    <s v="En Cours"/>
    <x v="25"/>
    <n v="-12.229338"/>
    <n v="29.587834999999998"/>
    <x v="0"/>
    <s v="Nokia"/>
    <s v="OK"/>
    <n v="8"/>
    <n v="497"/>
  </r>
  <r>
    <s v="ANT-0143"/>
    <d v="2023-10-08T02:28:00"/>
    <n v="40"/>
    <s v="Résolu"/>
    <x v="19"/>
    <n v="4.8228650000000002"/>
    <n v="30.555627000000001"/>
    <x v="0"/>
    <s v="Huawei"/>
    <s v="OK"/>
    <n v="8"/>
    <n v="442"/>
  </r>
  <r>
    <s v="ANT-0143"/>
    <d v="2023-10-02T05:24:00"/>
    <n v="71"/>
    <s v="En Cours"/>
    <x v="19"/>
    <n v="4.8228650000000002"/>
    <n v="30.555627000000001"/>
    <x v="0"/>
    <s v="Huawei"/>
    <s v="OK"/>
    <n v="8"/>
    <n v="442"/>
  </r>
  <r>
    <s v="ANT-0143"/>
    <d v="2023-10-07T16:16:00"/>
    <n v="90"/>
    <s v="En Cours"/>
    <x v="19"/>
    <n v="4.8228650000000002"/>
    <n v="30.555627000000001"/>
    <x v="0"/>
    <s v="Huawei"/>
    <s v="OK"/>
    <n v="8"/>
    <n v="442"/>
  </r>
  <r>
    <s v="ANT-0143"/>
    <d v="2023-10-27T00:18:00"/>
    <n v="109"/>
    <s v="Non Résolu"/>
    <x v="19"/>
    <n v="4.8228650000000002"/>
    <n v="30.555627000000001"/>
    <x v="0"/>
    <s v="Huawei"/>
    <s v="OK"/>
    <n v="8"/>
    <n v="442"/>
  </r>
  <r>
    <s v="ANT-0143"/>
    <d v="2023-10-24T09:53:00"/>
    <n v="7"/>
    <s v="Non Résolu"/>
    <x v="19"/>
    <n v="4.8228650000000002"/>
    <n v="30.555627000000001"/>
    <x v="0"/>
    <s v="Huawei"/>
    <s v="OK"/>
    <n v="8"/>
    <n v="442"/>
  </r>
  <r>
    <s v="ANT-0143"/>
    <d v="2023-10-22T08:23:00"/>
    <n v="17"/>
    <s v="Non Résolu"/>
    <x v="19"/>
    <n v="4.8228650000000002"/>
    <n v="30.555627000000001"/>
    <x v="0"/>
    <s v="Huawei"/>
    <s v="OK"/>
    <n v="8"/>
    <n v="442"/>
  </r>
  <r>
    <s v="ANT-0143"/>
    <d v="2023-10-29T05:46:00"/>
    <n v="22"/>
    <s v="En Cours"/>
    <x v="19"/>
    <n v="4.8228650000000002"/>
    <n v="30.555627000000001"/>
    <x v="0"/>
    <s v="Huawei"/>
    <s v="OK"/>
    <n v="8"/>
    <n v="442"/>
  </r>
  <r>
    <s v="ANT-0143"/>
    <d v="2023-10-14T08:26:00"/>
    <n v="86"/>
    <s v="En Cours"/>
    <x v="19"/>
    <n v="4.8228650000000002"/>
    <n v="30.555627000000001"/>
    <x v="0"/>
    <s v="Huawei"/>
    <s v="OK"/>
    <n v="8"/>
    <n v="442"/>
  </r>
  <r>
    <s v="ANT-0144"/>
    <d v="2023-10-25T02:00:00"/>
    <n v="92"/>
    <s v="Résolu"/>
    <x v="25"/>
    <n v="-12.824638999999999"/>
    <n v="24.407249"/>
    <x v="2"/>
    <s v="Huawei"/>
    <s v="OK"/>
    <n v="5"/>
    <n v="371"/>
  </r>
  <r>
    <s v="ANT-0144"/>
    <d v="2023-10-12T06:43:00"/>
    <n v="75"/>
    <s v="En Cours"/>
    <x v="25"/>
    <n v="-12.824638999999999"/>
    <n v="24.407249"/>
    <x v="2"/>
    <s v="Huawei"/>
    <s v="OK"/>
    <n v="5"/>
    <n v="371"/>
  </r>
  <r>
    <s v="ANT-0144"/>
    <d v="2023-10-03T15:50:00"/>
    <n v="104"/>
    <s v="Non Résolu"/>
    <x v="25"/>
    <n v="-12.824638999999999"/>
    <n v="24.407249"/>
    <x v="2"/>
    <s v="Huawei"/>
    <s v="OK"/>
    <n v="5"/>
    <n v="371"/>
  </r>
  <r>
    <s v="ANT-0144"/>
    <d v="2023-10-14T00:29:00"/>
    <n v="68"/>
    <s v="Résolu"/>
    <x v="25"/>
    <n v="-12.824638999999999"/>
    <n v="24.407249"/>
    <x v="2"/>
    <s v="Huawei"/>
    <s v="OK"/>
    <n v="5"/>
    <n v="371"/>
  </r>
  <r>
    <s v="ANT-0144"/>
    <d v="2023-10-12T17:59:00"/>
    <n v="32"/>
    <s v="Résolu"/>
    <x v="25"/>
    <n v="-12.824638999999999"/>
    <n v="24.407249"/>
    <x v="2"/>
    <s v="Huawei"/>
    <s v="OK"/>
    <n v="5"/>
    <n v="371"/>
  </r>
  <r>
    <s v="ANT-0145"/>
    <d v="2023-10-06T19:36:00"/>
    <n v="111"/>
    <s v="Non Résolu"/>
    <x v="2"/>
    <s v="Non trouvé"/>
    <s v="Non trouvé"/>
    <x v="1"/>
    <s v="Non trouvé"/>
    <s v="Antenne inconnue"/>
    <n v="10"/>
    <n v="638"/>
  </r>
  <r>
    <s v="ANT-0145"/>
    <d v="2023-10-09T19:51:00"/>
    <n v="39"/>
    <s v="Résolu"/>
    <x v="2"/>
    <s v="Non trouvé"/>
    <s v="Non trouvé"/>
    <x v="1"/>
    <s v="Non trouvé"/>
    <s v="Antenne inconnue"/>
    <n v="10"/>
    <n v="638"/>
  </r>
  <r>
    <s v="ANT-0145"/>
    <d v="2023-10-11T11:44:00"/>
    <n v="117"/>
    <s v="Résolu"/>
    <x v="2"/>
    <s v="Non trouvé"/>
    <s v="Non trouvé"/>
    <x v="1"/>
    <s v="Non trouvé"/>
    <s v="Antenne inconnue"/>
    <n v="10"/>
    <n v="638"/>
  </r>
  <r>
    <s v="ANT-0145"/>
    <d v="2023-10-23T04:40:00"/>
    <n v="68"/>
    <s v="Non Résolu"/>
    <x v="2"/>
    <s v="Non trouvé"/>
    <s v="Non trouvé"/>
    <x v="1"/>
    <s v="Non trouvé"/>
    <s v="Antenne inconnue"/>
    <n v="10"/>
    <n v="638"/>
  </r>
  <r>
    <s v="ANT-0145"/>
    <s v="25/10/2023 16:24"/>
    <n v="38"/>
    <s v="Non Résolu"/>
    <x v="2"/>
    <s v="Non trouvé"/>
    <s v="Non trouvé"/>
    <x v="1"/>
    <s v="Non trouvé"/>
    <s v="Antenne inconnue"/>
    <n v="10"/>
    <n v="638"/>
  </r>
  <r>
    <s v="ANT-0145"/>
    <d v="2023-10-24T21:16:00"/>
    <n v="66"/>
    <s v="Non Résolu"/>
    <x v="2"/>
    <s v="Non trouvé"/>
    <s v="Non trouvé"/>
    <x v="1"/>
    <s v="Non trouvé"/>
    <s v="Antenne inconnue"/>
    <n v="10"/>
    <n v="638"/>
  </r>
  <r>
    <s v="ANT-0145"/>
    <d v="2023-10-29T02:20:00"/>
    <n v="80"/>
    <s v="Non Résolu"/>
    <x v="2"/>
    <s v="Non trouvé"/>
    <s v="Non trouvé"/>
    <x v="1"/>
    <s v="Non trouvé"/>
    <s v="Antenne inconnue"/>
    <n v="10"/>
    <n v="638"/>
  </r>
  <r>
    <s v="ANT-0145"/>
    <d v="2023-10-23T20:21:00"/>
    <n v="51"/>
    <s v="En Cours"/>
    <x v="2"/>
    <s v="Non trouvé"/>
    <s v="Non trouvé"/>
    <x v="1"/>
    <s v="Non trouvé"/>
    <s v="Antenne inconnue"/>
    <n v="10"/>
    <n v="638"/>
  </r>
  <r>
    <s v="ANT-0145"/>
    <d v="2023-10-08T13:40:00"/>
    <n v="26"/>
    <s v="Non Résolu"/>
    <x v="2"/>
    <s v="Non trouvé"/>
    <s v="Non trouvé"/>
    <x v="1"/>
    <s v="Non trouvé"/>
    <s v="Antenne inconnue"/>
    <n v="10"/>
    <n v="638"/>
  </r>
  <r>
    <s v="ANT-0145"/>
    <d v="2023-10-10T05:45:00"/>
    <n v="42"/>
    <s v="En Cours"/>
    <x v="2"/>
    <s v="Non trouvé"/>
    <s v="Non trouvé"/>
    <x v="1"/>
    <s v="Non trouvé"/>
    <s v="Antenne inconnue"/>
    <n v="10"/>
    <n v="638"/>
  </r>
  <r>
    <s v="ANT-0146"/>
    <d v="2023-10-14T20:36:00"/>
    <n v="30"/>
    <s v="Non Résolu"/>
    <x v="2"/>
    <s v="Non trouvé"/>
    <s v="Non trouvé"/>
    <x v="1"/>
    <s v="Non trouvé"/>
    <s v="Antenne inconnue"/>
    <n v="5"/>
    <n v="233"/>
  </r>
  <r>
    <s v="ANT-0146"/>
    <d v="2023-10-16T08:46:00"/>
    <n v="63"/>
    <s v="Résolu"/>
    <x v="2"/>
    <s v="Non trouvé"/>
    <s v="Non trouvé"/>
    <x v="1"/>
    <s v="Non trouvé"/>
    <s v="Antenne inconnue"/>
    <n v="5"/>
    <n v="233"/>
  </r>
  <r>
    <s v="ANT-0146"/>
    <d v="2023-10-28T18:27:00"/>
    <n v="51"/>
    <s v="Résolu"/>
    <x v="2"/>
    <s v="Non trouvé"/>
    <s v="Non trouvé"/>
    <x v="1"/>
    <s v="Non trouvé"/>
    <s v="Antenne inconnue"/>
    <n v="5"/>
    <n v="233"/>
  </r>
  <r>
    <s v="ANT-0146"/>
    <d v="2023-10-05T22:00:00"/>
    <n v="64"/>
    <s v="En Cours"/>
    <x v="2"/>
    <s v="Non trouvé"/>
    <s v="Non trouvé"/>
    <x v="1"/>
    <s v="Non trouvé"/>
    <s v="Antenne inconnue"/>
    <n v="5"/>
    <n v="233"/>
  </r>
  <r>
    <s v="ANT-0146"/>
    <d v="2023-10-28T10:07:00"/>
    <n v="25"/>
    <s v="Non Résolu"/>
    <x v="2"/>
    <s v="Non trouvé"/>
    <s v="Non trouvé"/>
    <x v="1"/>
    <s v="Non trouvé"/>
    <s v="Antenne inconnue"/>
    <n v="5"/>
    <n v="233"/>
  </r>
  <r>
    <s v="ANT-0147"/>
    <d v="2023-10-23T12:41:00"/>
    <n v="78"/>
    <s v="Résolu"/>
    <x v="10"/>
    <n v="4.8689660000000003"/>
    <n v="25.112373000000002"/>
    <x v="3"/>
    <s v="Huawei"/>
    <s v="OK"/>
    <n v="3"/>
    <n v="192"/>
  </r>
  <r>
    <s v="ANT-0147"/>
    <d v="2023-10-12T07:36:00"/>
    <n v="96"/>
    <s v="Résolu"/>
    <x v="10"/>
    <n v="4.8689660000000003"/>
    <n v="25.112373000000002"/>
    <x v="3"/>
    <s v="Huawei"/>
    <s v="OK"/>
    <n v="3"/>
    <n v="192"/>
  </r>
  <r>
    <s v="ANT-0147"/>
    <d v="2023-10-06T04:04:00"/>
    <n v="18"/>
    <s v="Non Résolu"/>
    <x v="10"/>
    <n v="4.8689660000000003"/>
    <n v="25.112373000000002"/>
    <x v="3"/>
    <s v="Huawei"/>
    <s v="OK"/>
    <n v="3"/>
    <n v="192"/>
  </r>
  <r>
    <s v="ANT-0148"/>
    <d v="2023-10-11T02:32:00"/>
    <n v="9"/>
    <s v="Résolu"/>
    <x v="2"/>
    <s v="Non trouvé"/>
    <s v="Non trouvé"/>
    <x v="1"/>
    <s v="Non trouvé"/>
    <s v="Antenne inconnue"/>
    <n v="6"/>
    <n v="357"/>
  </r>
  <r>
    <s v="ANT-0148"/>
    <d v="2023-10-16T06:34:00"/>
    <n v="24"/>
    <s v="Résolu"/>
    <x v="2"/>
    <s v="Non trouvé"/>
    <s v="Non trouvé"/>
    <x v="1"/>
    <s v="Non trouvé"/>
    <s v="Antenne inconnue"/>
    <n v="6"/>
    <n v="357"/>
  </r>
  <r>
    <s v="ANT-0148"/>
    <d v="2023-10-11T03:29:00"/>
    <n v="116"/>
    <s v="Résolu"/>
    <x v="2"/>
    <s v="Non trouvé"/>
    <s v="Non trouvé"/>
    <x v="1"/>
    <s v="Non trouvé"/>
    <s v="Antenne inconnue"/>
    <n v="6"/>
    <n v="357"/>
  </r>
  <r>
    <s v="ANT-0148"/>
    <d v="2023-10-03T02:05:00"/>
    <n v="22"/>
    <s v="Résolu"/>
    <x v="2"/>
    <s v="Non trouvé"/>
    <s v="Non trouvé"/>
    <x v="1"/>
    <s v="Non trouvé"/>
    <s v="Antenne inconnue"/>
    <n v="6"/>
    <n v="357"/>
  </r>
  <r>
    <s v="ANT-0148"/>
    <d v="2023-10-21T19:20:00"/>
    <n v="83"/>
    <s v="Non Résolu"/>
    <x v="2"/>
    <s v="Non trouvé"/>
    <s v="Non trouvé"/>
    <x v="1"/>
    <s v="Non trouvé"/>
    <s v="Antenne inconnue"/>
    <n v="6"/>
    <n v="357"/>
  </r>
  <r>
    <s v="ANT-0148"/>
    <d v="2023-10-08T04:09:00"/>
    <n v="103"/>
    <s v="Résolu"/>
    <x v="2"/>
    <s v="Non trouvé"/>
    <s v="Non trouvé"/>
    <x v="1"/>
    <s v="Non trouvé"/>
    <s v="Antenne inconnue"/>
    <n v="6"/>
    <n v="357"/>
  </r>
  <r>
    <s v="ANT-0149"/>
    <d v="2023-10-29T17:05:00"/>
    <n v="9"/>
    <s v="Résolu"/>
    <x v="26"/>
    <n v="-9.8995180000000005"/>
    <n v="24.156687999999999"/>
    <x v="0"/>
    <s v="Ericsson"/>
    <s v="OK"/>
    <n v="3"/>
    <n v="196"/>
  </r>
  <r>
    <s v="ANT-0149"/>
    <d v="2023-10-26T23:10:00"/>
    <n v="95"/>
    <s v="Non Résolu"/>
    <x v="26"/>
    <n v="-9.8995180000000005"/>
    <n v="24.156687999999999"/>
    <x v="0"/>
    <s v="Ericsson"/>
    <s v="OK"/>
    <n v="3"/>
    <n v="196"/>
  </r>
  <r>
    <s v="ANT-0149"/>
    <d v="2023-10-31T04:43:00"/>
    <n v="92"/>
    <s v="Résolu"/>
    <x v="26"/>
    <n v="-9.8995180000000005"/>
    <n v="24.156687999999999"/>
    <x v="0"/>
    <s v="Ericsson"/>
    <s v="OK"/>
    <n v="3"/>
    <n v="196"/>
  </r>
  <r>
    <s v="ANT-0150"/>
    <d v="2023-10-07T16:30:00"/>
    <n v="46"/>
    <s v="En Cours"/>
    <x v="23"/>
    <n v="-1.7476179999999999"/>
    <n v="18.129401000000001"/>
    <x v="0"/>
    <s v="Ericsson"/>
    <s v="OK"/>
    <n v="3"/>
    <n v="79"/>
  </r>
  <r>
    <s v="ANT-0150"/>
    <d v="2023-10-11T10:42:00"/>
    <n v="10"/>
    <s v="Résolu"/>
    <x v="23"/>
    <n v="-1.7476179999999999"/>
    <n v="18.129401000000001"/>
    <x v="0"/>
    <s v="Ericsson"/>
    <s v="OK"/>
    <n v="3"/>
    <n v="79"/>
  </r>
  <r>
    <s v="ANT-0150"/>
    <d v="2023-10-19T06:52:00"/>
    <n v="23"/>
    <s v="En Cours"/>
    <x v="23"/>
    <n v="-1.7476179999999999"/>
    <n v="18.129401000000001"/>
    <x v="0"/>
    <s v="Ericsson"/>
    <s v="OK"/>
    <n v="3"/>
    <n v="79"/>
  </r>
  <r>
    <s v="ANT-0151"/>
    <d v="2023-10-18T04:27:00"/>
    <n v="68"/>
    <s v="Non Résolu"/>
    <x v="8"/>
    <n v="-4.9108280000000004"/>
    <n v="17.670389"/>
    <x v="2"/>
    <s v="ZTE"/>
    <s v="OK"/>
    <n v="4"/>
    <n v="212"/>
  </r>
  <r>
    <s v="ANT-0151"/>
    <d v="2023-10-27T02:25:00"/>
    <n v="41"/>
    <s v="En Cours"/>
    <x v="8"/>
    <n v="-4.9108280000000004"/>
    <n v="17.670389"/>
    <x v="2"/>
    <s v="ZTE"/>
    <s v="OK"/>
    <n v="4"/>
    <n v="212"/>
  </r>
  <r>
    <s v="ANT-0151"/>
    <d v="2023-10-30T23:03:00"/>
    <n v="65"/>
    <s v="Résolu"/>
    <x v="8"/>
    <n v="-4.9108280000000004"/>
    <n v="17.670389"/>
    <x v="2"/>
    <s v="ZTE"/>
    <s v="OK"/>
    <n v="4"/>
    <n v="212"/>
  </r>
  <r>
    <s v="ANT-0151"/>
    <d v="2023-10-03T16:41:00"/>
    <n v="38"/>
    <s v="Non Résolu"/>
    <x v="8"/>
    <n v="-4.9108280000000004"/>
    <n v="17.670389"/>
    <x v="2"/>
    <s v="ZTE"/>
    <s v="OK"/>
    <n v="4"/>
    <n v="212"/>
  </r>
  <r>
    <s v="ant-0152"/>
    <d v="2023-10-26T17:06:00"/>
    <n v="36"/>
    <s v="En Cours"/>
    <x v="2"/>
    <s v="Non trouvé"/>
    <s v="Non trouvé"/>
    <x v="1"/>
    <s v="Non trouvé"/>
    <s v="Antenne inconnue"/>
    <n v="6"/>
    <n v="207"/>
  </r>
  <r>
    <s v="ANT-0152"/>
    <d v="2023-10-21T11:06:00"/>
    <n v="36"/>
    <s v="Résolu"/>
    <x v="2"/>
    <s v="Non trouvé"/>
    <s v="Non trouvé"/>
    <x v="1"/>
    <s v="Non trouvé"/>
    <s v="Antenne inconnue"/>
    <n v="6"/>
    <n v="207"/>
  </r>
  <r>
    <s v="ANT-0152"/>
    <d v="2023-10-17T16:12:00"/>
    <n v="28"/>
    <s v="Résolu"/>
    <x v="2"/>
    <s v="Non trouvé"/>
    <s v="Non trouvé"/>
    <x v="1"/>
    <s v="Non trouvé"/>
    <s v="Antenne inconnue"/>
    <n v="6"/>
    <n v="207"/>
  </r>
  <r>
    <s v="ANT-0152"/>
    <d v="2023-10-10T08:46:00"/>
    <n v="6"/>
    <s v="Résolu"/>
    <x v="2"/>
    <s v="Non trouvé"/>
    <s v="Non trouvé"/>
    <x v="1"/>
    <s v="Non trouvé"/>
    <s v="Antenne inconnue"/>
    <n v="6"/>
    <n v="207"/>
  </r>
  <r>
    <s v="ANT-0152"/>
    <d v="2023-10-09T12:08:00"/>
    <n v="31"/>
    <s v="En Cours"/>
    <x v="2"/>
    <s v="Non trouvé"/>
    <s v="Non trouvé"/>
    <x v="1"/>
    <s v="Non trouvé"/>
    <s v="Antenne inconnue"/>
    <n v="6"/>
    <n v="207"/>
  </r>
  <r>
    <s v="ANT-0152"/>
    <d v="2023-10-28T11:06:00"/>
    <n v="70"/>
    <s v="En Cours"/>
    <x v="2"/>
    <s v="Non trouvé"/>
    <s v="Non trouvé"/>
    <x v="1"/>
    <s v="Non trouvé"/>
    <s v="Antenne inconnue"/>
    <n v="6"/>
    <n v="207"/>
  </r>
  <r>
    <s v="ANT-0153"/>
    <d v="2023-10-16T00:07:00"/>
    <n v="51"/>
    <s v="En Cours"/>
    <x v="0"/>
    <n v="0.94539899999999999"/>
    <n v="14.401821999999999"/>
    <x v="2"/>
    <s v="Nokia"/>
    <s v="OK"/>
    <n v="10"/>
    <n v="599"/>
  </r>
  <r>
    <s v="ANT-0153"/>
    <d v="2023-10-23T12:17:00"/>
    <n v="20"/>
    <s v="En Cours"/>
    <x v="0"/>
    <n v="0.94539899999999999"/>
    <n v="14.401821999999999"/>
    <x v="2"/>
    <s v="Nokia"/>
    <s v="OK"/>
    <n v="10"/>
    <n v="599"/>
  </r>
  <r>
    <s v="ANT-0153"/>
    <d v="2023-10-28T13:02:00"/>
    <n v="120"/>
    <s v="En Cours"/>
    <x v="0"/>
    <n v="0.94539899999999999"/>
    <n v="14.401821999999999"/>
    <x v="2"/>
    <s v="Nokia"/>
    <s v="OK"/>
    <n v="10"/>
    <n v="599"/>
  </r>
  <r>
    <s v="ANT-0153"/>
    <d v="2023-10-10T21:34:00"/>
    <n v="58"/>
    <s v="Résolu"/>
    <x v="0"/>
    <n v="0.94539899999999999"/>
    <n v="14.401821999999999"/>
    <x v="2"/>
    <s v="Nokia"/>
    <s v="OK"/>
    <n v="10"/>
    <n v="599"/>
  </r>
  <r>
    <s v="ANT-0153"/>
    <d v="2023-10-26T11:14:00"/>
    <n v="71"/>
    <s v="Non Résolu"/>
    <x v="0"/>
    <n v="0.94539899999999999"/>
    <n v="14.401821999999999"/>
    <x v="2"/>
    <s v="Nokia"/>
    <s v="OK"/>
    <n v="10"/>
    <n v="599"/>
  </r>
  <r>
    <s v="ANT-0153"/>
    <d v="2023-10-09T01:08:00"/>
    <n v="66"/>
    <s v="Non Résolu"/>
    <x v="0"/>
    <n v="0.94539899999999999"/>
    <n v="14.401821999999999"/>
    <x v="2"/>
    <s v="Nokia"/>
    <s v="OK"/>
    <n v="10"/>
    <n v="599"/>
  </r>
  <r>
    <s v="ANT-0153"/>
    <d v="2023-10-07T10:38:00"/>
    <n v="66"/>
    <s v="Résolu"/>
    <x v="0"/>
    <n v="0.94539899999999999"/>
    <n v="14.401821999999999"/>
    <x v="2"/>
    <s v="Nokia"/>
    <s v="OK"/>
    <n v="10"/>
    <n v="599"/>
  </r>
  <r>
    <s v="ANT-0153"/>
    <d v="2023-10-31T06:21:00"/>
    <n v="118"/>
    <s v="Résolu"/>
    <x v="0"/>
    <n v="0.94539899999999999"/>
    <n v="14.401821999999999"/>
    <x v="2"/>
    <s v="Nokia"/>
    <s v="OK"/>
    <n v="10"/>
    <n v="599"/>
  </r>
  <r>
    <s v="ANT-0153"/>
    <d v="2023-10-04T18:15:00"/>
    <n v="18"/>
    <s v="En Cours"/>
    <x v="0"/>
    <n v="0.94539899999999999"/>
    <n v="14.401821999999999"/>
    <x v="2"/>
    <s v="Nokia"/>
    <s v="OK"/>
    <n v="10"/>
    <n v="599"/>
  </r>
  <r>
    <s v="ANT-0153"/>
    <d v="2023-10-31T00:13:00"/>
    <n v="11"/>
    <s v="Non Résolu"/>
    <x v="0"/>
    <n v="0.94539899999999999"/>
    <n v="14.401821999999999"/>
    <x v="2"/>
    <s v="Nokia"/>
    <s v="OK"/>
    <n v="10"/>
    <n v="599"/>
  </r>
  <r>
    <s v="ANT-0154"/>
    <d v="2023-10-02T07:56:00"/>
    <n v="100"/>
    <s v="Non Résolu"/>
    <x v="8"/>
    <n v="-10.977309"/>
    <n v="12.408281000000001"/>
    <x v="2"/>
    <s v="ZTE"/>
    <s v="OK"/>
    <n v="5"/>
    <n v="454"/>
  </r>
  <r>
    <s v="ANT-0154"/>
    <d v="2023-10-05T23:59:00"/>
    <n v="91"/>
    <s v="Non Résolu"/>
    <x v="8"/>
    <n v="-10.977309"/>
    <n v="12.408281000000001"/>
    <x v="2"/>
    <s v="ZTE"/>
    <s v="OK"/>
    <n v="5"/>
    <n v="454"/>
  </r>
  <r>
    <s v="ANT-0154"/>
    <d v="2023-10-11T23:30:00"/>
    <n v="97"/>
    <s v="Non Résolu"/>
    <x v="8"/>
    <n v="-10.977309"/>
    <n v="12.408281000000001"/>
    <x v="2"/>
    <s v="ZTE"/>
    <s v="OK"/>
    <n v="5"/>
    <n v="454"/>
  </r>
  <r>
    <s v="ANT-0154"/>
    <d v="2023-10-05T18:13:00"/>
    <n v="103"/>
    <s v="Non Résolu"/>
    <x v="8"/>
    <n v="-10.977309"/>
    <n v="12.408281000000001"/>
    <x v="2"/>
    <s v="ZTE"/>
    <s v="OK"/>
    <n v="5"/>
    <n v="454"/>
  </r>
  <r>
    <s v="ANT-0154"/>
    <d v="2023-10-06T15:37:00"/>
    <n v="63"/>
    <s v="Résolu"/>
    <x v="8"/>
    <n v="-10.977309"/>
    <n v="12.408281000000001"/>
    <x v="2"/>
    <s v="ZTE"/>
    <s v="OK"/>
    <n v="5"/>
    <n v="454"/>
  </r>
  <r>
    <s v="ANT-0155"/>
    <d v="2023-10-09T05:47:00"/>
    <n v="20"/>
    <s v="Non Résolu"/>
    <x v="2"/>
    <s v="Non trouvé"/>
    <s v="Non trouvé"/>
    <x v="1"/>
    <s v="Non trouvé"/>
    <s v="Antenne inconnue"/>
    <n v="6"/>
    <n v="354"/>
  </r>
  <r>
    <s v="ant-0155"/>
    <d v="2023-10-15T17:45:00"/>
    <n v="30"/>
    <s v="Résolu"/>
    <x v="2"/>
    <s v="Non trouvé"/>
    <s v="Non trouvé"/>
    <x v="1"/>
    <s v="Non trouvé"/>
    <s v="Antenne inconnue"/>
    <n v="6"/>
    <n v="354"/>
  </r>
  <r>
    <s v="ANT-0155"/>
    <d v="2023-10-10T07:14:00"/>
    <n v="72"/>
    <s v="Non Résolu"/>
    <x v="2"/>
    <s v="Non trouvé"/>
    <s v="Non trouvé"/>
    <x v="1"/>
    <s v="Non trouvé"/>
    <s v="Antenne inconnue"/>
    <n v="6"/>
    <n v="354"/>
  </r>
  <r>
    <s v="ANT-0155"/>
    <d v="2023-10-27T18:58:00"/>
    <n v="84"/>
    <s v="Non Résolu"/>
    <x v="2"/>
    <s v="Non trouvé"/>
    <s v="Non trouvé"/>
    <x v="1"/>
    <s v="Non trouvé"/>
    <s v="Antenne inconnue"/>
    <n v="6"/>
    <n v="354"/>
  </r>
  <r>
    <s v="ANT-0155"/>
    <d v="2023-10-27T04:40:00"/>
    <n v="89"/>
    <s v="Résolu"/>
    <x v="2"/>
    <s v="Non trouvé"/>
    <s v="Non trouvé"/>
    <x v="1"/>
    <s v="Non trouvé"/>
    <s v="Antenne inconnue"/>
    <n v="6"/>
    <n v="354"/>
  </r>
  <r>
    <s v="ANT-0155"/>
    <d v="2023-10-24T00:44:00"/>
    <n v="59"/>
    <s v="Résolu"/>
    <x v="2"/>
    <s v="Non trouvé"/>
    <s v="Non trouvé"/>
    <x v="1"/>
    <s v="Non trouvé"/>
    <s v="Antenne inconnue"/>
    <n v="6"/>
    <n v="354"/>
  </r>
  <r>
    <s v="ANT-0157"/>
    <d v="2023-10-31T01:28:00"/>
    <n v="36"/>
    <s v="Non Résolu"/>
    <x v="2"/>
    <s v="Non trouvé"/>
    <s v="Non trouvé"/>
    <x v="1"/>
    <s v="Non trouvé"/>
    <s v="Antenne inconnue"/>
    <n v="3"/>
    <n v="226"/>
  </r>
  <r>
    <s v="ANT-0157"/>
    <d v="2023-10-18T09:53:00"/>
    <n v="92"/>
    <s v="En Cours"/>
    <x v="2"/>
    <s v="Non trouvé"/>
    <s v="Non trouvé"/>
    <x v="1"/>
    <s v="Non trouvé"/>
    <s v="Antenne inconnue"/>
    <n v="3"/>
    <n v="226"/>
  </r>
  <r>
    <s v="ANT-0157"/>
    <d v="2023-10-07T10:26:00"/>
    <n v="98"/>
    <s v="Résolu"/>
    <x v="2"/>
    <s v="Non trouvé"/>
    <s v="Non trouvé"/>
    <x v="1"/>
    <s v="Non trouvé"/>
    <s v="Antenne inconnue"/>
    <n v="3"/>
    <n v="226"/>
  </r>
  <r>
    <s v="ANT-0158"/>
    <d v="2023-10-30T03:55:00"/>
    <n v="86"/>
    <s v="En Cours"/>
    <x v="2"/>
    <s v="Non trouvé"/>
    <s v="Non trouvé"/>
    <x v="1"/>
    <s v="Non trouvé"/>
    <s v="Antenne inconnue"/>
    <n v="7"/>
    <n v="528"/>
  </r>
  <r>
    <s v="ANT-0158"/>
    <d v="2023-10-02T08:24:00"/>
    <n v="66"/>
    <s v="En Cours"/>
    <x v="2"/>
    <s v="Non trouvé"/>
    <s v="Non trouvé"/>
    <x v="1"/>
    <s v="Non trouvé"/>
    <s v="Antenne inconnue"/>
    <n v="7"/>
    <n v="528"/>
  </r>
  <r>
    <s v="ANT-0158"/>
    <d v="2023-10-15T22:19:00"/>
    <n v="83"/>
    <s v="En Cours"/>
    <x v="2"/>
    <s v="Non trouvé"/>
    <s v="Non trouvé"/>
    <x v="1"/>
    <s v="Non trouvé"/>
    <s v="Antenne inconnue"/>
    <n v="7"/>
    <n v="528"/>
  </r>
  <r>
    <s v="ANT-0158"/>
    <d v="2023-10-06T02:28:00"/>
    <n v="24"/>
    <s v="Résolu"/>
    <x v="2"/>
    <s v="Non trouvé"/>
    <s v="Non trouvé"/>
    <x v="1"/>
    <s v="Non trouvé"/>
    <s v="Antenne inconnue"/>
    <n v="7"/>
    <n v="528"/>
  </r>
  <r>
    <s v="ANT-0158"/>
    <d v="2023-10-11T07:21:00"/>
    <n v="87"/>
    <s v="En Cours"/>
    <x v="2"/>
    <s v="Non trouvé"/>
    <s v="Non trouvé"/>
    <x v="1"/>
    <s v="Non trouvé"/>
    <s v="Antenne inconnue"/>
    <n v="7"/>
    <n v="528"/>
  </r>
  <r>
    <m/>
    <n v="45222.652777777781"/>
    <n v="64"/>
    <s v="Non Résolu"/>
    <x v="2"/>
    <s v="Non trouvé"/>
    <s v="Non trouvé"/>
    <x v="1"/>
    <s v="Non trouvé"/>
    <s v="Antenne inconnue"/>
    <n v="0"/>
    <n v="0"/>
  </r>
  <r>
    <s v="ANT-0158"/>
    <d v="2023-10-18T21:24:00"/>
    <n v="78"/>
    <s v="En Cours"/>
    <x v="2"/>
    <s v="Non trouvé"/>
    <s v="Non trouvé"/>
    <x v="1"/>
    <s v="Non trouvé"/>
    <s v="Antenne inconnue"/>
    <n v="7"/>
    <n v="528"/>
  </r>
  <r>
    <s v="ANT-0158"/>
    <d v="2023-10-07T06:13:00"/>
    <n v="104"/>
    <s v="Résolu"/>
    <x v="2"/>
    <s v="Non trouvé"/>
    <s v="Non trouvé"/>
    <x v="1"/>
    <s v="Non trouvé"/>
    <s v="Antenne inconnue"/>
    <n v="7"/>
    <n v="528"/>
  </r>
  <r>
    <s v="ANT-0159"/>
    <d v="2023-10-19T21:01:00"/>
    <n v="42"/>
    <s v="Résolu"/>
    <x v="22"/>
    <n v="2.4414509999999998"/>
    <n v="30.167489"/>
    <x v="2"/>
    <s v="Nokia"/>
    <s v="OK"/>
    <n v="8"/>
    <n v="562"/>
  </r>
  <r>
    <s v="ANT-0159"/>
    <d v="2023-10-19T01:22:00"/>
    <n v="21"/>
    <s v="Non Résolu"/>
    <x v="22"/>
    <n v="2.4414509999999998"/>
    <n v="30.167489"/>
    <x v="2"/>
    <s v="Nokia"/>
    <s v="OK"/>
    <n v="8"/>
    <n v="562"/>
  </r>
  <r>
    <s v="ANT-0159"/>
    <d v="2023-10-15T02:20:00"/>
    <n v="47"/>
    <s v="Non Résolu"/>
    <x v="22"/>
    <n v="2.4414509999999998"/>
    <n v="30.167489"/>
    <x v="2"/>
    <s v="Nokia"/>
    <s v="OK"/>
    <n v="8"/>
    <n v="562"/>
  </r>
  <r>
    <s v="ANT-0159"/>
    <d v="2023-10-27T21:25:00"/>
    <n v="116"/>
    <s v="En Cours"/>
    <x v="22"/>
    <n v="2.4414509999999998"/>
    <n v="30.167489"/>
    <x v="2"/>
    <s v="Nokia"/>
    <s v="OK"/>
    <n v="8"/>
    <n v="562"/>
  </r>
  <r>
    <s v="ANT-0159"/>
    <d v="2023-10-30T09:24:00"/>
    <n v="39"/>
    <s v="Non Résolu"/>
    <x v="22"/>
    <n v="2.4414509999999998"/>
    <n v="30.167489"/>
    <x v="2"/>
    <s v="Nokia"/>
    <s v="OK"/>
    <n v="8"/>
    <n v="562"/>
  </r>
  <r>
    <s v="ANT-0159"/>
    <d v="2023-10-27T06:23:00"/>
    <n v="94"/>
    <s v="En Cours"/>
    <x v="22"/>
    <n v="2.4414509999999998"/>
    <n v="30.167489"/>
    <x v="2"/>
    <s v="Nokia"/>
    <s v="OK"/>
    <n v="8"/>
    <n v="562"/>
  </r>
  <r>
    <s v="ANT-0159"/>
    <d v="2023-10-17T06:36:00"/>
    <n v="119"/>
    <s v="En Cours"/>
    <x v="22"/>
    <n v="2.4414509999999998"/>
    <n v="30.167489"/>
    <x v="2"/>
    <s v="Nokia"/>
    <s v="OK"/>
    <n v="8"/>
    <n v="562"/>
  </r>
  <r>
    <s v="ANT-0159"/>
    <d v="2023-10-28T10:45:00"/>
    <n v="84"/>
    <s v="Non Résolu"/>
    <x v="22"/>
    <n v="2.4414509999999998"/>
    <n v="30.167489"/>
    <x v="2"/>
    <s v="Nokia"/>
    <s v="OK"/>
    <n v="8"/>
    <n v="562"/>
  </r>
  <r>
    <s v="ANT-0161"/>
    <d v="2023-10-30T07:10:00"/>
    <n v="99"/>
    <s v="En Cours"/>
    <x v="2"/>
    <s v="Non trouvé"/>
    <s v="Non trouvé"/>
    <x v="1"/>
    <s v="Non trouvé"/>
    <s v="Antenne inconnue"/>
    <n v="2"/>
    <n v="160"/>
  </r>
  <r>
    <s v="ANT-0161"/>
    <d v="2023-10-22T00:57:00"/>
    <n v="61"/>
    <s v="Résolu"/>
    <x v="2"/>
    <s v="Non trouvé"/>
    <s v="Non trouvé"/>
    <x v="1"/>
    <s v="Non trouvé"/>
    <s v="Antenne inconnue"/>
    <n v="2"/>
    <n v="160"/>
  </r>
  <r>
    <s v="ANT-0162"/>
    <d v="2023-10-29T13:34:00"/>
    <n v="31"/>
    <s v="Non Résolu"/>
    <x v="17"/>
    <n v="-1.648326"/>
    <n v="25.528901999999999"/>
    <x v="0"/>
    <s v="Huawei"/>
    <s v="OK"/>
    <n v="3"/>
    <n v="105"/>
  </r>
  <r>
    <s v="ANT-0162"/>
    <d v="2023-10-04T12:01:00"/>
    <n v="64"/>
    <s v="Non Résolu"/>
    <x v="17"/>
    <n v="-1.648326"/>
    <n v="25.528901999999999"/>
    <x v="0"/>
    <s v="Huawei"/>
    <s v="OK"/>
    <n v="3"/>
    <n v="105"/>
  </r>
  <r>
    <s v="ANT-0162"/>
    <d v="2023-10-17T20:46:00"/>
    <n v="10"/>
    <s v="Non Résolu"/>
    <x v="17"/>
    <n v="-1.648326"/>
    <n v="25.528901999999999"/>
    <x v="0"/>
    <s v="Huawei"/>
    <s v="OK"/>
    <n v="3"/>
    <n v="105"/>
  </r>
  <r>
    <s v="ANT-0163"/>
    <d v="2023-10-01T02:14:00"/>
    <n v="106"/>
    <s v="Non Résolu"/>
    <x v="2"/>
    <s v="Non trouvé"/>
    <s v="Non trouvé"/>
    <x v="1"/>
    <s v="Non trouvé"/>
    <s v="Antenne inconnue"/>
    <n v="7"/>
    <n v="473"/>
  </r>
  <r>
    <s v="ANT-0163"/>
    <d v="2023-10-30T09:28:00"/>
    <n v="46"/>
    <s v="Résolu"/>
    <x v="2"/>
    <s v="Non trouvé"/>
    <s v="Non trouvé"/>
    <x v="1"/>
    <s v="Non trouvé"/>
    <s v="Antenne inconnue"/>
    <n v="7"/>
    <n v="473"/>
  </r>
  <r>
    <s v="ANT-0163"/>
    <d v="2023-10-27T15:51:00"/>
    <n v="91"/>
    <s v="Non Résolu"/>
    <x v="2"/>
    <s v="Non trouvé"/>
    <s v="Non trouvé"/>
    <x v="1"/>
    <s v="Non trouvé"/>
    <s v="Antenne inconnue"/>
    <n v="7"/>
    <n v="473"/>
  </r>
  <r>
    <s v="ANT-0163"/>
    <d v="2023-10-23T11:13:00"/>
    <n v="40"/>
    <s v="Résolu"/>
    <x v="2"/>
    <s v="Non trouvé"/>
    <s v="Non trouvé"/>
    <x v="1"/>
    <s v="Non trouvé"/>
    <s v="Antenne inconnue"/>
    <n v="7"/>
    <n v="473"/>
  </r>
  <r>
    <s v="ANT-0163"/>
    <d v="2023-10-22T10:56:00"/>
    <n v="42"/>
    <s v="En Cours"/>
    <x v="2"/>
    <s v="Non trouvé"/>
    <s v="Non trouvé"/>
    <x v="1"/>
    <s v="Non trouvé"/>
    <s v="Antenne inconnue"/>
    <n v="7"/>
    <n v="473"/>
  </r>
  <r>
    <s v="ANT-0163"/>
    <d v="2023-10-22T13:20:00"/>
    <n v="103"/>
    <s v="Non Résolu"/>
    <x v="2"/>
    <s v="Non trouvé"/>
    <s v="Non trouvé"/>
    <x v="1"/>
    <s v="Non trouvé"/>
    <s v="Antenne inconnue"/>
    <n v="7"/>
    <n v="473"/>
  </r>
  <r>
    <s v="ANT-0163"/>
    <d v="2023-10-28T18:37:00"/>
    <n v="45"/>
    <s v="En Cours"/>
    <x v="2"/>
    <s v="Non trouvé"/>
    <s v="Non trouvé"/>
    <x v="1"/>
    <s v="Non trouvé"/>
    <s v="Antenne inconnue"/>
    <n v="7"/>
    <n v="473"/>
  </r>
  <r>
    <s v="ANT-0164"/>
    <d v="2023-10-03T20:27:00"/>
    <n v="87"/>
    <s v="En Cours"/>
    <x v="11"/>
    <n v="-11.389362"/>
    <n v="22.240174"/>
    <x v="2"/>
    <s v="ZTE"/>
    <s v="OK"/>
    <n v="8"/>
    <n v="461"/>
  </r>
  <r>
    <s v="ANT-0164"/>
    <d v="2023-10-25T07:44:00"/>
    <n v="97"/>
    <s v="Résolu"/>
    <x v="11"/>
    <n v="-11.389362"/>
    <n v="22.240174"/>
    <x v="2"/>
    <s v="ZTE"/>
    <s v="OK"/>
    <n v="8"/>
    <n v="461"/>
  </r>
  <r>
    <s v="ANT-0164"/>
    <d v="2023-10-24T13:33:00"/>
    <n v="32"/>
    <s v="Non Résolu"/>
    <x v="11"/>
    <n v="-11.389362"/>
    <n v="22.240174"/>
    <x v="2"/>
    <s v="ZTE"/>
    <s v="OK"/>
    <n v="8"/>
    <n v="461"/>
  </r>
  <r>
    <s v="ANT-0164"/>
    <d v="2023-10-27T22:58:00"/>
    <n v="108"/>
    <s v="En Cours"/>
    <x v="11"/>
    <n v="-11.389362"/>
    <n v="22.240174"/>
    <x v="2"/>
    <s v="ZTE"/>
    <s v="OK"/>
    <n v="8"/>
    <n v="461"/>
  </r>
  <r>
    <s v="ANT-0164"/>
    <d v="2023-10-02T14:58:00"/>
    <n v="28"/>
    <s v="Résolu"/>
    <x v="11"/>
    <n v="-11.389362"/>
    <n v="22.240174"/>
    <x v="2"/>
    <s v="ZTE"/>
    <s v="OK"/>
    <n v="8"/>
    <n v="461"/>
  </r>
  <r>
    <s v="ANT-0164"/>
    <d v="2023-10-27T20:11:00"/>
    <n v="74"/>
    <s v="Non Résolu"/>
    <x v="11"/>
    <n v="-11.389362"/>
    <n v="22.240174"/>
    <x v="2"/>
    <s v="ZTE"/>
    <s v="OK"/>
    <n v="8"/>
    <n v="461"/>
  </r>
  <r>
    <s v="ANT-0164"/>
    <d v="2023-10-19T02:08:00"/>
    <n v="12"/>
    <s v="En Cours"/>
    <x v="11"/>
    <n v="-11.389362"/>
    <n v="22.240174"/>
    <x v="2"/>
    <s v="ZTE"/>
    <s v="OK"/>
    <n v="8"/>
    <n v="461"/>
  </r>
  <r>
    <s v="ANT-0164"/>
    <d v="2023-10-10T05:10:00"/>
    <n v="23"/>
    <s v="En Cours"/>
    <x v="11"/>
    <n v="-11.389362"/>
    <n v="22.240174"/>
    <x v="2"/>
    <s v="ZTE"/>
    <s v="OK"/>
    <n v="8"/>
    <n v="461"/>
  </r>
  <r>
    <s v="ANT-0165"/>
    <d v="2023-10-18T09:53:00"/>
    <n v="56"/>
    <s v="Non Résolu"/>
    <x v="18"/>
    <n v="-0.54908599999999996"/>
    <n v="14.816867"/>
    <x v="2"/>
    <s v="ZTE"/>
    <s v="OK"/>
    <n v="5"/>
    <n v="296"/>
  </r>
  <r>
    <s v="ANT-0165"/>
    <d v="2023-10-26T17:42:00"/>
    <n v="38"/>
    <s v="Résolu"/>
    <x v="18"/>
    <n v="-0.54908599999999996"/>
    <n v="14.816867"/>
    <x v="2"/>
    <s v="ZTE"/>
    <s v="OK"/>
    <n v="5"/>
    <n v="296"/>
  </r>
  <r>
    <s v="ANT-0165"/>
    <d v="2023-10-17T17:38:00"/>
    <n v="87"/>
    <s v="Résolu"/>
    <x v="18"/>
    <n v="-0.54908599999999996"/>
    <n v="14.816867"/>
    <x v="2"/>
    <s v="ZTE"/>
    <s v="OK"/>
    <n v="5"/>
    <n v="296"/>
  </r>
  <r>
    <s v="ANT-0165"/>
    <d v="2023-10-18T02:08:00"/>
    <n v="10"/>
    <s v="En Cours"/>
    <x v="18"/>
    <n v="-0.54908599999999996"/>
    <n v="14.816867"/>
    <x v="2"/>
    <s v="ZTE"/>
    <s v="OK"/>
    <n v="5"/>
    <n v="296"/>
  </r>
  <r>
    <s v="ANT-0165"/>
    <d v="2023-10-20T10:32:00"/>
    <n v="105"/>
    <s v="Non Résolu"/>
    <x v="18"/>
    <n v="-0.54908599999999996"/>
    <n v="14.816867"/>
    <x v="2"/>
    <s v="ZTE"/>
    <s v="OK"/>
    <n v="5"/>
    <n v="296"/>
  </r>
  <r>
    <s v="ANT-0166"/>
    <d v="2023-10-28T11:36:00"/>
    <n v="61"/>
    <s v="Non Résolu"/>
    <x v="18"/>
    <n v="-10.56448"/>
    <n v="19.792876"/>
    <x v="2"/>
    <s v="Ericsson"/>
    <s v="OK"/>
    <n v="11"/>
    <n v="456"/>
  </r>
  <r>
    <s v="ANT-0166"/>
    <d v="2023-10-30T21:06:00"/>
    <n v="43"/>
    <s v="En Cours"/>
    <x v="18"/>
    <n v="-10.56448"/>
    <n v="19.792876"/>
    <x v="2"/>
    <s v="Ericsson"/>
    <s v="OK"/>
    <n v="11"/>
    <n v="456"/>
  </r>
  <r>
    <s v="ANT-0166"/>
    <d v="2023-10-18T16:22:00"/>
    <n v="64"/>
    <s v="Non Résolu"/>
    <x v="18"/>
    <n v="-10.56448"/>
    <n v="19.792876"/>
    <x v="2"/>
    <s v="Ericsson"/>
    <s v="OK"/>
    <n v="11"/>
    <n v="456"/>
  </r>
  <r>
    <s v="ANT-0166"/>
    <d v="2023-10-16T12:27:00"/>
    <n v="18"/>
    <s v="Non Résolu"/>
    <x v="18"/>
    <n v="-10.56448"/>
    <n v="19.792876"/>
    <x v="2"/>
    <s v="Ericsson"/>
    <s v="OK"/>
    <n v="11"/>
    <n v="456"/>
  </r>
  <r>
    <s v="ANT-0166"/>
    <d v="2023-10-20T04:04:00"/>
    <n v="35"/>
    <s v="Non Résolu"/>
    <x v="18"/>
    <n v="-10.56448"/>
    <n v="19.792876"/>
    <x v="2"/>
    <s v="Ericsson"/>
    <s v="OK"/>
    <n v="11"/>
    <n v="456"/>
  </r>
  <r>
    <s v="ANT-0166"/>
    <d v="2023-10-21T18:35:00"/>
    <n v="11"/>
    <s v="En Cours"/>
    <x v="18"/>
    <n v="-10.56448"/>
    <n v="19.792876"/>
    <x v="2"/>
    <s v="Ericsson"/>
    <s v="OK"/>
    <n v="11"/>
    <n v="456"/>
  </r>
  <r>
    <s v="ANT-0166"/>
    <d v="2023-10-08T12:38:00"/>
    <n v="6"/>
    <s v="Résolu"/>
    <x v="18"/>
    <n v="-10.56448"/>
    <n v="19.792876"/>
    <x v="2"/>
    <s v="Ericsson"/>
    <s v="OK"/>
    <n v="11"/>
    <n v="456"/>
  </r>
  <r>
    <s v="ANT-0166"/>
    <d v="2023-10-06T05:53:00"/>
    <n v="33"/>
    <s v="Résolu"/>
    <x v="18"/>
    <n v="-10.56448"/>
    <n v="19.792876"/>
    <x v="2"/>
    <s v="Ericsson"/>
    <s v="OK"/>
    <n v="11"/>
    <n v="456"/>
  </r>
  <r>
    <s v="ANT-0166"/>
    <d v="2023-10-07T22:04:00"/>
    <n v="13"/>
    <s v="Non Résolu"/>
    <x v="18"/>
    <n v="-10.56448"/>
    <n v="19.792876"/>
    <x v="2"/>
    <s v="Ericsson"/>
    <s v="OK"/>
    <n v="11"/>
    <n v="456"/>
  </r>
  <r>
    <s v="ANT-0166"/>
    <d v="2023-10-30T14:18:00"/>
    <n v="88"/>
    <s v="En Cours"/>
    <x v="18"/>
    <n v="-10.56448"/>
    <n v="19.792876"/>
    <x v="2"/>
    <s v="Ericsson"/>
    <s v="OK"/>
    <n v="11"/>
    <n v="456"/>
  </r>
  <r>
    <s v="ANT-0166"/>
    <d v="2023-10-03T10:06:00"/>
    <n v="84"/>
    <s v="Résolu"/>
    <x v="18"/>
    <n v="-10.56448"/>
    <n v="19.792876"/>
    <x v="2"/>
    <s v="Ericsson"/>
    <s v="OK"/>
    <n v="11"/>
    <n v="456"/>
  </r>
  <r>
    <s v="ANT-0167"/>
    <d v="2023-10-11T13:38:00"/>
    <n v="64"/>
    <s v="Non Résolu"/>
    <x v="2"/>
    <s v="Non trouvé"/>
    <s v="Non trouvé"/>
    <x v="1"/>
    <s v="Non trouvé"/>
    <s v="Antenne inconnue"/>
    <n v="3"/>
    <n v="201"/>
  </r>
  <r>
    <s v="ANT-0167"/>
    <d v="2023-10-20T21:24:00"/>
    <n v="115"/>
    <s v="Non Résolu"/>
    <x v="2"/>
    <s v="Non trouvé"/>
    <s v="Non trouvé"/>
    <x v="1"/>
    <s v="Non trouvé"/>
    <s v="Antenne inconnue"/>
    <n v="3"/>
    <n v="201"/>
  </r>
  <r>
    <m/>
    <n v="45210.511805555558"/>
    <n v="39"/>
    <s v="Résolu"/>
    <x v="2"/>
    <s v="Non trouvé"/>
    <s v="Non trouvé"/>
    <x v="1"/>
    <s v="Non trouvé"/>
    <s v="Antenne inconnue"/>
    <n v="0"/>
    <n v="0"/>
  </r>
  <r>
    <s v="ANT-0167"/>
    <d v="2023-10-26T07:38:00"/>
    <n v="22"/>
    <s v="Non Résolu"/>
    <x v="2"/>
    <s v="Non trouvé"/>
    <s v="Non trouvé"/>
    <x v="1"/>
    <s v="Non trouvé"/>
    <s v="Antenne inconnue"/>
    <n v="3"/>
    <n v="201"/>
  </r>
  <r>
    <s v="ANT-0168"/>
    <d v="2023-10-18T23:15:00"/>
    <n v="107"/>
    <s v="Résolu"/>
    <x v="2"/>
    <s v="Non trouvé"/>
    <s v="Non trouvé"/>
    <x v="1"/>
    <s v="Non trouvé"/>
    <s v="Antenne inconnue"/>
    <n v="4"/>
    <n v="218"/>
  </r>
  <r>
    <s v="ANT-0168"/>
    <d v="2023-10-23T00:57:00"/>
    <n v="21"/>
    <s v="Non Résolu"/>
    <x v="2"/>
    <s v="Non trouvé"/>
    <s v="Non trouvé"/>
    <x v="1"/>
    <s v="Non trouvé"/>
    <s v="Antenne inconnue"/>
    <n v="4"/>
    <n v="218"/>
  </r>
  <r>
    <s v="ANT-0168"/>
    <d v="2023-10-25T14:36:00"/>
    <n v="54"/>
    <s v="Non Résolu"/>
    <x v="2"/>
    <s v="Non trouvé"/>
    <s v="Non trouvé"/>
    <x v="1"/>
    <s v="Non trouvé"/>
    <s v="Antenne inconnue"/>
    <n v="4"/>
    <n v="218"/>
  </r>
  <r>
    <s v="ANT-0168"/>
    <d v="2023-10-17T03:18:00"/>
    <n v="36"/>
    <s v="En Cours"/>
    <x v="2"/>
    <s v="Non trouvé"/>
    <s v="Non trouvé"/>
    <x v="1"/>
    <s v="Non trouvé"/>
    <s v="Antenne inconnue"/>
    <n v="4"/>
    <n v="218"/>
  </r>
  <r>
    <s v="ANT-0169"/>
    <d v="2023-10-11T10:48:00"/>
    <n v="108"/>
    <s v="Résolu"/>
    <x v="2"/>
    <s v="Non trouvé"/>
    <s v="Non trouvé"/>
    <x v="1"/>
    <s v="Non trouvé"/>
    <s v="Antenne inconnue"/>
    <n v="6"/>
    <n v="425"/>
  </r>
  <r>
    <s v="ANT-0169"/>
    <d v="2023-10-28T15:06:00"/>
    <n v="81"/>
    <s v="Non Résolu"/>
    <x v="2"/>
    <s v="Non trouvé"/>
    <s v="Non trouvé"/>
    <x v="1"/>
    <s v="Non trouvé"/>
    <s v="Antenne inconnue"/>
    <n v="6"/>
    <n v="425"/>
  </r>
  <r>
    <s v="ANT-0169"/>
    <d v="2023-10-29T20:22:00"/>
    <n v="91"/>
    <s v="En Cours"/>
    <x v="2"/>
    <s v="Non trouvé"/>
    <s v="Non trouvé"/>
    <x v="1"/>
    <s v="Non trouvé"/>
    <s v="Antenne inconnue"/>
    <n v="6"/>
    <n v="425"/>
  </r>
  <r>
    <s v="ANT-0169"/>
    <d v="2023-10-08T19:02:00"/>
    <n v="76"/>
    <s v="En Cours"/>
    <x v="2"/>
    <s v="Non trouvé"/>
    <s v="Non trouvé"/>
    <x v="1"/>
    <s v="Non trouvé"/>
    <s v="Antenne inconnue"/>
    <n v="6"/>
    <n v="425"/>
  </r>
  <r>
    <s v="ANT-0169"/>
    <d v="2023-10-12T02:27:00"/>
    <n v="19"/>
    <s v="Non Résolu"/>
    <x v="2"/>
    <s v="Non trouvé"/>
    <s v="Non trouvé"/>
    <x v="1"/>
    <s v="Non trouvé"/>
    <s v="Antenne inconnue"/>
    <n v="6"/>
    <n v="425"/>
  </r>
  <r>
    <s v="ANT-0169"/>
    <d v="2023-10-09T14:16:00"/>
    <n v="50"/>
    <s v="Résolu"/>
    <x v="2"/>
    <s v="Non trouvé"/>
    <s v="Non trouvé"/>
    <x v="1"/>
    <s v="Non trouvé"/>
    <s v="Antenne inconnue"/>
    <n v="6"/>
    <n v="425"/>
  </r>
  <r>
    <s v="ANT-0170"/>
    <d v="2023-10-09T22:59:00"/>
    <n v="107"/>
    <s v="Non Résolu"/>
    <x v="4"/>
    <n v="-12.244119"/>
    <n v="28.279755999999999"/>
    <x v="2"/>
    <s v="ZTE"/>
    <s v="OK"/>
    <n v="4"/>
    <n v="255"/>
  </r>
  <r>
    <s v="ANT-0170"/>
    <d v="2023-10-24T08:32:00"/>
    <n v="60"/>
    <s v="En Cours"/>
    <x v="4"/>
    <n v="-12.244119"/>
    <n v="28.279755999999999"/>
    <x v="2"/>
    <s v="ZTE"/>
    <s v="OK"/>
    <n v="4"/>
    <n v="255"/>
  </r>
  <r>
    <s v="ANT-0170"/>
    <d v="2023-10-24T01:43:00"/>
    <n v="78"/>
    <s v="Résolu"/>
    <x v="4"/>
    <n v="-12.244119"/>
    <n v="28.279755999999999"/>
    <x v="2"/>
    <s v="ZTE"/>
    <s v="OK"/>
    <n v="4"/>
    <n v="255"/>
  </r>
  <r>
    <s v="ANT-0170"/>
    <d v="2023-10-04T05:21:00"/>
    <n v="10"/>
    <s v="En Cours"/>
    <x v="4"/>
    <n v="-12.244119"/>
    <n v="28.279755999999999"/>
    <x v="2"/>
    <s v="ZTE"/>
    <s v="OK"/>
    <n v="4"/>
    <n v="255"/>
  </r>
  <r>
    <s v="ANT-0171"/>
    <d v="2023-10-05T14:11:00"/>
    <n v="43"/>
    <s v="Non Résolu"/>
    <x v="21"/>
    <n v="-3.571288"/>
    <n v="12.931596000000001"/>
    <x v="0"/>
    <s v="Nokia"/>
    <s v="OK"/>
    <n v="2"/>
    <n v="137"/>
  </r>
  <r>
    <s v="ANT-0171"/>
    <d v="2023-10-24T21:33:00"/>
    <n v="94"/>
    <s v="Non Résolu"/>
    <x v="21"/>
    <n v="-3.571288"/>
    <n v="12.931596000000001"/>
    <x v="0"/>
    <s v="Nokia"/>
    <s v="OK"/>
    <n v="2"/>
    <n v="137"/>
  </r>
  <r>
    <s v="ANT-0172"/>
    <d v="2023-10-23T15:09:00"/>
    <n v="104"/>
    <s v="En Cours"/>
    <x v="23"/>
    <n v="2.266232"/>
    <n v="29.532896000000001"/>
    <x v="0"/>
    <s v="Ericsson"/>
    <s v="OK"/>
    <n v="4"/>
    <n v="221"/>
  </r>
  <r>
    <s v="ANT-0172"/>
    <d v="2023-10-12T01:57:00"/>
    <n v="51"/>
    <s v="Résolu"/>
    <x v="23"/>
    <n v="2.266232"/>
    <n v="29.532896000000001"/>
    <x v="0"/>
    <s v="Ericsson"/>
    <s v="OK"/>
    <n v="4"/>
    <n v="221"/>
  </r>
  <r>
    <s v="ANT-0172"/>
    <d v="2023-10-15T13:03:00"/>
    <n v="10"/>
    <s v="Non Résolu"/>
    <x v="23"/>
    <n v="2.266232"/>
    <n v="29.532896000000001"/>
    <x v="0"/>
    <s v="Ericsson"/>
    <s v="OK"/>
    <n v="4"/>
    <n v="221"/>
  </r>
  <r>
    <s v="ANT-0172"/>
    <d v="2023-10-20T16:24:00"/>
    <n v="56"/>
    <s v="Non Résolu"/>
    <x v="23"/>
    <n v="2.266232"/>
    <n v="29.532896000000001"/>
    <x v="0"/>
    <s v="Ericsson"/>
    <s v="OK"/>
    <n v="4"/>
    <n v="221"/>
  </r>
  <r>
    <s v="ANT-0173"/>
    <d v="2023-10-19T13:57:00"/>
    <n v="89"/>
    <s v="En Cours"/>
    <x v="2"/>
    <s v="Non trouvé"/>
    <s v="Non trouvé"/>
    <x v="1"/>
    <s v="Non trouvé"/>
    <s v="Antenne inconnue"/>
    <n v="10"/>
    <n v="646"/>
  </r>
  <r>
    <s v="ANT-0173"/>
    <d v="2023-10-19T02:05:00"/>
    <n v="91"/>
    <s v="En Cours"/>
    <x v="2"/>
    <s v="Non trouvé"/>
    <s v="Non trouvé"/>
    <x v="1"/>
    <s v="Non trouvé"/>
    <s v="Antenne inconnue"/>
    <n v="10"/>
    <n v="646"/>
  </r>
  <r>
    <s v="ANT-0173"/>
    <d v="2023-10-16T07:50:00"/>
    <n v="52"/>
    <s v="Résolu"/>
    <x v="2"/>
    <s v="Non trouvé"/>
    <s v="Non trouvé"/>
    <x v="1"/>
    <s v="Non trouvé"/>
    <s v="Antenne inconnue"/>
    <n v="10"/>
    <n v="646"/>
  </r>
  <r>
    <s v="ANT-0173"/>
    <d v="2023-10-11T04:40:00"/>
    <n v="33"/>
    <s v="Non Résolu"/>
    <x v="2"/>
    <s v="Non trouvé"/>
    <s v="Non trouvé"/>
    <x v="1"/>
    <s v="Non trouvé"/>
    <s v="Antenne inconnue"/>
    <n v="10"/>
    <n v="646"/>
  </r>
  <r>
    <s v="ANT-0173"/>
    <d v="2023-10-04T18:01:00"/>
    <n v="23"/>
    <s v="Résolu"/>
    <x v="2"/>
    <s v="Non trouvé"/>
    <s v="Non trouvé"/>
    <x v="1"/>
    <s v="Non trouvé"/>
    <s v="Antenne inconnue"/>
    <n v="10"/>
    <n v="646"/>
  </r>
  <r>
    <s v="ANT-0173"/>
    <d v="2023-10-05T13:41:00"/>
    <n v="76"/>
    <s v="En Cours"/>
    <x v="2"/>
    <s v="Non trouvé"/>
    <s v="Non trouvé"/>
    <x v="1"/>
    <s v="Non trouvé"/>
    <s v="Antenne inconnue"/>
    <n v="10"/>
    <n v="646"/>
  </r>
  <r>
    <s v="ANT-0173"/>
    <d v="2023-10-20T01:50:00"/>
    <n v="43"/>
    <s v="Non Résolu"/>
    <x v="2"/>
    <s v="Non trouvé"/>
    <s v="Non trouvé"/>
    <x v="1"/>
    <s v="Non trouvé"/>
    <s v="Antenne inconnue"/>
    <n v="10"/>
    <n v="646"/>
  </r>
  <r>
    <s v="ANT-0173"/>
    <d v="2023-10-20T04:21:00"/>
    <n v="88"/>
    <s v="Non Résolu"/>
    <x v="2"/>
    <s v="Non trouvé"/>
    <s v="Non trouvé"/>
    <x v="1"/>
    <s v="Non trouvé"/>
    <s v="Antenne inconnue"/>
    <n v="10"/>
    <n v="646"/>
  </r>
  <r>
    <s v="ANT-0173"/>
    <d v="2023-10-19T15:33:00"/>
    <n v="78"/>
    <s v="Résolu"/>
    <x v="2"/>
    <s v="Non trouvé"/>
    <s v="Non trouvé"/>
    <x v="1"/>
    <s v="Non trouvé"/>
    <s v="Antenne inconnue"/>
    <n v="10"/>
    <n v="646"/>
  </r>
  <r>
    <s v="ANT-0173"/>
    <d v="2023-10-01T15:06:00"/>
    <n v="73"/>
    <s v="Non Résolu"/>
    <x v="2"/>
    <s v="Non trouvé"/>
    <s v="Non trouvé"/>
    <x v="1"/>
    <s v="Non trouvé"/>
    <s v="Antenne inconnue"/>
    <n v="10"/>
    <n v="646"/>
  </r>
  <r>
    <s v="ANT-0174"/>
    <d v="2023-10-14T15:30:00"/>
    <n v="28"/>
    <s v="En Cours"/>
    <x v="19"/>
    <n v="3.08182"/>
    <n v="29.961940999999999"/>
    <x v="0"/>
    <s v="Huawei"/>
    <s v="OK"/>
    <n v="5"/>
    <n v="314"/>
  </r>
  <r>
    <s v="ANT-0174"/>
    <d v="2023-10-02T19:47:00"/>
    <n v="56"/>
    <s v="Résolu"/>
    <x v="19"/>
    <n v="3.08182"/>
    <n v="29.961940999999999"/>
    <x v="0"/>
    <s v="Huawei"/>
    <s v="OK"/>
    <n v="5"/>
    <n v="314"/>
  </r>
  <r>
    <s v="ANT-0174"/>
    <d v="2023-10-05T08:39:00"/>
    <n v="36"/>
    <s v="En Cours"/>
    <x v="19"/>
    <n v="3.08182"/>
    <n v="29.961940999999999"/>
    <x v="0"/>
    <s v="Huawei"/>
    <s v="OK"/>
    <n v="5"/>
    <n v="314"/>
  </r>
  <r>
    <s v="ANT-0174"/>
    <d v="2023-10-22T13:55:00"/>
    <n v="117"/>
    <s v="Résolu"/>
    <x v="19"/>
    <n v="3.08182"/>
    <n v="29.961940999999999"/>
    <x v="0"/>
    <s v="Huawei"/>
    <s v="OK"/>
    <n v="5"/>
    <n v="314"/>
  </r>
  <r>
    <s v="ANT-0174"/>
    <d v="2023-10-10T06:49:00"/>
    <n v="77"/>
    <s v="Non Résolu"/>
    <x v="19"/>
    <n v="3.08182"/>
    <n v="29.961940999999999"/>
    <x v="0"/>
    <s v="Huawei"/>
    <s v="OK"/>
    <n v="5"/>
    <n v="314"/>
  </r>
  <r>
    <s v="ANT-0175"/>
    <d v="2023-10-12T06:42:00"/>
    <n v="52"/>
    <s v="En Cours"/>
    <x v="19"/>
    <n v="0.850665"/>
    <n v="19.446418000000001"/>
    <x v="0"/>
    <s v="Huawei"/>
    <s v="OK"/>
    <n v="3"/>
    <n v="164"/>
  </r>
  <r>
    <s v="ANT-0175"/>
    <d v="2023-10-16T11:26:00"/>
    <n v="69"/>
    <s v="Non Résolu"/>
    <x v="19"/>
    <n v="0.850665"/>
    <n v="19.446418000000001"/>
    <x v="0"/>
    <s v="Huawei"/>
    <s v="OK"/>
    <n v="3"/>
    <n v="164"/>
  </r>
  <r>
    <s v="ANT-0175"/>
    <d v="2023-10-31T17:20:00"/>
    <n v="43"/>
    <s v="Résolu"/>
    <x v="19"/>
    <n v="0.850665"/>
    <n v="19.446418000000001"/>
    <x v="0"/>
    <s v="Huawei"/>
    <s v="OK"/>
    <n v="3"/>
    <n v="164"/>
  </r>
  <r>
    <s v="ANT-0176"/>
    <d v="2023-10-25T03:49:00"/>
    <n v="85"/>
    <s v="Résolu"/>
    <x v="2"/>
    <s v="Non trouvé"/>
    <s v="Non trouvé"/>
    <x v="1"/>
    <s v="Non trouvé"/>
    <s v="Antenne inconnue"/>
    <n v="6"/>
    <n v="204"/>
  </r>
  <r>
    <s v="ANT-0176"/>
    <d v="2023-10-08T02:17:00"/>
    <n v="11"/>
    <s v="Résolu"/>
    <x v="2"/>
    <s v="Non trouvé"/>
    <s v="Non trouvé"/>
    <x v="1"/>
    <s v="Non trouvé"/>
    <s v="Antenne inconnue"/>
    <n v="6"/>
    <n v="204"/>
  </r>
  <r>
    <s v="ANT-0176"/>
    <d v="2023-10-01T22:34:00"/>
    <n v="11"/>
    <s v="Résolu"/>
    <x v="2"/>
    <s v="Non trouvé"/>
    <s v="Non trouvé"/>
    <x v="1"/>
    <s v="Non trouvé"/>
    <s v="Antenne inconnue"/>
    <n v="6"/>
    <n v="204"/>
  </r>
  <r>
    <s v="ANT-0176"/>
    <d v="2023-10-31T10:40:00"/>
    <n v="11"/>
    <s v="En Cours"/>
    <x v="2"/>
    <s v="Non trouvé"/>
    <s v="Non trouvé"/>
    <x v="1"/>
    <s v="Non trouvé"/>
    <s v="Antenne inconnue"/>
    <n v="6"/>
    <n v="204"/>
  </r>
  <r>
    <s v="ANT-0176"/>
    <d v="2023-10-27T13:05:00"/>
    <n v="81"/>
    <s v="En Cours"/>
    <x v="2"/>
    <s v="Non trouvé"/>
    <s v="Non trouvé"/>
    <x v="1"/>
    <s v="Non trouvé"/>
    <s v="Antenne inconnue"/>
    <n v="6"/>
    <n v="204"/>
  </r>
  <r>
    <s v="ANT-0176"/>
    <d v="2023-10-04T08:36:00"/>
    <n v="5"/>
    <s v="Résolu"/>
    <x v="2"/>
    <s v="Non trouvé"/>
    <s v="Non trouvé"/>
    <x v="1"/>
    <s v="Non trouvé"/>
    <s v="Antenne inconnue"/>
    <n v="6"/>
    <n v="204"/>
  </r>
  <r>
    <s v="ANT-0177"/>
    <d v="2023-10-16T09:02:00"/>
    <n v="29"/>
    <s v="En Cours"/>
    <x v="2"/>
    <s v="Non trouvé"/>
    <s v="Non trouvé"/>
    <x v="1"/>
    <s v="Non trouvé"/>
    <s v="Antenne inconnue"/>
    <n v="3"/>
    <n v="198"/>
  </r>
  <r>
    <s v="ANT-0177"/>
    <d v="2023-10-30T15:04:00"/>
    <n v="103"/>
    <s v="Résolu"/>
    <x v="2"/>
    <s v="Non trouvé"/>
    <s v="Non trouvé"/>
    <x v="1"/>
    <s v="Non trouvé"/>
    <s v="Antenne inconnue"/>
    <n v="3"/>
    <n v="198"/>
  </r>
  <r>
    <s v="ANT-0177"/>
    <d v="2023-10-31T09:38:00"/>
    <n v="66"/>
    <s v="Non Résolu"/>
    <x v="2"/>
    <s v="Non trouvé"/>
    <s v="Non trouvé"/>
    <x v="1"/>
    <s v="Non trouvé"/>
    <s v="Antenne inconnue"/>
    <n v="3"/>
    <n v="198"/>
  </r>
  <r>
    <s v="ANT-0178"/>
    <d v="2023-10-07T06:47:00"/>
    <n v="69"/>
    <s v="Résolu"/>
    <x v="10"/>
    <n v="4.1464489999999996"/>
    <n v="17.793337000000001"/>
    <x v="2"/>
    <s v="ZTE"/>
    <s v="OK"/>
    <n v="7"/>
    <n v="434"/>
  </r>
  <r>
    <s v="ANT-0178"/>
    <d v="2023-10-04T20:41:00"/>
    <n v="66"/>
    <s v="Résolu"/>
    <x v="10"/>
    <n v="4.1464489999999996"/>
    <n v="17.793337000000001"/>
    <x v="2"/>
    <s v="ZTE"/>
    <s v="OK"/>
    <n v="7"/>
    <n v="434"/>
  </r>
  <r>
    <s v="ANT-0178"/>
    <d v="2023-10-06T08:58:00"/>
    <n v="50"/>
    <s v="Non Résolu"/>
    <x v="10"/>
    <n v="4.1464489999999996"/>
    <n v="17.793337000000001"/>
    <x v="2"/>
    <s v="ZTE"/>
    <s v="OK"/>
    <n v="7"/>
    <n v="434"/>
  </r>
  <r>
    <s v="ANT-0178"/>
    <d v="2023-10-22T23:44:00"/>
    <n v="45"/>
    <s v="Résolu"/>
    <x v="10"/>
    <n v="4.1464489999999996"/>
    <n v="17.793337000000001"/>
    <x v="2"/>
    <s v="ZTE"/>
    <s v="OK"/>
    <n v="7"/>
    <n v="434"/>
  </r>
  <r>
    <s v="ANT-0178"/>
    <d v="2023-10-09T04:08:00"/>
    <n v="96"/>
    <s v="Résolu"/>
    <x v="10"/>
    <n v="4.1464489999999996"/>
    <n v="17.793337000000001"/>
    <x v="2"/>
    <s v="ZTE"/>
    <s v="OK"/>
    <n v="7"/>
    <n v="434"/>
  </r>
  <r>
    <s v="ANT-0178"/>
    <d v="2023-10-27T23:43:00"/>
    <n v="25"/>
    <s v="Non Résolu"/>
    <x v="10"/>
    <n v="4.1464489999999996"/>
    <n v="17.793337000000001"/>
    <x v="2"/>
    <s v="ZTE"/>
    <s v="OK"/>
    <n v="7"/>
    <n v="434"/>
  </r>
  <r>
    <s v="ANT-0178"/>
    <d v="2023-10-20T12:09:00"/>
    <n v="83"/>
    <s v="Non Résolu"/>
    <x v="10"/>
    <n v="4.1464489999999996"/>
    <n v="17.793337000000001"/>
    <x v="2"/>
    <s v="ZTE"/>
    <s v="OK"/>
    <n v="7"/>
    <n v="434"/>
  </r>
  <r>
    <s v="ANT-0179"/>
    <d v="2023-10-24T10:03:00"/>
    <n v="32"/>
    <s v="Non Résolu"/>
    <x v="16"/>
    <n v="0.92885200000000001"/>
    <n v="25.868548000000001"/>
    <x v="2"/>
    <s v="Nokia"/>
    <s v="OK"/>
    <n v="5"/>
    <n v="328"/>
  </r>
  <r>
    <s v="ANT-0179"/>
    <d v="2023-10-27T14:22:00"/>
    <n v="66"/>
    <s v="Résolu"/>
    <x v="16"/>
    <n v="0.92885200000000001"/>
    <n v="25.868548000000001"/>
    <x v="2"/>
    <s v="Nokia"/>
    <s v="OK"/>
    <n v="5"/>
    <n v="328"/>
  </r>
  <r>
    <s v="ANT-0179"/>
    <d v="2023-10-04T05:19:00"/>
    <n v="82"/>
    <s v="Résolu"/>
    <x v="16"/>
    <n v="0.92885200000000001"/>
    <n v="25.868548000000001"/>
    <x v="2"/>
    <s v="Nokia"/>
    <s v="OK"/>
    <n v="5"/>
    <n v="328"/>
  </r>
  <r>
    <s v="ANT-0179"/>
    <d v="2023-10-16T14:27:00"/>
    <n v="36"/>
    <s v="En Cours"/>
    <x v="16"/>
    <n v="0.92885200000000001"/>
    <n v="25.868548000000001"/>
    <x v="2"/>
    <s v="Nokia"/>
    <s v="OK"/>
    <n v="5"/>
    <n v="328"/>
  </r>
  <r>
    <s v="ANT-0179"/>
    <d v="2023-10-06T19:03:00"/>
    <n v="112"/>
    <s v="En Cours"/>
    <x v="16"/>
    <n v="0.92885200000000001"/>
    <n v="25.868548000000001"/>
    <x v="2"/>
    <s v="Nokia"/>
    <s v="OK"/>
    <n v="5"/>
    <n v="328"/>
  </r>
  <r>
    <s v="ANT-0180"/>
    <d v="2023-10-23T20:44:00"/>
    <n v="50"/>
    <s v="En Cours"/>
    <x v="5"/>
    <n v="2.4425979999999998"/>
    <n v="24.924308"/>
    <x v="2"/>
    <s v="Ericsson"/>
    <s v="OK"/>
    <n v="5"/>
    <n v="229"/>
  </r>
  <r>
    <s v="ANT-0180"/>
    <d v="2023-10-16T14:50:00"/>
    <n v="29"/>
    <s v="Résolu"/>
    <x v="5"/>
    <n v="2.4425979999999998"/>
    <n v="24.924308"/>
    <x v="2"/>
    <s v="Ericsson"/>
    <s v="OK"/>
    <n v="5"/>
    <n v="229"/>
  </r>
  <r>
    <s v="ANT-0180"/>
    <d v="2023-10-26T07:37:00"/>
    <n v="37"/>
    <s v="En Cours"/>
    <x v="5"/>
    <n v="2.4425979999999998"/>
    <n v="24.924308"/>
    <x v="2"/>
    <s v="Ericsson"/>
    <s v="OK"/>
    <n v="5"/>
    <n v="229"/>
  </r>
  <r>
    <s v="ANT-0180"/>
    <d v="2023-10-28T03:28:00"/>
    <n v="11"/>
    <s v="Non Résolu"/>
    <x v="5"/>
    <n v="2.4425979999999998"/>
    <n v="24.924308"/>
    <x v="2"/>
    <s v="Ericsson"/>
    <s v="OK"/>
    <n v="5"/>
    <n v="229"/>
  </r>
  <r>
    <s v="ANT-0180"/>
    <d v="2023-10-16T13:56:00"/>
    <n v="102"/>
    <s v="En Cours"/>
    <x v="5"/>
    <n v="2.4425979999999998"/>
    <n v="24.924308"/>
    <x v="2"/>
    <s v="Ericsson"/>
    <s v="OK"/>
    <n v="5"/>
    <n v="229"/>
  </r>
  <r>
    <s v="ANT-0181"/>
    <d v="2023-10-24T15:52:00"/>
    <n v="25"/>
    <s v="Résolu"/>
    <x v="2"/>
    <s v="Non trouvé"/>
    <s v="Non trouvé"/>
    <x v="1"/>
    <s v="Non trouvé"/>
    <s v="Antenne inconnue"/>
    <n v="5"/>
    <n v="296"/>
  </r>
  <r>
    <s v="ANT-0181"/>
    <d v="2023-10-01T21:12:00"/>
    <n v="57"/>
    <s v="Non Résolu"/>
    <x v="2"/>
    <s v="Non trouvé"/>
    <s v="Non trouvé"/>
    <x v="1"/>
    <s v="Non trouvé"/>
    <s v="Antenne inconnue"/>
    <n v="5"/>
    <n v="296"/>
  </r>
  <r>
    <s v="ANT-0181"/>
    <d v="2023-10-05T08:12:00"/>
    <n v="106"/>
    <s v="Non Résolu"/>
    <x v="2"/>
    <s v="Non trouvé"/>
    <s v="Non trouvé"/>
    <x v="1"/>
    <s v="Non trouvé"/>
    <s v="Antenne inconnue"/>
    <n v="5"/>
    <n v="296"/>
  </r>
  <r>
    <s v="ANT-0181"/>
    <d v="2023-10-19T14:43:00"/>
    <n v="29"/>
    <s v="Non Résolu"/>
    <x v="2"/>
    <s v="Non trouvé"/>
    <s v="Non trouvé"/>
    <x v="1"/>
    <s v="Non trouvé"/>
    <s v="Antenne inconnue"/>
    <n v="5"/>
    <n v="296"/>
  </r>
  <r>
    <s v="ANT-0181"/>
    <d v="2023-10-21T20:21:00"/>
    <n v="79"/>
    <s v="Non Résolu"/>
    <x v="2"/>
    <s v="Non trouvé"/>
    <s v="Non trouvé"/>
    <x v="1"/>
    <s v="Non trouvé"/>
    <s v="Antenne inconnue"/>
    <n v="5"/>
    <n v="296"/>
  </r>
  <r>
    <s v="ANT-0182"/>
    <d v="2023-10-23T10:15:00"/>
    <n v="96"/>
    <s v="Résolu"/>
    <x v="23"/>
    <n v="-3.234483"/>
    <n v="13.241939"/>
    <x v="0"/>
    <s v="ZTE"/>
    <s v="OK"/>
    <n v="5"/>
    <n v="316"/>
  </r>
  <r>
    <s v="ANT-0182"/>
    <d v="2023-10-08T15:14:00"/>
    <n v="58"/>
    <s v="Non Résolu"/>
    <x v="23"/>
    <n v="-3.234483"/>
    <n v="13.241939"/>
    <x v="0"/>
    <s v="ZTE"/>
    <s v="OK"/>
    <n v="5"/>
    <n v="316"/>
  </r>
  <r>
    <s v="ANT-0182"/>
    <d v="2023-10-02T01:19:00"/>
    <n v="31"/>
    <s v="En Cours"/>
    <x v="23"/>
    <n v="-3.234483"/>
    <n v="13.241939"/>
    <x v="0"/>
    <s v="ZTE"/>
    <s v="OK"/>
    <n v="5"/>
    <n v="316"/>
  </r>
  <r>
    <s v="ANT-0182"/>
    <d v="2023-10-12T13:07:00"/>
    <n v="116"/>
    <s v="Résolu"/>
    <x v="23"/>
    <n v="-3.234483"/>
    <n v="13.241939"/>
    <x v="0"/>
    <s v="ZTE"/>
    <s v="OK"/>
    <n v="5"/>
    <n v="316"/>
  </r>
  <r>
    <s v="ANT-0182"/>
    <d v="2023-10-01T13:03:00"/>
    <n v="15"/>
    <s v="En Cours"/>
    <x v="23"/>
    <n v="-3.234483"/>
    <n v="13.241939"/>
    <x v="0"/>
    <s v="ZTE"/>
    <s v="OK"/>
    <n v="5"/>
    <n v="316"/>
  </r>
  <r>
    <s v="ANT-0183"/>
    <d v="2023-10-05T04:51:00"/>
    <n v="113"/>
    <s v="En Cours"/>
    <x v="26"/>
    <n v="4.8319039999999998"/>
    <n v="20.733468999999999"/>
    <x v="2"/>
    <s v="Ericsson"/>
    <s v="OK"/>
    <n v="5"/>
    <n v="307"/>
  </r>
  <r>
    <s v="ANT-0183"/>
    <d v="2023-10-17T00:42:00"/>
    <n v="71"/>
    <s v="Résolu"/>
    <x v="26"/>
    <n v="4.8319039999999998"/>
    <n v="20.733468999999999"/>
    <x v="2"/>
    <s v="Ericsson"/>
    <s v="OK"/>
    <n v="5"/>
    <n v="307"/>
  </r>
  <r>
    <s v="ANT-0183"/>
    <d v="2023-10-09T17:08:00"/>
    <n v="22"/>
    <s v="Résolu"/>
    <x v="26"/>
    <n v="4.8319039999999998"/>
    <n v="20.733468999999999"/>
    <x v="2"/>
    <s v="Ericsson"/>
    <s v="OK"/>
    <n v="5"/>
    <n v="307"/>
  </r>
  <r>
    <s v="ANT-0183"/>
    <d v="2023-10-14T07:28:00"/>
    <n v="22"/>
    <s v="Non Résolu"/>
    <x v="26"/>
    <n v="4.8319039999999998"/>
    <n v="20.733468999999999"/>
    <x v="2"/>
    <s v="Ericsson"/>
    <s v="OK"/>
    <n v="5"/>
    <n v="307"/>
  </r>
  <r>
    <s v="ANT-0183"/>
    <d v="2023-10-13T07:28:00"/>
    <n v="79"/>
    <s v="Résolu"/>
    <x v="26"/>
    <n v="4.8319039999999998"/>
    <n v="20.733468999999999"/>
    <x v="2"/>
    <s v="Ericsson"/>
    <s v="OK"/>
    <n v="5"/>
    <n v="307"/>
  </r>
  <r>
    <s v="ANT-0184"/>
    <d v="2023-10-07T03:54:00"/>
    <n v="53"/>
    <s v="Résolu"/>
    <x v="21"/>
    <n v="-10.161428000000001"/>
    <n v="19.362325999999999"/>
    <x v="3"/>
    <s v="Nokia"/>
    <s v="OK"/>
    <n v="2"/>
    <n v="165"/>
  </r>
  <r>
    <s v="ANT-0184"/>
    <d v="2023-10-28T02:12:00"/>
    <n v="112"/>
    <s v="Résolu"/>
    <x v="21"/>
    <n v="-10.161428000000001"/>
    <n v="19.362325999999999"/>
    <x v="3"/>
    <s v="Nokia"/>
    <s v="OK"/>
    <n v="2"/>
    <n v="165"/>
  </r>
  <r>
    <s v="ANT-0185"/>
    <d v="2023-10-19T12:23:00"/>
    <n v="42"/>
    <s v="Résolu"/>
    <x v="24"/>
    <n v="1.2391989999999999"/>
    <n v="15.386718999999999"/>
    <x v="2"/>
    <s v="ZTE"/>
    <s v="OK"/>
    <n v="9"/>
    <n v="494"/>
  </r>
  <r>
    <s v="ANT-0185"/>
    <d v="2023-10-30T10:39:00"/>
    <n v="86"/>
    <s v="En Cours"/>
    <x v="24"/>
    <n v="1.2391989999999999"/>
    <n v="15.386718999999999"/>
    <x v="2"/>
    <s v="ZTE"/>
    <s v="OK"/>
    <n v="9"/>
    <n v="494"/>
  </r>
  <r>
    <s v="ANT-0185"/>
    <d v="2023-10-22T02:18:00"/>
    <n v="33"/>
    <s v="Non Résolu"/>
    <x v="24"/>
    <n v="1.2391989999999999"/>
    <n v="15.386718999999999"/>
    <x v="2"/>
    <s v="ZTE"/>
    <s v="OK"/>
    <n v="9"/>
    <n v="494"/>
  </r>
  <r>
    <s v="ANT-0185"/>
    <d v="2023-10-25T16:31:00"/>
    <n v="120"/>
    <s v="Non Résolu"/>
    <x v="24"/>
    <n v="1.2391989999999999"/>
    <n v="15.386718999999999"/>
    <x v="2"/>
    <s v="ZTE"/>
    <s v="OK"/>
    <n v="9"/>
    <n v="494"/>
  </r>
  <r>
    <s v="ANT-0185"/>
    <d v="2023-10-05T07:08:00"/>
    <n v="61"/>
    <s v="En Cours"/>
    <x v="24"/>
    <n v="1.2391989999999999"/>
    <n v="15.386718999999999"/>
    <x v="2"/>
    <s v="ZTE"/>
    <s v="OK"/>
    <n v="9"/>
    <n v="494"/>
  </r>
  <r>
    <s v="ANT-0185"/>
    <d v="2023-10-09T14:16:00"/>
    <n v="7"/>
    <s v="Résolu"/>
    <x v="24"/>
    <n v="1.2391989999999999"/>
    <n v="15.386718999999999"/>
    <x v="2"/>
    <s v="ZTE"/>
    <s v="OK"/>
    <n v="9"/>
    <n v="494"/>
  </r>
  <r>
    <s v="ANT-0185"/>
    <d v="2023-10-03T01:09:00"/>
    <n v="9"/>
    <s v="Résolu"/>
    <x v="24"/>
    <n v="1.2391989999999999"/>
    <n v="15.386718999999999"/>
    <x v="2"/>
    <s v="ZTE"/>
    <s v="OK"/>
    <n v="9"/>
    <n v="494"/>
  </r>
  <r>
    <s v="ANT-0185"/>
    <d v="2023-10-08T23:42:00"/>
    <n v="21"/>
    <s v="En Cours"/>
    <x v="24"/>
    <n v="1.2391989999999999"/>
    <n v="15.386718999999999"/>
    <x v="2"/>
    <s v="ZTE"/>
    <s v="OK"/>
    <n v="9"/>
    <n v="494"/>
  </r>
  <r>
    <s v="ANT-0185"/>
    <d v="2023-10-03T19:18:00"/>
    <n v="115"/>
    <s v="Non Résolu"/>
    <x v="24"/>
    <n v="1.2391989999999999"/>
    <n v="15.386718999999999"/>
    <x v="2"/>
    <s v="ZTE"/>
    <s v="OK"/>
    <n v="9"/>
    <n v="494"/>
  </r>
  <r>
    <s v="ANT-0186"/>
    <d v="2023-10-09T20:21:00"/>
    <n v="98"/>
    <s v="Non Résolu"/>
    <x v="2"/>
    <s v="Non trouvé"/>
    <s v="Non trouvé"/>
    <x v="1"/>
    <s v="Non trouvé"/>
    <s v="Antenne inconnue"/>
    <n v="7"/>
    <n v="492"/>
  </r>
  <r>
    <s v="ANT-0186"/>
    <d v="2023-10-22T20:54:00"/>
    <n v="86"/>
    <s v="En Cours"/>
    <x v="2"/>
    <s v="Non trouvé"/>
    <s v="Non trouvé"/>
    <x v="1"/>
    <s v="Non trouvé"/>
    <s v="Antenne inconnue"/>
    <n v="7"/>
    <n v="492"/>
  </r>
  <r>
    <s v="ANT-0186"/>
    <d v="2023-10-05T01:19:00"/>
    <n v="8"/>
    <s v="Non Résolu"/>
    <x v="2"/>
    <s v="Non trouvé"/>
    <s v="Non trouvé"/>
    <x v="1"/>
    <s v="Non trouvé"/>
    <s v="Antenne inconnue"/>
    <n v="7"/>
    <n v="492"/>
  </r>
  <r>
    <s v="ANT-0186"/>
    <d v="2023-10-05T14:42:00"/>
    <n v="69"/>
    <s v="Résolu"/>
    <x v="2"/>
    <s v="Non trouvé"/>
    <s v="Non trouvé"/>
    <x v="1"/>
    <s v="Non trouvé"/>
    <s v="Antenne inconnue"/>
    <n v="7"/>
    <n v="492"/>
  </r>
  <r>
    <s v="ANT-0186"/>
    <d v="2023-10-08T09:45:00"/>
    <n v="51"/>
    <s v="En Cours"/>
    <x v="2"/>
    <s v="Non trouvé"/>
    <s v="Non trouvé"/>
    <x v="1"/>
    <s v="Non trouvé"/>
    <s v="Antenne inconnue"/>
    <n v="7"/>
    <n v="492"/>
  </r>
  <r>
    <s v="ANT-0186"/>
    <d v="2023-10-28T20:09:00"/>
    <n v="105"/>
    <s v="Résolu"/>
    <x v="2"/>
    <s v="Non trouvé"/>
    <s v="Non trouvé"/>
    <x v="1"/>
    <s v="Non trouvé"/>
    <s v="Antenne inconnue"/>
    <n v="7"/>
    <n v="492"/>
  </r>
  <r>
    <s v="ANT-0186"/>
    <d v="2023-10-07T21:40:00"/>
    <n v="75"/>
    <s v="En Cours"/>
    <x v="2"/>
    <s v="Non trouvé"/>
    <s v="Non trouvé"/>
    <x v="1"/>
    <s v="Non trouvé"/>
    <s v="Antenne inconnue"/>
    <n v="7"/>
    <n v="492"/>
  </r>
  <r>
    <s v="ANT-0187"/>
    <d v="2023-10-21T19:56:00"/>
    <n v="100"/>
    <s v="En Cours"/>
    <x v="16"/>
    <n v="-6.0234120000000004"/>
    <n v="18.314309999999999"/>
    <x v="2"/>
    <s v="ZTE"/>
    <s v="OK"/>
    <n v="4"/>
    <n v="257"/>
  </r>
  <r>
    <s v="ANT-0187"/>
    <d v="2023-10-31T18:56:00"/>
    <n v="28"/>
    <s v="Résolu"/>
    <x v="16"/>
    <n v="-6.0234120000000004"/>
    <n v="18.314309999999999"/>
    <x v="2"/>
    <s v="ZTE"/>
    <s v="OK"/>
    <n v="4"/>
    <n v="257"/>
  </r>
  <r>
    <s v="ANT-0187"/>
    <d v="2023-10-23T09:41:00"/>
    <n v="41"/>
    <s v="Résolu"/>
    <x v="16"/>
    <n v="-6.0234120000000004"/>
    <n v="18.314309999999999"/>
    <x v="2"/>
    <s v="ZTE"/>
    <s v="OK"/>
    <n v="4"/>
    <n v="257"/>
  </r>
  <r>
    <s v="ANT-0187"/>
    <d v="2023-10-22T22:17:00"/>
    <n v="88"/>
    <s v="Non Résolu"/>
    <x v="16"/>
    <n v="-6.0234120000000004"/>
    <n v="18.314309999999999"/>
    <x v="2"/>
    <s v="ZTE"/>
    <s v="OK"/>
    <n v="4"/>
    <n v="257"/>
  </r>
  <r>
    <s v="ANT-0188"/>
    <d v="2023-10-29T05:47:00"/>
    <n v="26"/>
    <s v="En Cours"/>
    <x v="24"/>
    <n v="-2.5254650000000001"/>
    <n v="21.338113"/>
    <x v="2"/>
    <s v="Nokia"/>
    <s v="OK"/>
    <n v="1"/>
    <n v="26"/>
  </r>
  <r>
    <s v="ANT-0189"/>
    <d v="2023-10-02T20:34:00"/>
    <n v="19"/>
    <s v="Résolu"/>
    <x v="2"/>
    <s v="Non trouvé"/>
    <s v="Non trouvé"/>
    <x v="1"/>
    <s v="Non trouvé"/>
    <s v="Antenne inconnue"/>
    <n v="5"/>
    <n v="246"/>
  </r>
  <r>
    <s v="ANT-0189"/>
    <d v="2023-10-17T08:53:00"/>
    <n v="74"/>
    <s v="En Cours"/>
    <x v="2"/>
    <s v="Non trouvé"/>
    <s v="Non trouvé"/>
    <x v="1"/>
    <s v="Non trouvé"/>
    <s v="Antenne inconnue"/>
    <n v="5"/>
    <n v="246"/>
  </r>
  <r>
    <s v="ANT-0189"/>
    <d v="2023-10-28T09:47:00"/>
    <n v="63"/>
    <s v="Résolu"/>
    <x v="2"/>
    <s v="Non trouvé"/>
    <s v="Non trouvé"/>
    <x v="1"/>
    <s v="Non trouvé"/>
    <s v="Antenne inconnue"/>
    <n v="5"/>
    <n v="246"/>
  </r>
  <r>
    <s v="ANT-0189"/>
    <d v="2023-10-27T21:29:00"/>
    <n v="76"/>
    <s v="Non Résolu"/>
    <x v="2"/>
    <s v="Non trouvé"/>
    <s v="Non trouvé"/>
    <x v="1"/>
    <s v="Non trouvé"/>
    <s v="Antenne inconnue"/>
    <n v="5"/>
    <n v="246"/>
  </r>
  <r>
    <s v="ANT-0189"/>
    <d v="2023-10-18T07:47:00"/>
    <n v="14"/>
    <s v="Non Résolu"/>
    <x v="2"/>
    <s v="Non trouvé"/>
    <s v="Non trouvé"/>
    <x v="1"/>
    <s v="Non trouvé"/>
    <s v="Antenne inconnue"/>
    <n v="5"/>
    <n v="246"/>
  </r>
  <r>
    <s v="ANT-0190"/>
    <d v="2023-10-16T17:10:00"/>
    <n v="113"/>
    <s v="Résolu"/>
    <x v="2"/>
    <s v="Non trouvé"/>
    <s v="Non trouvé"/>
    <x v="1"/>
    <s v="Non trouvé"/>
    <s v="Antenne inconnue"/>
    <n v="7"/>
    <n v="366"/>
  </r>
  <r>
    <s v="ANT-0190"/>
    <s v="30/10/2023 13:51"/>
    <n v="16"/>
    <s v="Non Résolu"/>
    <x v="2"/>
    <s v="Non trouvé"/>
    <s v="Non trouvé"/>
    <x v="1"/>
    <s v="Non trouvé"/>
    <s v="Antenne inconnue"/>
    <n v="7"/>
    <n v="366"/>
  </r>
  <r>
    <s v="ANT-0190"/>
    <d v="2023-10-27T00:19:00"/>
    <n v="71"/>
    <s v="Résolu"/>
    <x v="2"/>
    <s v="Non trouvé"/>
    <s v="Non trouvé"/>
    <x v="1"/>
    <s v="Non trouvé"/>
    <s v="Antenne inconnue"/>
    <n v="7"/>
    <n v="366"/>
  </r>
  <r>
    <s v="ANT-0190"/>
    <d v="2023-10-11T14:39:00"/>
    <n v="26"/>
    <s v="En Cours"/>
    <x v="2"/>
    <s v="Non trouvé"/>
    <s v="Non trouvé"/>
    <x v="1"/>
    <s v="Non trouvé"/>
    <s v="Antenne inconnue"/>
    <n v="7"/>
    <n v="366"/>
  </r>
  <r>
    <s v="ANT-0190"/>
    <d v="2023-10-06T00:26:00"/>
    <n v="77"/>
    <s v="En Cours"/>
    <x v="2"/>
    <s v="Non trouvé"/>
    <s v="Non trouvé"/>
    <x v="1"/>
    <s v="Non trouvé"/>
    <s v="Antenne inconnue"/>
    <n v="7"/>
    <n v="366"/>
  </r>
  <r>
    <s v="ANT-0190"/>
    <d v="2023-10-04T00:40:00"/>
    <n v="45"/>
    <s v="En Cours"/>
    <x v="2"/>
    <s v="Non trouvé"/>
    <s v="Non trouvé"/>
    <x v="1"/>
    <s v="Non trouvé"/>
    <s v="Antenne inconnue"/>
    <n v="7"/>
    <n v="366"/>
  </r>
  <r>
    <s v="ANT-0190"/>
    <d v="2023-10-11T03:00:00"/>
    <n v="18"/>
    <s v="Résolu"/>
    <x v="2"/>
    <s v="Non trouvé"/>
    <s v="Non trouvé"/>
    <x v="1"/>
    <s v="Non trouvé"/>
    <s v="Antenne inconnue"/>
    <n v="7"/>
    <n v="366"/>
  </r>
  <r>
    <s v="ANT-0191"/>
    <d v="2023-10-08T04:47:00"/>
    <n v="65"/>
    <s v="En Cours"/>
    <x v="2"/>
    <s v="Non trouvé"/>
    <s v="Non trouvé"/>
    <x v="1"/>
    <s v="Non trouvé"/>
    <s v="Antenne inconnue"/>
    <n v="3"/>
    <n v="125"/>
  </r>
  <r>
    <s v="ANT-0191"/>
    <d v="2023-10-08T08:50:00"/>
    <n v="14"/>
    <s v="En Cours"/>
    <x v="2"/>
    <s v="Non trouvé"/>
    <s v="Non trouvé"/>
    <x v="1"/>
    <s v="Non trouvé"/>
    <s v="Antenne inconnue"/>
    <n v="3"/>
    <n v="125"/>
  </r>
  <r>
    <s v="ANT-0191"/>
    <d v="2023-10-26T19:29:00"/>
    <n v="46"/>
    <s v="Résolu"/>
    <x v="2"/>
    <s v="Non trouvé"/>
    <s v="Non trouvé"/>
    <x v="1"/>
    <s v="Non trouvé"/>
    <s v="Antenne inconnue"/>
    <n v="3"/>
    <n v="125"/>
  </r>
  <r>
    <s v="ANT-0192"/>
    <d v="2023-10-08T08:10:00"/>
    <n v="44"/>
    <s v="Résolu"/>
    <x v="20"/>
    <n v="-12.018316"/>
    <n v="16.700451000000001"/>
    <x v="3"/>
    <s v="Nokia"/>
    <s v="OK"/>
    <n v="2"/>
    <n v="140"/>
  </r>
  <r>
    <s v="ANT-0192"/>
    <d v="2023-10-14T23:06:00"/>
    <n v="96"/>
    <s v="Non Résolu"/>
    <x v="20"/>
    <n v="-12.018316"/>
    <n v="16.700451000000001"/>
    <x v="3"/>
    <s v="Nokia"/>
    <s v="OK"/>
    <n v="2"/>
    <n v="140"/>
  </r>
  <r>
    <s v="ANT-0193"/>
    <d v="2023-10-21T21:03:00"/>
    <n v="6"/>
    <s v="En Cours"/>
    <x v="2"/>
    <s v="Non trouvé"/>
    <s v="Non trouvé"/>
    <x v="1"/>
    <s v="Non trouvé"/>
    <s v="Antenne inconnue"/>
    <n v="7"/>
    <n v="535"/>
  </r>
  <r>
    <s v="ANT-0193"/>
    <d v="2023-10-20T16:18:00"/>
    <n v="120"/>
    <s v="Résolu"/>
    <x v="2"/>
    <s v="Non trouvé"/>
    <s v="Non trouvé"/>
    <x v="1"/>
    <s v="Non trouvé"/>
    <s v="Antenne inconnue"/>
    <n v="7"/>
    <n v="535"/>
  </r>
  <r>
    <s v="ANT-0193"/>
    <d v="2023-10-15T18:48:00"/>
    <n v="101"/>
    <s v="Résolu"/>
    <x v="2"/>
    <s v="Non trouvé"/>
    <s v="Non trouvé"/>
    <x v="1"/>
    <s v="Non trouvé"/>
    <s v="Antenne inconnue"/>
    <n v="7"/>
    <n v="535"/>
  </r>
  <r>
    <s v="ANT-0193"/>
    <d v="2023-10-06T04:04:00"/>
    <n v="91"/>
    <s v="En Cours"/>
    <x v="2"/>
    <s v="Non trouvé"/>
    <s v="Non trouvé"/>
    <x v="1"/>
    <s v="Non trouvé"/>
    <s v="Antenne inconnue"/>
    <n v="7"/>
    <n v="535"/>
  </r>
  <r>
    <s v="ANT-0193"/>
    <d v="2023-10-04T06:40:00"/>
    <n v="79"/>
    <s v="Non Résolu"/>
    <x v="2"/>
    <s v="Non trouvé"/>
    <s v="Non trouvé"/>
    <x v="1"/>
    <s v="Non trouvé"/>
    <s v="Antenne inconnue"/>
    <n v="7"/>
    <n v="535"/>
  </r>
  <r>
    <s v="ANT-0193"/>
    <d v="2023-10-27T23:25:00"/>
    <n v="89"/>
    <s v="En Cours"/>
    <x v="2"/>
    <s v="Non trouvé"/>
    <s v="Non trouvé"/>
    <x v="1"/>
    <s v="Non trouvé"/>
    <s v="Antenne inconnue"/>
    <n v="7"/>
    <n v="535"/>
  </r>
  <r>
    <s v="ANT-0193"/>
    <d v="2023-10-16T19:28:00"/>
    <n v="49"/>
    <s v="Non Résolu"/>
    <x v="2"/>
    <s v="Non trouvé"/>
    <s v="Non trouvé"/>
    <x v="1"/>
    <s v="Non trouvé"/>
    <s v="Antenne inconnue"/>
    <n v="7"/>
    <n v="535"/>
  </r>
  <r>
    <s v="ANT-0194"/>
    <d v="2023-10-29T20:29:00"/>
    <n v="46"/>
    <s v="En Cours"/>
    <x v="0"/>
    <n v="8.5490999999999998E-2"/>
    <n v="26.296129000000001"/>
    <x v="3"/>
    <s v="ZTE"/>
    <s v="OK"/>
    <n v="8"/>
    <n v="374"/>
  </r>
  <r>
    <s v="ANT-0194"/>
    <d v="2023-10-15T16:28:00"/>
    <n v="13"/>
    <s v="En Cours"/>
    <x v="0"/>
    <n v="8.5490999999999998E-2"/>
    <n v="26.296129000000001"/>
    <x v="3"/>
    <s v="ZTE"/>
    <s v="OK"/>
    <n v="8"/>
    <n v="374"/>
  </r>
  <r>
    <s v="ANT-0194"/>
    <d v="2023-10-04T18:15:00"/>
    <n v="22"/>
    <s v="Résolu"/>
    <x v="0"/>
    <n v="8.5490999999999998E-2"/>
    <n v="26.296129000000001"/>
    <x v="3"/>
    <s v="ZTE"/>
    <s v="OK"/>
    <n v="8"/>
    <n v="374"/>
  </r>
  <r>
    <s v="ANT-0194"/>
    <d v="2023-10-26T22:06:00"/>
    <n v="55"/>
    <s v="Résolu"/>
    <x v="0"/>
    <n v="8.5490999999999998E-2"/>
    <n v="26.296129000000001"/>
    <x v="3"/>
    <s v="ZTE"/>
    <s v="OK"/>
    <n v="8"/>
    <n v="374"/>
  </r>
  <r>
    <s v="ANT-0194"/>
    <d v="2023-10-06T17:04:00"/>
    <n v="11"/>
    <s v="Résolu"/>
    <x v="0"/>
    <n v="8.5490999999999998E-2"/>
    <n v="26.296129000000001"/>
    <x v="3"/>
    <s v="ZTE"/>
    <s v="OK"/>
    <n v="8"/>
    <n v="374"/>
  </r>
  <r>
    <s v="ANT-0194"/>
    <d v="2023-10-21T12:23:00"/>
    <n v="108"/>
    <s v="Non Résolu"/>
    <x v="0"/>
    <n v="8.5490999999999998E-2"/>
    <n v="26.296129000000001"/>
    <x v="3"/>
    <s v="ZTE"/>
    <s v="OK"/>
    <n v="8"/>
    <n v="374"/>
  </r>
  <r>
    <s v="ANT-0194"/>
    <d v="2023-10-11T16:28:00"/>
    <n v="62"/>
    <s v="Non Résolu"/>
    <x v="0"/>
    <n v="8.5490999999999998E-2"/>
    <n v="26.296129000000001"/>
    <x v="3"/>
    <s v="ZTE"/>
    <s v="OK"/>
    <n v="8"/>
    <n v="374"/>
  </r>
  <r>
    <s v="ANT-0194"/>
    <d v="2023-10-11T21:48:00"/>
    <n v="57"/>
    <s v="En Cours"/>
    <x v="0"/>
    <n v="8.5490999999999998E-2"/>
    <n v="26.296129000000001"/>
    <x v="3"/>
    <s v="ZTE"/>
    <s v="OK"/>
    <n v="8"/>
    <n v="374"/>
  </r>
  <r>
    <s v="ANT-0195"/>
    <d v="2023-10-02T11:37:00"/>
    <n v="106"/>
    <s v="Résolu"/>
    <x v="18"/>
    <n v="-8.0864899999999995"/>
    <n v="14.555277"/>
    <x v="3"/>
    <s v="Ericsson"/>
    <s v="OK"/>
    <n v="7"/>
    <n v="516"/>
  </r>
  <r>
    <s v="ANT-0195"/>
    <d v="2023-10-04T23:57:00"/>
    <n v="28"/>
    <s v="Non Résolu"/>
    <x v="18"/>
    <n v="-8.0864899999999995"/>
    <n v="14.555277"/>
    <x v="3"/>
    <s v="Ericsson"/>
    <s v="OK"/>
    <n v="7"/>
    <n v="516"/>
  </r>
  <r>
    <s v="ANT-0195"/>
    <d v="2023-10-11T00:31:00"/>
    <n v="83"/>
    <s v="Non Résolu"/>
    <x v="18"/>
    <n v="-8.0864899999999995"/>
    <n v="14.555277"/>
    <x v="3"/>
    <s v="Ericsson"/>
    <s v="OK"/>
    <n v="7"/>
    <n v="516"/>
  </r>
  <r>
    <s v="ANT-0195"/>
    <d v="2023-10-14T15:30:00"/>
    <n v="111"/>
    <s v="Résolu"/>
    <x v="18"/>
    <n v="-8.0864899999999995"/>
    <n v="14.555277"/>
    <x v="3"/>
    <s v="Ericsson"/>
    <s v="OK"/>
    <n v="7"/>
    <n v="516"/>
  </r>
  <r>
    <s v="ANT-0195"/>
    <d v="2023-10-02T09:58:00"/>
    <n v="77"/>
    <s v="Non Résolu"/>
    <x v="18"/>
    <n v="-8.0864899999999995"/>
    <n v="14.555277"/>
    <x v="3"/>
    <s v="Ericsson"/>
    <s v="OK"/>
    <n v="7"/>
    <n v="516"/>
  </r>
  <r>
    <s v="ANT-0195"/>
    <d v="2023-10-12T02:22:00"/>
    <n v="63"/>
    <s v="Non Résolu"/>
    <x v="18"/>
    <n v="-8.0864899999999995"/>
    <n v="14.555277"/>
    <x v="3"/>
    <s v="Ericsson"/>
    <s v="OK"/>
    <n v="7"/>
    <n v="516"/>
  </r>
  <r>
    <s v="ANT-0195"/>
    <d v="2023-10-17T01:53:00"/>
    <n v="48"/>
    <s v="Non Résolu"/>
    <x v="18"/>
    <n v="-8.0864899999999995"/>
    <n v="14.555277"/>
    <x v="3"/>
    <s v="Ericsson"/>
    <s v="OK"/>
    <n v="7"/>
    <n v="516"/>
  </r>
  <r>
    <s v="ANT-0196"/>
    <d v="2023-10-04T09:27:00"/>
    <n v="116"/>
    <s v="Non Résolu"/>
    <x v="2"/>
    <s v="Non trouvé"/>
    <s v="Non trouvé"/>
    <x v="1"/>
    <s v="Non trouvé"/>
    <s v="Antenne inconnue"/>
    <n v="4"/>
    <n v="396"/>
  </r>
  <r>
    <s v="ANT-0196"/>
    <d v="2023-10-15T01:35:00"/>
    <n v="73"/>
    <s v="Résolu"/>
    <x v="2"/>
    <s v="Non trouvé"/>
    <s v="Non trouvé"/>
    <x v="1"/>
    <s v="Non trouvé"/>
    <s v="Antenne inconnue"/>
    <n v="4"/>
    <n v="396"/>
  </r>
  <r>
    <s v="ANT-0196"/>
    <d v="2023-10-29T18:44:00"/>
    <n v="103"/>
    <s v="En Cours"/>
    <x v="2"/>
    <s v="Non trouvé"/>
    <s v="Non trouvé"/>
    <x v="1"/>
    <s v="Non trouvé"/>
    <s v="Antenne inconnue"/>
    <n v="4"/>
    <n v="396"/>
  </r>
  <r>
    <s v="ANT-0196"/>
    <d v="2023-10-11T06:29:00"/>
    <n v="104"/>
    <s v="En Cours"/>
    <x v="2"/>
    <s v="Non trouvé"/>
    <s v="Non trouvé"/>
    <x v="1"/>
    <s v="Non trouvé"/>
    <s v="Antenne inconnue"/>
    <n v="4"/>
    <n v="396"/>
  </r>
  <r>
    <s v="ANT-0197"/>
    <d v="2023-10-09T01:46:00"/>
    <n v="52"/>
    <s v="Résolu"/>
    <x v="2"/>
    <s v="Non trouvé"/>
    <s v="Non trouvé"/>
    <x v="1"/>
    <s v="Non trouvé"/>
    <s v="Antenne inconnue"/>
    <n v="8"/>
    <n v="550"/>
  </r>
  <r>
    <s v="ANT-0197"/>
    <d v="2023-10-30T12:05:00"/>
    <n v="118"/>
    <s v="En Cours"/>
    <x v="2"/>
    <s v="Non trouvé"/>
    <s v="Non trouvé"/>
    <x v="1"/>
    <s v="Non trouvé"/>
    <s v="Antenne inconnue"/>
    <n v="8"/>
    <n v="550"/>
  </r>
  <r>
    <s v="ANT-0197"/>
    <d v="2023-10-21T09:53:00"/>
    <n v="106"/>
    <s v="En Cours"/>
    <x v="2"/>
    <s v="Non trouvé"/>
    <s v="Non trouvé"/>
    <x v="1"/>
    <s v="Non trouvé"/>
    <s v="Antenne inconnue"/>
    <n v="8"/>
    <n v="550"/>
  </r>
  <r>
    <s v="ANT-0197"/>
    <d v="2023-10-10T14:07:00"/>
    <n v="92"/>
    <s v="Résolu"/>
    <x v="2"/>
    <s v="Non trouvé"/>
    <s v="Non trouvé"/>
    <x v="1"/>
    <s v="Non trouvé"/>
    <s v="Antenne inconnue"/>
    <n v="8"/>
    <n v="550"/>
  </r>
  <r>
    <s v="ANT-0197"/>
    <d v="2023-10-30T19:14:00"/>
    <n v="33"/>
    <s v="Résolu"/>
    <x v="2"/>
    <s v="Non trouvé"/>
    <s v="Non trouvé"/>
    <x v="1"/>
    <s v="Non trouvé"/>
    <s v="Antenne inconnue"/>
    <n v="8"/>
    <n v="550"/>
  </r>
  <r>
    <s v="ANT-0197"/>
    <d v="2023-10-12T16:37:00"/>
    <n v="73"/>
    <s v="Non Résolu"/>
    <x v="2"/>
    <s v="Non trouvé"/>
    <s v="Non trouvé"/>
    <x v="1"/>
    <s v="Non trouvé"/>
    <s v="Antenne inconnue"/>
    <n v="8"/>
    <n v="550"/>
  </r>
  <r>
    <s v="ANT-0197"/>
    <d v="2023-10-29T15:38:00"/>
    <n v="71"/>
    <s v="En Cours"/>
    <x v="2"/>
    <s v="Non trouvé"/>
    <s v="Non trouvé"/>
    <x v="1"/>
    <s v="Non trouvé"/>
    <s v="Antenne inconnue"/>
    <n v="8"/>
    <n v="550"/>
  </r>
  <r>
    <s v="ANT-0197"/>
    <d v="2023-10-04T23:48:00"/>
    <n v="5"/>
    <s v="En Cours"/>
    <x v="2"/>
    <s v="Non trouvé"/>
    <s v="Non trouvé"/>
    <x v="1"/>
    <s v="Non trouvé"/>
    <s v="Antenne inconnue"/>
    <n v="8"/>
    <n v="550"/>
  </r>
  <r>
    <s v="ANT-0198"/>
    <d v="2023-10-29T18:36:00"/>
    <n v="62"/>
    <s v="En Cours"/>
    <x v="2"/>
    <s v="Non trouvé"/>
    <s v="Non trouvé"/>
    <x v="1"/>
    <s v="Non trouvé"/>
    <s v="Antenne inconnue"/>
    <n v="4"/>
    <n v="389"/>
  </r>
  <r>
    <s v="ANT-0198"/>
    <d v="2023-10-27T17:02:00"/>
    <n v="96"/>
    <s v="En Cours"/>
    <x v="2"/>
    <s v="Non trouvé"/>
    <s v="Non trouvé"/>
    <x v="1"/>
    <s v="Non trouvé"/>
    <s v="Antenne inconnue"/>
    <n v="4"/>
    <n v="389"/>
  </r>
  <r>
    <s v="ANT-0198"/>
    <d v="2023-10-14T11:55:00"/>
    <n v="117"/>
    <s v="Non Résolu"/>
    <x v="2"/>
    <s v="Non trouvé"/>
    <s v="Non trouvé"/>
    <x v="1"/>
    <s v="Non trouvé"/>
    <s v="Antenne inconnue"/>
    <n v="4"/>
    <n v="389"/>
  </r>
  <r>
    <s v="ANT-0198"/>
    <d v="2023-10-03T03:53:00"/>
    <n v="114"/>
    <s v="Non Résolu"/>
    <x v="2"/>
    <s v="Non trouvé"/>
    <s v="Non trouvé"/>
    <x v="1"/>
    <s v="Non trouvé"/>
    <s v="Antenne inconnue"/>
    <n v="4"/>
    <n v="389"/>
  </r>
  <r>
    <s v="ant-0199"/>
    <d v="2023-10-04T07:14:00"/>
    <n v="35"/>
    <s v="Non Résolu"/>
    <x v="2"/>
    <s v="Non trouvé"/>
    <s v="Non trouvé"/>
    <x v="1"/>
    <s v="Non trouvé"/>
    <s v="Antenne inconnue"/>
    <n v="6"/>
    <n v="150"/>
  </r>
  <r>
    <s v="ANT-0199"/>
    <d v="2023-10-31T00:07:00"/>
    <n v="21"/>
    <s v="Résolu"/>
    <x v="2"/>
    <s v="Non trouvé"/>
    <s v="Non trouvé"/>
    <x v="1"/>
    <s v="Non trouvé"/>
    <s v="Antenne inconnue"/>
    <n v="6"/>
    <n v="150"/>
  </r>
  <r>
    <s v="ANT-0199"/>
    <d v="2023-10-15T02:38:00"/>
    <n v="17"/>
    <s v="En Cours"/>
    <x v="2"/>
    <s v="Non trouvé"/>
    <s v="Non trouvé"/>
    <x v="1"/>
    <s v="Non trouvé"/>
    <s v="Antenne inconnue"/>
    <n v="6"/>
    <n v="150"/>
  </r>
  <r>
    <s v="ANT-0199"/>
    <d v="2023-10-12T02:33:00"/>
    <n v="16"/>
    <s v="Non Résolu"/>
    <x v="2"/>
    <s v="Non trouvé"/>
    <s v="Non trouvé"/>
    <x v="1"/>
    <s v="Non trouvé"/>
    <s v="Antenne inconnue"/>
    <n v="6"/>
    <n v="150"/>
  </r>
  <r>
    <s v="ANT-0199"/>
    <d v="2023-10-02T14:58:00"/>
    <n v="9"/>
    <s v="Résolu"/>
    <x v="2"/>
    <s v="Non trouvé"/>
    <s v="Non trouvé"/>
    <x v="1"/>
    <s v="Non trouvé"/>
    <s v="Antenne inconnue"/>
    <n v="6"/>
    <n v="150"/>
  </r>
  <r>
    <s v="ANT-0199"/>
    <d v="2023-10-31T17:34:00"/>
    <n v="52"/>
    <s v="Résolu"/>
    <x v="2"/>
    <s v="Non trouvé"/>
    <s v="Non trouvé"/>
    <x v="1"/>
    <s v="Non trouvé"/>
    <s v="Antenne inconnue"/>
    <n v="6"/>
    <n v="150"/>
  </r>
  <r>
    <s v="ANT-0200"/>
    <d v="2023-10-17T14:00:00"/>
    <n v="38"/>
    <s v="Résolu"/>
    <x v="11"/>
    <n v="1.217457"/>
    <n v="25.48668"/>
    <x v="2"/>
    <s v="Nokia"/>
    <s v="OK"/>
    <n v="2"/>
    <n v="111"/>
  </r>
  <r>
    <s v="ANT-0200"/>
    <d v="2023-10-25T09:15:00"/>
    <n v="73"/>
    <s v="Résolu"/>
    <x v="11"/>
    <n v="1.217457"/>
    <n v="25.48668"/>
    <x v="2"/>
    <s v="Nokia"/>
    <s v="OK"/>
    <n v="2"/>
    <n v="111"/>
  </r>
  <r>
    <s v="ANT-0203"/>
    <d v="2023-10-25T23:37:00"/>
    <n v="49"/>
    <s v="Résolu"/>
    <x v="2"/>
    <s v="Non trouvé"/>
    <s v="Non trouvé"/>
    <x v="1"/>
    <s v="Non trouvé"/>
    <s v="Antenne inconnue"/>
    <n v="1"/>
    <n v="49"/>
  </r>
  <r>
    <s v="ANT-0204"/>
    <d v="2023-10-30T12:05:00"/>
    <n v="106"/>
    <s v="Non Résolu"/>
    <x v="2"/>
    <s v="Non trouvé"/>
    <s v="Non trouvé"/>
    <x v="1"/>
    <s v="Non trouvé"/>
    <s v="Antenne inconnue"/>
    <n v="1"/>
    <n v="106"/>
  </r>
  <r>
    <s v="ANT-0205"/>
    <d v="2023-10-10T08:46:00"/>
    <n v="120"/>
    <s v="Résolu"/>
    <x v="9"/>
    <n v="-1.4110389999999999"/>
    <n v="21.261644"/>
    <x v="0"/>
    <s v="ZTE"/>
    <s v="OK"/>
    <n v="3"/>
    <n v="270"/>
  </r>
  <r>
    <s v="ANT-0205"/>
    <d v="2023-10-16T23:46:00"/>
    <n v="66"/>
    <s v="En Cours"/>
    <x v="9"/>
    <n v="-1.4110389999999999"/>
    <n v="21.261644"/>
    <x v="0"/>
    <s v="ZTE"/>
    <s v="OK"/>
    <n v="3"/>
    <n v="270"/>
  </r>
  <r>
    <s v="ANT-0205"/>
    <d v="2023-10-12T17:24:00"/>
    <n v="84"/>
    <s v="En Cours"/>
    <x v="9"/>
    <n v="-1.4110389999999999"/>
    <n v="21.261644"/>
    <x v="0"/>
    <s v="ZTE"/>
    <s v="OK"/>
    <n v="3"/>
    <n v="270"/>
  </r>
  <r>
    <s v="ANT-0206"/>
    <d v="2023-10-06T22:19:00"/>
    <n v="82"/>
    <s v="En Cours"/>
    <x v="23"/>
    <n v="4.0157999999999996"/>
    <n v="21.430246"/>
    <x v="2"/>
    <s v="Nokia"/>
    <s v="OK"/>
    <n v="1"/>
    <n v="82"/>
  </r>
  <r>
    <s v="ANT-0209"/>
    <d v="2023-10-08T08:50:00"/>
    <n v="46"/>
    <s v="Résolu"/>
    <x v="25"/>
    <n v="-10.481026999999999"/>
    <n v="18.160464000000001"/>
    <x v="2"/>
    <s v="Huawei"/>
    <s v="OK"/>
    <n v="1"/>
    <n v="46"/>
  </r>
  <r>
    <s v="ANT-0211"/>
    <d v="2023-10-07T15:17:00"/>
    <n v="32"/>
    <s v="En Cours"/>
    <x v="22"/>
    <n v="-11.514817000000001"/>
    <n v="24.891375"/>
    <x v="3"/>
    <s v="Nokia"/>
    <s v="OK"/>
    <n v="2"/>
    <n v="53"/>
  </r>
  <r>
    <s v="ANT-0211"/>
    <d v="2023-10-19T14:09:00"/>
    <n v="21"/>
    <s v="Résolu"/>
    <x v="22"/>
    <n v="-11.514817000000001"/>
    <n v="24.891375"/>
    <x v="3"/>
    <s v="Nokia"/>
    <s v="OK"/>
    <n v="2"/>
    <n v="53"/>
  </r>
  <r>
    <s v="ANT-0212"/>
    <d v="2023-10-01T21:56:00"/>
    <n v="87"/>
    <s v="Résolu"/>
    <x v="9"/>
    <n v="3.175935"/>
    <n v="16.862832000000001"/>
    <x v="2"/>
    <s v="Ericsson"/>
    <s v="OK"/>
    <n v="1"/>
    <n v="87"/>
  </r>
  <r>
    <s v="ANT-0215"/>
    <d v="2023-10-14T14:35:00"/>
    <n v="22"/>
    <s v="Résolu"/>
    <x v="2"/>
    <s v="Non trouvé"/>
    <s v="Non trouvé"/>
    <x v="1"/>
    <s v="Non trouvé"/>
    <s v="Antenne inconnue"/>
    <n v="1"/>
    <n v="22"/>
  </r>
  <r>
    <s v="ANT-0221"/>
    <d v="2023-10-07T18:26:00"/>
    <n v="35"/>
    <s v="En Cours"/>
    <x v="2"/>
    <s v="Non trouvé"/>
    <s v="Non trouvé"/>
    <x v="1"/>
    <s v="Non trouvé"/>
    <s v="Antenne inconnue"/>
    <n v="1"/>
    <n v="35"/>
  </r>
  <r>
    <s v="ANT-0224"/>
    <d v="2023-10-04T17:11:00"/>
    <n v="68"/>
    <s v="Non Résolu"/>
    <x v="16"/>
    <n v="-7.9866700000000002"/>
    <n v="17.757847000000002"/>
    <x v="2"/>
    <s v="Huawei"/>
    <s v="OK"/>
    <n v="1"/>
    <n v="68"/>
  </r>
  <r>
    <s v="ANT-0225"/>
    <d v="2023-10-23T11:30:00"/>
    <n v="112"/>
    <s v="Non Résolu"/>
    <x v="24"/>
    <n v="-8.8118569999999998"/>
    <n v="14.465711000000001"/>
    <x v="2"/>
    <s v="Nokia"/>
    <s v="OK"/>
    <n v="1"/>
    <n v="112"/>
  </r>
  <r>
    <s v="ANT-0226"/>
    <d v="2023-10-12T14:06:00"/>
    <n v="27"/>
    <s v="En Cours"/>
    <x v="3"/>
    <n v="-7.8215969999999997"/>
    <n v="26.797349000000001"/>
    <x v="3"/>
    <s v="Ericsson"/>
    <s v="OK"/>
    <n v="1"/>
    <n v="27"/>
  </r>
  <r>
    <s v="ANT-0227"/>
    <d v="2023-10-30T09:36:00"/>
    <n v="77"/>
    <s v="Résolu"/>
    <x v="2"/>
    <s v="Non trouvé"/>
    <s v="Non trouvé"/>
    <x v="1"/>
    <s v="Non trouvé"/>
    <s v="Antenne inconnue"/>
    <n v="2"/>
    <n v="91"/>
  </r>
  <r>
    <s v="ANT-0227"/>
    <d v="2023-10-25T16:07:00"/>
    <n v="14"/>
    <s v="En Cours"/>
    <x v="2"/>
    <s v="Non trouvé"/>
    <s v="Non trouvé"/>
    <x v="1"/>
    <s v="Non trouvé"/>
    <s v="Antenne inconnue"/>
    <n v="2"/>
    <n v="91"/>
  </r>
  <r>
    <s v="ANT-0229"/>
    <d v="2023-10-04T14:19:00"/>
    <n v="13"/>
    <s v="Non Résolu"/>
    <x v="20"/>
    <n v="-1.9540519999999999"/>
    <n v="12.667945"/>
    <x v="0"/>
    <s v="Huawei"/>
    <s v="OK"/>
    <n v="2"/>
    <n v="75"/>
  </r>
  <r>
    <s v="ANT-0229"/>
    <d v="2023-10-31T21:55:00"/>
    <n v="62"/>
    <s v="Résolu"/>
    <x v="20"/>
    <n v="-1.9540519999999999"/>
    <n v="12.667945"/>
    <x v="0"/>
    <s v="Huawei"/>
    <s v="OK"/>
    <n v="2"/>
    <n v="75"/>
  </r>
  <r>
    <s v="ANT-0231"/>
    <d v="2023-10-13T14:49:00"/>
    <n v="28"/>
    <s v="Résolu"/>
    <x v="2"/>
    <s v="Non trouvé"/>
    <s v="Non trouvé"/>
    <x v="1"/>
    <s v="Non trouvé"/>
    <s v="Antenne inconnue"/>
    <n v="1"/>
    <n v="28"/>
  </r>
  <r>
    <s v="ANT-0232"/>
    <d v="2023-10-29T16:08:00"/>
    <n v="106"/>
    <s v="Résolu"/>
    <x v="23"/>
    <n v="2.0392079999999999"/>
    <n v="19.090841999999999"/>
    <x v="0"/>
    <s v="Nokia"/>
    <s v="OK"/>
    <n v="2"/>
    <n v="196"/>
  </r>
  <r>
    <m/>
    <n v="45207.76666666667"/>
    <n v="30"/>
    <s v="En Cours"/>
    <x v="2"/>
    <s v="Non trouvé"/>
    <s v="Non trouvé"/>
    <x v="1"/>
    <s v="Non trouvé"/>
    <s v="Antenne inconnue"/>
    <n v="0"/>
    <n v="0"/>
  </r>
  <r>
    <s v="ANT-0232"/>
    <d v="2023-10-05T06:21:00"/>
    <n v="90"/>
    <s v="En Cours"/>
    <x v="23"/>
    <n v="2.0392079999999999"/>
    <n v="19.090841999999999"/>
    <x v="0"/>
    <s v="Nokia"/>
    <s v="OK"/>
    <n v="2"/>
    <n v="196"/>
  </r>
  <r>
    <s v="ANT-0233"/>
    <d v="2023-10-08T22:04:00"/>
    <n v="42"/>
    <s v="Résolu"/>
    <x v="2"/>
    <s v="Non trouvé"/>
    <s v="Non trouvé"/>
    <x v="1"/>
    <s v="Non trouvé"/>
    <s v="Antenne inconnue"/>
    <n v="1"/>
    <n v="42"/>
  </r>
  <r>
    <s v="ANT-0236"/>
    <d v="2023-10-15T16:45:00"/>
    <n v="98"/>
    <s v="En Cours"/>
    <x v="1"/>
    <n v="-12.192204"/>
    <n v="28.468682000000001"/>
    <x v="3"/>
    <s v="ZTE"/>
    <s v="OK"/>
    <n v="1"/>
    <n v="98"/>
  </r>
  <r>
    <s v="ANT-0238"/>
    <d v="2023-10-31T09:49:00"/>
    <n v="80"/>
    <s v="Non Résolu"/>
    <x v="21"/>
    <n v="0.62055499999999997"/>
    <n v="21.222035000000002"/>
    <x v="2"/>
    <s v="Nokia"/>
    <s v="OK"/>
    <n v="2"/>
    <n v="110"/>
  </r>
  <r>
    <s v="ANT-0238"/>
    <d v="2023-10-29T03:49:00"/>
    <n v="30"/>
    <s v="Résolu"/>
    <x v="21"/>
    <n v="0.62055499999999997"/>
    <n v="21.222035000000002"/>
    <x v="2"/>
    <s v="Nokia"/>
    <s v="OK"/>
    <n v="2"/>
    <n v="110"/>
  </r>
  <r>
    <s v="ANT-0239"/>
    <d v="2023-10-06T12:39:00"/>
    <n v="40"/>
    <s v="En Cours"/>
    <x v="16"/>
    <n v="-5.42171"/>
    <n v="24.202960999999998"/>
    <x v="2"/>
    <s v="Ericsson"/>
    <s v="OK"/>
    <n v="2"/>
    <n v="94"/>
  </r>
  <r>
    <s v="ANT-0239"/>
    <d v="2023-10-21T17:50:00"/>
    <n v="54"/>
    <s v="Non Résolu"/>
    <x v="16"/>
    <n v="-5.42171"/>
    <n v="24.202960999999998"/>
    <x v="2"/>
    <s v="Ericsson"/>
    <s v="OK"/>
    <n v="2"/>
    <n v="94"/>
  </r>
  <r>
    <s v="ANT-0241"/>
    <d v="2023-10-13T17:18:00"/>
    <n v="33"/>
    <s v="En Cours"/>
    <x v="20"/>
    <n v="-5.7957599999999996"/>
    <n v="14.078258"/>
    <x v="2"/>
    <s v="Ericsson"/>
    <s v="OK"/>
    <n v="1"/>
    <n v="33"/>
  </r>
  <r>
    <s v="ANT-0242"/>
    <d v="2023-10-12T01:55:00"/>
    <n v="59"/>
    <s v="Non Résolu"/>
    <x v="2"/>
    <s v="Non trouvé"/>
    <s v="Non trouvé"/>
    <x v="1"/>
    <s v="Non trouvé"/>
    <s v="Antenne inconnue"/>
    <n v="2"/>
    <n v="113"/>
  </r>
  <r>
    <s v="ANT-0242"/>
    <d v="2023-10-13T05:46:00"/>
    <n v="54"/>
    <s v="Non Résolu"/>
    <x v="2"/>
    <s v="Non trouvé"/>
    <s v="Non trouvé"/>
    <x v="1"/>
    <s v="Non trouvé"/>
    <s v="Antenne inconnue"/>
    <n v="2"/>
    <n v="113"/>
  </r>
  <r>
    <s v="ANT-0243"/>
    <d v="2023-10-10T09:20:00"/>
    <n v="44"/>
    <s v="Résolu"/>
    <x v="2"/>
    <s v="Non trouvé"/>
    <s v="Non trouvé"/>
    <x v="1"/>
    <s v="Non trouvé"/>
    <s v="Antenne inconnue"/>
    <n v="1"/>
    <n v="44"/>
  </r>
  <r>
    <s v="ANT-0244"/>
    <d v="2023-10-08T02:59:00"/>
    <n v="77"/>
    <s v="En Cours"/>
    <x v="2"/>
    <s v="Non trouvé"/>
    <s v="Non trouvé"/>
    <x v="1"/>
    <s v="Non trouvé"/>
    <s v="Antenne inconnue"/>
    <n v="1"/>
    <n v="77"/>
  </r>
  <r>
    <s v="ANT-0245"/>
    <d v="2023-10-20T10:05:00"/>
    <n v="63"/>
    <s v="En Cours"/>
    <x v="12"/>
    <n v="-9.9875139999999991"/>
    <n v="12.013676999999999"/>
    <x v="3"/>
    <s v="ZTE"/>
    <s v="OK"/>
    <n v="1"/>
    <n v="63"/>
  </r>
  <r>
    <s v="ANT-0246"/>
    <d v="2023-10-31T18:56:00"/>
    <n v="87"/>
    <s v="Non Résolu"/>
    <x v="2"/>
    <s v="Non trouvé"/>
    <s v="Non trouvé"/>
    <x v="1"/>
    <s v="Non trouvé"/>
    <s v="Antenne inconnue"/>
    <n v="3"/>
    <n v="251"/>
  </r>
  <r>
    <s v="ANT-0246"/>
    <d v="2023-10-01T02:14:00"/>
    <n v="63"/>
    <s v="Non Résolu"/>
    <x v="2"/>
    <s v="Non trouvé"/>
    <s v="Non trouvé"/>
    <x v="1"/>
    <s v="Non trouvé"/>
    <s v="Antenne inconnue"/>
    <n v="3"/>
    <n v="251"/>
  </r>
  <r>
    <s v="ANT-0246"/>
    <d v="2023-10-29T20:10:00"/>
    <n v="101"/>
    <s v="Résolu"/>
    <x v="2"/>
    <s v="Non trouvé"/>
    <s v="Non trouvé"/>
    <x v="1"/>
    <s v="Non trouvé"/>
    <s v="Antenne inconnue"/>
    <n v="3"/>
    <n v="251"/>
  </r>
  <r>
    <s v="ANT-0247"/>
    <d v="2023-10-21T15:25:00"/>
    <n v="19"/>
    <s v="Résolu"/>
    <x v="2"/>
    <s v="Non trouvé"/>
    <s v="Non trouvé"/>
    <x v="1"/>
    <s v="Non trouvé"/>
    <s v="Antenne inconnue"/>
    <n v="6"/>
    <n v="330"/>
  </r>
  <r>
    <s v="ANT-0247"/>
    <d v="2023-10-31T20:02:00"/>
    <n v="46"/>
    <s v="Non Résolu"/>
    <x v="2"/>
    <s v="Non trouvé"/>
    <s v="Non trouvé"/>
    <x v="1"/>
    <s v="Non trouvé"/>
    <s v="Antenne inconnue"/>
    <n v="6"/>
    <n v="330"/>
  </r>
  <r>
    <s v="ANT-0247"/>
    <d v="2023-10-19T08:41:00"/>
    <n v="45"/>
    <s v="En Cours"/>
    <x v="2"/>
    <s v="Non trouvé"/>
    <s v="Non trouvé"/>
    <x v="1"/>
    <s v="Non trouvé"/>
    <s v="Antenne inconnue"/>
    <n v="6"/>
    <n v="330"/>
  </r>
  <r>
    <s v="ANT-0247"/>
    <d v="2023-10-30T06:47:00"/>
    <n v="102"/>
    <s v="Non Résolu"/>
    <x v="2"/>
    <s v="Non trouvé"/>
    <s v="Non trouvé"/>
    <x v="1"/>
    <s v="Non trouvé"/>
    <s v="Antenne inconnue"/>
    <n v="6"/>
    <n v="330"/>
  </r>
  <r>
    <s v="ANT-0247"/>
    <d v="2023-10-21T02:45:00"/>
    <n v="54"/>
    <s v="Non Résolu"/>
    <x v="2"/>
    <s v="Non trouvé"/>
    <s v="Non trouvé"/>
    <x v="1"/>
    <s v="Non trouvé"/>
    <s v="Antenne inconnue"/>
    <n v="6"/>
    <n v="330"/>
  </r>
  <r>
    <s v="ANT-0247"/>
    <d v="2023-10-27T22:05:00"/>
    <n v="64"/>
    <s v="En Cours"/>
    <x v="2"/>
    <s v="Non trouvé"/>
    <s v="Non trouvé"/>
    <x v="1"/>
    <s v="Non trouvé"/>
    <s v="Antenne inconnue"/>
    <n v="6"/>
    <n v="330"/>
  </r>
  <r>
    <s v="ANT-0248"/>
    <d v="2023-10-29T12:17:00"/>
    <n v="64"/>
    <s v="Non Résolu"/>
    <x v="24"/>
    <n v="-4.4351269999999996"/>
    <n v="24.825467"/>
    <x v="0"/>
    <s v="Huawei"/>
    <s v="OK"/>
    <n v="2"/>
    <n v="169"/>
  </r>
  <r>
    <s v="ANT-0248"/>
    <d v="2023-10-31T07:46:00"/>
    <n v="105"/>
    <s v="Résolu"/>
    <x v="24"/>
    <n v="-4.4351269999999996"/>
    <n v="24.825467"/>
    <x v="0"/>
    <s v="Huawei"/>
    <s v="OK"/>
    <n v="2"/>
    <n v="169"/>
  </r>
  <r>
    <s v="ANT-0250"/>
    <d v="2023-10-03T18:44:00"/>
    <n v="53"/>
    <s v="En Cours"/>
    <x v="19"/>
    <n v="-2.3743210000000001"/>
    <n v="22.399491000000001"/>
    <x v="2"/>
    <s v="Ericsson"/>
    <s v="OK"/>
    <n v="3"/>
    <n v="227"/>
  </r>
  <r>
    <s v="ANT-0250"/>
    <d v="2023-10-17T06:24:00"/>
    <n v="90"/>
    <s v="En Cours"/>
    <x v="19"/>
    <n v="-2.3743210000000001"/>
    <n v="22.399491000000001"/>
    <x v="2"/>
    <s v="Ericsson"/>
    <s v="OK"/>
    <n v="3"/>
    <n v="227"/>
  </r>
  <r>
    <s v="ANT-0250"/>
    <d v="2023-10-18T18:37:00"/>
    <n v="84"/>
    <s v="Résolu"/>
    <x v="19"/>
    <n v="-2.3743210000000001"/>
    <n v="22.399491000000001"/>
    <x v="2"/>
    <s v="Ericsson"/>
    <s v="OK"/>
    <n v="3"/>
    <n v="227"/>
  </r>
  <r>
    <s v="ANT-0254"/>
    <d v="2023-10-27T00:19:00"/>
    <n v="107"/>
    <s v="Non Résolu"/>
    <x v="2"/>
    <s v="Non trouvé"/>
    <s v="Non trouvé"/>
    <x v="1"/>
    <s v="Non trouvé"/>
    <s v="Antenne inconnue"/>
    <n v="4"/>
    <n v="329"/>
  </r>
  <r>
    <s v="ANT-0254"/>
    <d v="2023-10-18T09:57:00"/>
    <n v="74"/>
    <s v="En Cours"/>
    <x v="2"/>
    <s v="Non trouvé"/>
    <s v="Non trouvé"/>
    <x v="1"/>
    <s v="Non trouvé"/>
    <s v="Antenne inconnue"/>
    <n v="4"/>
    <n v="329"/>
  </r>
  <r>
    <s v="ANT-0254"/>
    <d v="2023-10-12T02:58:00"/>
    <n v="87"/>
    <s v="Résolu"/>
    <x v="2"/>
    <s v="Non trouvé"/>
    <s v="Non trouvé"/>
    <x v="1"/>
    <s v="Non trouvé"/>
    <s v="Antenne inconnue"/>
    <n v="4"/>
    <n v="329"/>
  </r>
  <r>
    <s v="ANT-0254"/>
    <d v="2023-10-12T11:54:00"/>
    <n v="61"/>
    <s v="Non Résolu"/>
    <x v="2"/>
    <s v="Non trouvé"/>
    <s v="Non trouvé"/>
    <x v="1"/>
    <s v="Non trouvé"/>
    <s v="Antenne inconnue"/>
    <n v="4"/>
    <n v="329"/>
  </r>
  <r>
    <s v="ANT-0255"/>
    <d v="2023-10-29T02:04:00"/>
    <n v="43"/>
    <s v="En Cours"/>
    <x v="9"/>
    <n v="-6.4883290000000002"/>
    <n v="25.103404000000001"/>
    <x v="2"/>
    <s v="ZTE"/>
    <s v="OK"/>
    <n v="1"/>
    <n v="43"/>
  </r>
  <r>
    <s v="ANT-0257"/>
    <d v="2023-10-31T20:44:00"/>
    <n v="57"/>
    <s v="Résolu"/>
    <x v="22"/>
    <n v="-4.1694589999999998"/>
    <n v="23.376487000000001"/>
    <x v="3"/>
    <s v="Nokia"/>
    <s v="OK"/>
    <n v="2"/>
    <n v="177"/>
  </r>
  <r>
    <s v="ANT-0257"/>
    <d v="2023-10-18T00:41:00"/>
    <n v="120"/>
    <s v="En Cours"/>
    <x v="22"/>
    <n v="-4.1694589999999998"/>
    <n v="23.376487000000001"/>
    <x v="3"/>
    <s v="Nokia"/>
    <s v="OK"/>
    <n v="2"/>
    <n v="177"/>
  </r>
  <r>
    <s v="ANT-0258"/>
    <d v="2023-10-15T23:03:00"/>
    <n v="38"/>
    <s v="Résolu"/>
    <x v="23"/>
    <n v="-11.710407999999999"/>
    <n v="23.741330999999999"/>
    <x v="3"/>
    <s v="Huawei"/>
    <s v="OK"/>
    <n v="1"/>
    <n v="38"/>
  </r>
  <r>
    <s v="ANT-0259"/>
    <d v="2023-10-16T14:21:00"/>
    <n v="7"/>
    <s v="En Cours"/>
    <x v="2"/>
    <s v="Non trouvé"/>
    <s v="Non trouvé"/>
    <x v="1"/>
    <s v="Non trouvé"/>
    <s v="Antenne inconnue"/>
    <n v="4"/>
    <n v="162"/>
  </r>
  <r>
    <s v="ANT-0259"/>
    <d v="2023-10-13T07:35:00"/>
    <n v="112"/>
    <s v="Résolu"/>
    <x v="2"/>
    <s v="Non trouvé"/>
    <s v="Non trouvé"/>
    <x v="1"/>
    <s v="Non trouvé"/>
    <s v="Antenne inconnue"/>
    <n v="4"/>
    <n v="162"/>
  </r>
  <r>
    <s v="ANT-0259"/>
    <d v="2023-10-21T15:38:00"/>
    <n v="36"/>
    <s v="Résolu"/>
    <x v="2"/>
    <s v="Non trouvé"/>
    <s v="Non trouvé"/>
    <x v="1"/>
    <s v="Non trouvé"/>
    <s v="Antenne inconnue"/>
    <n v="4"/>
    <n v="162"/>
  </r>
  <r>
    <s v="ANT-0259"/>
    <d v="2023-10-04T21:24:00"/>
    <n v="7"/>
    <s v="Non Résolu"/>
    <x v="2"/>
    <s v="Non trouvé"/>
    <s v="Non trouvé"/>
    <x v="1"/>
    <s v="Non trouvé"/>
    <s v="Antenne inconnue"/>
    <n v="4"/>
    <n v="162"/>
  </r>
  <r>
    <s v="ANT-0262"/>
    <d v="2023-10-08T08:25:00"/>
    <n v="75"/>
    <s v="En Cours"/>
    <x v="2"/>
    <s v="Non trouvé"/>
    <s v="Non trouvé"/>
    <x v="1"/>
    <s v="Non trouvé"/>
    <s v="Antenne inconnue"/>
    <n v="1"/>
    <n v="75"/>
  </r>
  <r>
    <s v="ANT-0264"/>
    <d v="2023-10-22T00:57:00"/>
    <n v="33"/>
    <s v="Non Résolu"/>
    <x v="11"/>
    <n v="0.48965500000000001"/>
    <n v="26.176860000000001"/>
    <x v="0"/>
    <s v="Huawei"/>
    <s v="OK"/>
    <n v="1"/>
    <n v="33"/>
  </r>
  <r>
    <s v="ANT-0266"/>
    <d v="2023-10-06T19:36:00"/>
    <n v="33"/>
    <s v="En Cours"/>
    <x v="2"/>
    <s v="Non trouvé"/>
    <s v="Non trouvé"/>
    <x v="1"/>
    <s v="Non trouvé"/>
    <s v="Antenne inconnue"/>
    <n v="1"/>
    <n v="33"/>
  </r>
  <r>
    <s v="ANT-0268"/>
    <d v="2023-10-01T11:12:00"/>
    <n v="31"/>
    <s v="Non Résolu"/>
    <x v="12"/>
    <n v="-9.5619429999999994"/>
    <n v="21.445726000000001"/>
    <x v="0"/>
    <s v="Nokia"/>
    <s v="OK"/>
    <n v="2"/>
    <n v="126"/>
  </r>
  <r>
    <s v="ANT-0268"/>
    <d v="2023-10-02T07:02:00"/>
    <n v="95"/>
    <s v="En Cours"/>
    <x v="12"/>
    <n v="-9.5619429999999994"/>
    <n v="21.445726000000001"/>
    <x v="0"/>
    <s v="Nokia"/>
    <s v="OK"/>
    <n v="2"/>
    <n v="126"/>
  </r>
  <r>
    <s v="ANT-0269"/>
    <d v="2023-10-01T12:16:00"/>
    <n v="108"/>
    <s v="En Cours"/>
    <x v="2"/>
    <s v="Non trouvé"/>
    <s v="Non trouvé"/>
    <x v="1"/>
    <s v="Non trouvé"/>
    <s v="Antenne inconnue"/>
    <n v="1"/>
    <n v="108"/>
  </r>
  <r>
    <s v="ANT-0270"/>
    <d v="2023-10-03T06:14:00"/>
    <n v="79"/>
    <s v="Résolu"/>
    <x v="15"/>
    <n v="-1.648264"/>
    <n v="28.866143999999998"/>
    <x v="2"/>
    <s v="Ericsson"/>
    <s v="OK"/>
    <n v="2"/>
    <n v="87"/>
  </r>
  <r>
    <s v="ANT-0270"/>
    <d v="2023-10-22T04:20:00"/>
    <n v="8"/>
    <s v="Résolu"/>
    <x v="15"/>
    <n v="-1.648264"/>
    <n v="28.866143999999998"/>
    <x v="2"/>
    <s v="Ericsson"/>
    <s v="OK"/>
    <n v="2"/>
    <n v="87"/>
  </r>
  <r>
    <s v="ANT-0271"/>
    <d v="2023-10-14T06:06:00"/>
    <n v="73"/>
    <s v="En Cours"/>
    <x v="20"/>
    <n v="-5.1030600000000002"/>
    <n v="22.849231"/>
    <x v="2"/>
    <s v="ZTE"/>
    <s v="OK"/>
    <n v="2"/>
    <n v="127"/>
  </r>
  <r>
    <s v="ANT-0271"/>
    <d v="2023-10-27T04:06:00"/>
    <n v="54"/>
    <s v="Résolu"/>
    <x v="20"/>
    <n v="-5.1030600000000002"/>
    <n v="22.849231"/>
    <x v="2"/>
    <s v="ZTE"/>
    <s v="OK"/>
    <n v="2"/>
    <n v="127"/>
  </r>
  <r>
    <s v="ANT-0274"/>
    <d v="2023-10-26T20:37:00"/>
    <n v="90"/>
    <s v="Non Résolu"/>
    <x v="2"/>
    <s v="Non trouvé"/>
    <s v="Non trouvé"/>
    <x v="1"/>
    <s v="Non trouvé"/>
    <s v="Antenne inconnue"/>
    <n v="3"/>
    <n v="221"/>
  </r>
  <r>
    <s v="ANT-0274"/>
    <d v="2023-10-11T21:22:00"/>
    <n v="118"/>
    <s v="Résolu"/>
    <x v="2"/>
    <s v="Non trouvé"/>
    <s v="Non trouvé"/>
    <x v="1"/>
    <s v="Non trouvé"/>
    <s v="Antenne inconnue"/>
    <n v="3"/>
    <n v="221"/>
  </r>
  <r>
    <s v="ANT-0274"/>
    <d v="2023-10-12T09:16:00"/>
    <n v="13"/>
    <s v="Non Résolu"/>
    <x v="2"/>
    <s v="Non trouvé"/>
    <s v="Non trouvé"/>
    <x v="1"/>
    <s v="Non trouvé"/>
    <s v="Antenne inconnue"/>
    <n v="3"/>
    <n v="221"/>
  </r>
  <r>
    <s v="ANT-0275"/>
    <d v="2023-10-06T23:15:00"/>
    <n v="84"/>
    <s v="Non Résolu"/>
    <x v="2"/>
    <s v="Non trouvé"/>
    <s v="Non trouvé"/>
    <x v="1"/>
    <s v="Non trouvé"/>
    <s v="Antenne inconnue"/>
    <n v="1"/>
    <n v="84"/>
  </r>
  <r>
    <s v="ANT-0276"/>
    <d v="2023-10-27T05:24:00"/>
    <n v="11"/>
    <s v="Non Résolu"/>
    <x v="9"/>
    <n v="-0.157111"/>
    <n v="25.415125"/>
    <x v="0"/>
    <s v="Ericsson"/>
    <s v="OK"/>
    <n v="1"/>
    <n v="11"/>
  </r>
  <r>
    <s v="ANT-0277"/>
    <d v="2023-10-31T15:24:00"/>
    <n v="106"/>
    <s v="Résolu"/>
    <x v="0"/>
    <n v="-6.8149179999999996"/>
    <n v="23.258102000000001"/>
    <x v="2"/>
    <s v="Huawei"/>
    <s v="OK"/>
    <n v="1"/>
    <n v="106"/>
  </r>
  <r>
    <s v="ANT-0280"/>
    <d v="2023-10-30T18:09:00"/>
    <n v="82"/>
    <s v="En Cours"/>
    <x v="2"/>
    <s v="Non trouvé"/>
    <s v="Non trouvé"/>
    <x v="1"/>
    <s v="Non trouvé"/>
    <s v="Antenne inconnue"/>
    <n v="1"/>
    <n v="82"/>
  </r>
  <r>
    <s v="ANT-0282"/>
    <d v="2023-10-27T07:43:00"/>
    <n v="22"/>
    <s v="En Cours"/>
    <x v="16"/>
    <n v="-10.25074"/>
    <n v="26.099086"/>
    <x v="0"/>
    <s v="Huawei"/>
    <s v="OK"/>
    <n v="5"/>
    <n v="237"/>
  </r>
  <r>
    <s v="ANT-0282"/>
    <d v="2023-10-02T12:17:00"/>
    <n v="62"/>
    <s v="Non Résolu"/>
    <x v="16"/>
    <n v="-10.25074"/>
    <n v="26.099086"/>
    <x v="0"/>
    <s v="Huawei"/>
    <s v="OK"/>
    <n v="5"/>
    <n v="237"/>
  </r>
  <r>
    <s v="ANT-0282"/>
    <d v="2023-10-14T05:42:00"/>
    <n v="68"/>
    <s v="En Cours"/>
    <x v="16"/>
    <n v="-10.25074"/>
    <n v="26.099086"/>
    <x v="0"/>
    <s v="Huawei"/>
    <s v="OK"/>
    <n v="5"/>
    <n v="237"/>
  </r>
  <r>
    <s v="ANT-0282"/>
    <d v="2023-10-28T22:09:00"/>
    <n v="26"/>
    <s v="En Cours"/>
    <x v="16"/>
    <n v="-10.25074"/>
    <n v="26.099086"/>
    <x v="0"/>
    <s v="Huawei"/>
    <s v="OK"/>
    <n v="5"/>
    <n v="237"/>
  </r>
  <r>
    <s v="ANT-0282"/>
    <d v="2023-10-08T14:23:00"/>
    <n v="59"/>
    <s v="Résolu"/>
    <x v="16"/>
    <n v="-10.25074"/>
    <n v="26.099086"/>
    <x v="0"/>
    <s v="Huawei"/>
    <s v="OK"/>
    <n v="5"/>
    <n v="237"/>
  </r>
  <r>
    <s v="ANT-0283"/>
    <d v="2023-10-01T12:37:00"/>
    <n v="88"/>
    <s v="En Cours"/>
    <x v="11"/>
    <n v="-1.6097570000000001"/>
    <n v="30.661662"/>
    <x v="0"/>
    <s v="Ericsson"/>
    <s v="OK"/>
    <n v="2"/>
    <n v="141"/>
  </r>
  <r>
    <s v="ANT-0283"/>
    <d v="2023-10-18T04:10:00"/>
    <n v="53"/>
    <s v="Non Résolu"/>
    <x v="11"/>
    <n v="-1.6097570000000001"/>
    <n v="30.661662"/>
    <x v="0"/>
    <s v="Ericsson"/>
    <s v="OK"/>
    <n v="2"/>
    <n v="141"/>
  </r>
  <r>
    <s v="ANT-0284"/>
    <d v="2023-10-26T17:06:00"/>
    <n v="25"/>
    <s v="Résolu"/>
    <x v="7"/>
    <n v="-5.5445120000000001"/>
    <n v="27.547335"/>
    <x v="0"/>
    <s v="Ericsson"/>
    <s v="OK"/>
    <n v="4"/>
    <n v="222"/>
  </r>
  <r>
    <s v="ANT-0284"/>
    <d v="2023-10-21T10:29:00"/>
    <n v="64"/>
    <s v="Non Résolu"/>
    <x v="7"/>
    <n v="-5.5445120000000001"/>
    <n v="27.547335"/>
    <x v="0"/>
    <s v="Ericsson"/>
    <s v="OK"/>
    <n v="4"/>
    <n v="222"/>
  </r>
  <r>
    <s v="ANT-0284"/>
    <d v="2023-10-10T22:32:00"/>
    <n v="37"/>
    <s v="Non Résolu"/>
    <x v="7"/>
    <n v="-5.5445120000000001"/>
    <n v="27.547335"/>
    <x v="0"/>
    <s v="Ericsson"/>
    <s v="OK"/>
    <n v="4"/>
    <n v="222"/>
  </r>
  <r>
    <s v="ANT-0284"/>
    <d v="2023-10-07T06:53:00"/>
    <n v="96"/>
    <s v="Non Résolu"/>
    <x v="7"/>
    <n v="-5.5445120000000001"/>
    <n v="27.547335"/>
    <x v="0"/>
    <s v="Ericsson"/>
    <s v="OK"/>
    <n v="4"/>
    <n v="222"/>
  </r>
  <r>
    <s v="ANT-0286"/>
    <s v="17/10/2023 05:44"/>
    <n v="11"/>
    <s v="Résolu"/>
    <x v="2"/>
    <s v="Non trouvé"/>
    <s v="Non trouvé"/>
    <x v="1"/>
    <s v="Non trouvé"/>
    <s v="Antenne inconnue"/>
    <n v="1"/>
    <n v="11"/>
  </r>
  <r>
    <s v="ANT-0287"/>
    <d v="2023-10-01T12:21:00"/>
    <n v="24"/>
    <s v="En Cours"/>
    <x v="20"/>
    <n v="-11.622688999999999"/>
    <n v="18.483874"/>
    <x v="2"/>
    <s v="ZTE"/>
    <s v="OK"/>
    <n v="2"/>
    <n v="104"/>
  </r>
  <r>
    <s v="ANT-0287"/>
    <d v="2023-10-17T16:50:00"/>
    <n v="80"/>
    <s v="Résolu"/>
    <x v="20"/>
    <n v="-11.622688999999999"/>
    <n v="18.483874"/>
    <x v="2"/>
    <s v="ZTE"/>
    <s v="OK"/>
    <n v="2"/>
    <n v="104"/>
  </r>
  <r>
    <s v="ANT-0288"/>
    <d v="2023-10-03T16:47:00"/>
    <n v="63"/>
    <s v="Non Résolu"/>
    <x v="5"/>
    <n v="1.400674"/>
    <n v="13.503126999999999"/>
    <x v="2"/>
    <s v="ZTE"/>
    <s v="OK"/>
    <n v="1"/>
    <n v="63"/>
  </r>
  <r>
    <s v="ANT-0289"/>
    <d v="2023-10-23T14:28:00"/>
    <n v="53"/>
    <s v="Non Résolu"/>
    <x v="2"/>
    <s v="Non trouvé"/>
    <s v="Non trouvé"/>
    <x v="1"/>
    <s v="Non trouvé"/>
    <s v="Antenne inconnue"/>
    <n v="1"/>
    <n v="53"/>
  </r>
  <r>
    <s v="ANT-0290"/>
    <d v="2023-10-24T13:38:00"/>
    <n v="21"/>
    <s v="Résolu"/>
    <x v="2"/>
    <s v="Non trouvé"/>
    <s v="Non trouvé"/>
    <x v="1"/>
    <s v="Non trouvé"/>
    <s v="Antenne inconnue"/>
    <n v="2"/>
    <n v="39"/>
  </r>
  <r>
    <s v="ANT-0290"/>
    <d v="2023-10-24T16:38:00"/>
    <n v="18"/>
    <s v="Non Résolu"/>
    <x v="2"/>
    <s v="Non trouvé"/>
    <s v="Non trouvé"/>
    <x v="1"/>
    <s v="Non trouvé"/>
    <s v="Antenne inconnue"/>
    <n v="2"/>
    <n v="39"/>
  </r>
  <r>
    <s v="ANT-0292"/>
    <d v="2023-10-03T09:54:00"/>
    <n v="35"/>
    <s v="Résolu"/>
    <x v="4"/>
    <n v="-6.4197189999999997"/>
    <n v="22.287264"/>
    <x v="3"/>
    <s v="Ericsson"/>
    <s v="OK"/>
    <n v="3"/>
    <n v="159"/>
  </r>
  <r>
    <s v="ANT-0292"/>
    <d v="2023-10-17T23:17:00"/>
    <n v="13"/>
    <s v="En Cours"/>
    <x v="4"/>
    <n v="-6.4197189999999997"/>
    <n v="22.287264"/>
    <x v="3"/>
    <s v="Ericsson"/>
    <s v="OK"/>
    <n v="3"/>
    <n v="159"/>
  </r>
  <r>
    <s v="ANT-0292"/>
    <d v="2023-10-10T21:56:00"/>
    <n v="111"/>
    <s v="En Cours"/>
    <x v="4"/>
    <n v="-6.4197189999999997"/>
    <n v="22.287264"/>
    <x v="3"/>
    <s v="Ericsson"/>
    <s v="OK"/>
    <n v="3"/>
    <n v="159"/>
  </r>
  <r>
    <s v="ANT-0293"/>
    <d v="2023-10-20T02:29:00"/>
    <n v="72"/>
    <s v="Non Résolu"/>
    <x v="12"/>
    <n v="-5.7035130000000001"/>
    <n v="14.331479"/>
    <x v="2"/>
    <s v="Nokia"/>
    <s v="OK"/>
    <n v="2"/>
    <n v="111"/>
  </r>
  <r>
    <s v="ANT-0293"/>
    <d v="2023-10-31T05:29:00"/>
    <n v="39"/>
    <s v="En Cours"/>
    <x v="12"/>
    <n v="-5.7035130000000001"/>
    <n v="14.331479"/>
    <x v="2"/>
    <s v="Nokia"/>
    <s v="OK"/>
    <n v="2"/>
    <n v="111"/>
  </r>
  <r>
    <s v="ANT-0294"/>
    <d v="2023-10-02T17:26:00"/>
    <n v="97"/>
    <s v="Non Résolu"/>
    <x v="17"/>
    <n v="-4.3639070000000002"/>
    <n v="16.283307000000001"/>
    <x v="2"/>
    <s v="Huawei"/>
    <s v="OK"/>
    <n v="1"/>
    <n v="97"/>
  </r>
  <r>
    <m/>
    <n v="45230.401388888888"/>
    <n v="22"/>
    <s v="Résolu"/>
    <x v="2"/>
    <s v="Non trouvé"/>
    <s v="Non trouvé"/>
    <x v="1"/>
    <s v="Non trouvé"/>
    <s v="Antenne inconnue"/>
    <n v="0"/>
    <n v="0"/>
  </r>
  <r>
    <s v="ANT-0295"/>
    <d v="2023-10-09T04:04:00"/>
    <n v="47"/>
    <s v="Résolu"/>
    <x v="10"/>
    <n v="-4.351254"/>
    <n v="30.097408999999999"/>
    <x v="2"/>
    <s v="Nokia"/>
    <s v="OK"/>
    <n v="2"/>
    <n v="157"/>
  </r>
  <r>
    <s v="ANT-0295"/>
    <d v="2023-10-11T21:30:00"/>
    <n v="110"/>
    <s v="En Cours"/>
    <x v="10"/>
    <n v="-4.351254"/>
    <n v="30.097408999999999"/>
    <x v="2"/>
    <s v="Nokia"/>
    <s v="OK"/>
    <n v="2"/>
    <n v="157"/>
  </r>
  <r>
    <s v="ANT-0296"/>
    <d v="2023-10-17T04:22:00"/>
    <n v="86"/>
    <s v="Non Résolu"/>
    <x v="2"/>
    <s v="Non trouvé"/>
    <s v="Non trouvé"/>
    <x v="1"/>
    <s v="Non trouvé"/>
    <s v="Antenne inconnue"/>
    <n v="1"/>
    <n v="86"/>
  </r>
  <r>
    <s v="ANT-0298"/>
    <d v="2023-10-08T03:12:00"/>
    <n v="66"/>
    <s v="Non Résolu"/>
    <x v="17"/>
    <n v="-5.4073029999999997"/>
    <n v="29.762294000000001"/>
    <x v="3"/>
    <s v="Ericsson"/>
    <s v="OK"/>
    <n v="2"/>
    <n v="97"/>
  </r>
  <r>
    <s v="ANT-0298"/>
    <d v="2023-10-15T20:25:00"/>
    <n v="31"/>
    <s v="En Cours"/>
    <x v="17"/>
    <n v="-5.4073029999999997"/>
    <n v="29.762294000000001"/>
    <x v="3"/>
    <s v="Ericsson"/>
    <s v="OK"/>
    <n v="2"/>
    <n v="97"/>
  </r>
  <r>
    <s v="ANT-0299"/>
    <d v="2023-10-12T17:05:00"/>
    <n v="82"/>
    <s v="Non Résolu"/>
    <x v="2"/>
    <s v="Non trouvé"/>
    <s v="Non trouvé"/>
    <x v="1"/>
    <s v="Non trouvé"/>
    <s v="Antenne inconnue"/>
    <n v="2"/>
    <n v="100"/>
  </r>
  <r>
    <s v="ANT-0299"/>
    <d v="2023-10-03T17:29:00"/>
    <n v="18"/>
    <s v="Résolu"/>
    <x v="2"/>
    <s v="Non trouvé"/>
    <s v="Non trouvé"/>
    <x v="1"/>
    <s v="Non trouvé"/>
    <s v="Antenne inconnue"/>
    <n v="2"/>
    <n v="100"/>
  </r>
  <r>
    <s v="ANT-0302"/>
    <d v="2023-10-04T18:01:00"/>
    <n v="64"/>
    <s v="En Cours"/>
    <x v="19"/>
    <n v="-4.6818410000000004"/>
    <n v="17.541618"/>
    <x v="0"/>
    <s v="Ericsson"/>
    <s v="OK"/>
    <n v="2"/>
    <n v="107"/>
  </r>
  <r>
    <s v="ANT-0302"/>
    <d v="2023-10-25T04:50:00"/>
    <n v="43"/>
    <s v="En Cours"/>
    <x v="19"/>
    <n v="-4.6818410000000004"/>
    <n v="17.541618"/>
    <x v="0"/>
    <s v="Ericsson"/>
    <s v="OK"/>
    <n v="2"/>
    <n v="107"/>
  </r>
  <r>
    <s v="ANT-0303"/>
    <d v="2023-10-03T07:40:00"/>
    <n v="115"/>
    <s v="Non Résolu"/>
    <x v="2"/>
    <s v="Non trouvé"/>
    <s v="Non trouvé"/>
    <x v="1"/>
    <s v="Non trouvé"/>
    <s v="Antenne inconnue"/>
    <n v="2"/>
    <n v="176"/>
  </r>
  <r>
    <s v="ANT-0303"/>
    <d v="2023-10-04T05:28:00"/>
    <n v="61"/>
    <s v="Non Résolu"/>
    <x v="2"/>
    <s v="Non trouvé"/>
    <s v="Non trouvé"/>
    <x v="1"/>
    <s v="Non trouvé"/>
    <s v="Antenne inconnue"/>
    <n v="2"/>
    <n v="176"/>
  </r>
  <r>
    <s v="ANT-0305"/>
    <d v="2023-10-15T19:11:00"/>
    <n v="67"/>
    <s v="Résolu"/>
    <x v="2"/>
    <s v="Non trouvé"/>
    <s v="Non trouvé"/>
    <x v="1"/>
    <s v="Non trouvé"/>
    <s v="Antenne inconnue"/>
    <n v="1"/>
    <n v="67"/>
  </r>
  <r>
    <s v="ANT-0306"/>
    <d v="2023-10-11T03:05:00"/>
    <n v="115"/>
    <s v="Résolu"/>
    <x v="2"/>
    <s v="Non trouvé"/>
    <s v="Non trouvé"/>
    <x v="1"/>
    <s v="Non trouvé"/>
    <s v="Antenne inconnue"/>
    <n v="4"/>
    <n v="381"/>
  </r>
  <r>
    <s v="ANT-0306"/>
    <d v="2023-10-20T07:14:00"/>
    <n v="65"/>
    <s v="Résolu"/>
    <x v="2"/>
    <s v="Non trouvé"/>
    <s v="Non trouvé"/>
    <x v="1"/>
    <s v="Non trouvé"/>
    <s v="Antenne inconnue"/>
    <n v="4"/>
    <n v="381"/>
  </r>
  <r>
    <s v="ANT-0306"/>
    <d v="2023-10-21T02:12:00"/>
    <n v="87"/>
    <s v="Non Résolu"/>
    <x v="2"/>
    <s v="Non trouvé"/>
    <s v="Non trouvé"/>
    <x v="1"/>
    <s v="Non trouvé"/>
    <s v="Antenne inconnue"/>
    <n v="4"/>
    <n v="381"/>
  </r>
  <r>
    <s v="ANT-0306"/>
    <d v="2023-10-01T07:23:00"/>
    <n v="114"/>
    <s v="Non Résolu"/>
    <x v="2"/>
    <s v="Non trouvé"/>
    <s v="Non trouvé"/>
    <x v="1"/>
    <s v="Non trouvé"/>
    <s v="Antenne inconnue"/>
    <n v="4"/>
    <n v="381"/>
  </r>
  <r>
    <s v="ANT-0307"/>
    <d v="2023-10-03T10:38:00"/>
    <n v="52"/>
    <s v="Non Résolu"/>
    <x v="2"/>
    <s v="Non trouvé"/>
    <s v="Non trouvé"/>
    <x v="1"/>
    <s v="Non trouvé"/>
    <s v="Antenne inconnue"/>
    <n v="1"/>
    <n v="52"/>
  </r>
  <r>
    <s v="ANT-0308"/>
    <d v="2023-10-08T12:36:00"/>
    <n v="83"/>
    <s v="Résolu"/>
    <x v="2"/>
    <s v="Non trouvé"/>
    <s v="Non trouvé"/>
    <x v="1"/>
    <s v="Non trouvé"/>
    <s v="Antenne inconnue"/>
    <n v="1"/>
    <n v="83"/>
  </r>
  <r>
    <s v="ANT-0309"/>
    <d v="2023-10-31T13:52:00"/>
    <n v="97"/>
    <s v="Résolu"/>
    <x v="2"/>
    <s v="Non trouvé"/>
    <s v="Non trouvé"/>
    <x v="1"/>
    <s v="Non trouvé"/>
    <s v="Antenne inconnue"/>
    <n v="3"/>
    <n v="267"/>
  </r>
  <r>
    <s v="ANT-0309"/>
    <d v="2023-10-01T14:17:00"/>
    <n v="69"/>
    <s v="En Cours"/>
    <x v="2"/>
    <s v="Non trouvé"/>
    <s v="Non trouvé"/>
    <x v="1"/>
    <s v="Non trouvé"/>
    <s v="Antenne inconnue"/>
    <n v="3"/>
    <n v="267"/>
  </r>
  <r>
    <s v="ant-0309"/>
    <d v="2023-10-29T17:18:00"/>
    <n v="101"/>
    <s v="Non Résolu"/>
    <x v="2"/>
    <s v="Non trouvé"/>
    <s v="Non trouvé"/>
    <x v="1"/>
    <s v="Non trouvé"/>
    <s v="Antenne inconnue"/>
    <n v="3"/>
    <n v="267"/>
  </r>
  <r>
    <s v="ANT-0311"/>
    <d v="2023-10-03T11:16:00"/>
    <n v="78"/>
    <s v="Résolu"/>
    <x v="2"/>
    <s v="Non trouvé"/>
    <s v="Non trouvé"/>
    <x v="1"/>
    <s v="Non trouvé"/>
    <s v="Antenne inconnue"/>
    <n v="1"/>
    <n v="78"/>
  </r>
  <r>
    <s v="ANT-0312"/>
    <d v="2023-10-14T18:30:00"/>
    <n v="11"/>
    <s v="En Cours"/>
    <x v="2"/>
    <s v="Non trouvé"/>
    <s v="Non trouvé"/>
    <x v="1"/>
    <s v="Non trouvé"/>
    <s v="Antenne inconnue"/>
    <n v="1"/>
    <n v="11"/>
  </r>
  <r>
    <s v="ANT-0314"/>
    <d v="2023-10-27T20:15:00"/>
    <n v="48"/>
    <s v="Résolu"/>
    <x v="2"/>
    <s v="Non trouvé"/>
    <s v="Non trouvé"/>
    <x v="1"/>
    <s v="Non trouvé"/>
    <s v="Antenne inconnue"/>
    <n v="1"/>
    <n v="48"/>
  </r>
  <r>
    <s v="ANT-0315"/>
    <d v="2023-10-03T06:58:00"/>
    <n v="103"/>
    <s v="Non Résolu"/>
    <x v="3"/>
    <n v="4.9250049999999996"/>
    <n v="19.887931999999999"/>
    <x v="0"/>
    <s v="Huawei"/>
    <s v="OK"/>
    <n v="1"/>
    <n v="103"/>
  </r>
  <r>
    <s v="ANT-0316"/>
    <d v="2023-10-15T19:36:00"/>
    <n v="92"/>
    <s v="En Cours"/>
    <x v="2"/>
    <s v="Non trouvé"/>
    <s v="Non trouvé"/>
    <x v="1"/>
    <s v="Non trouvé"/>
    <s v="Antenne inconnue"/>
    <n v="2"/>
    <n v="207"/>
  </r>
  <r>
    <s v="ANT-0316"/>
    <d v="2023-10-10T19:34:00"/>
    <n v="115"/>
    <s v="En Cours"/>
    <x v="2"/>
    <s v="Non trouvé"/>
    <s v="Non trouvé"/>
    <x v="1"/>
    <s v="Non trouvé"/>
    <s v="Antenne inconnue"/>
    <n v="2"/>
    <n v="207"/>
  </r>
  <r>
    <s v="ANT-0317"/>
    <d v="2023-10-24T04:26:00"/>
    <n v="42"/>
    <s v="Non Résolu"/>
    <x v="2"/>
    <s v="Non trouvé"/>
    <s v="Non trouvé"/>
    <x v="1"/>
    <s v="Non trouvé"/>
    <s v="Antenne inconnue"/>
    <n v="2"/>
    <n v="54"/>
  </r>
  <r>
    <s v="ANT-0317"/>
    <d v="2023-10-08T20:18:00"/>
    <n v="12"/>
    <s v="En Cours"/>
    <x v="2"/>
    <s v="Non trouvé"/>
    <s v="Non trouvé"/>
    <x v="1"/>
    <s v="Non trouvé"/>
    <s v="Antenne inconnue"/>
    <n v="2"/>
    <n v="54"/>
  </r>
  <r>
    <s v="ANT-0318"/>
    <d v="2023-10-15T21:27:00"/>
    <n v="60"/>
    <s v="Non Résolu"/>
    <x v="2"/>
    <s v="Non trouvé"/>
    <s v="Non trouvé"/>
    <x v="1"/>
    <s v="Non trouvé"/>
    <s v="Antenne inconnue"/>
    <n v="1"/>
    <n v="60"/>
  </r>
  <r>
    <s v="ANT-0321"/>
    <d v="2023-10-31T04:27:00"/>
    <n v="31"/>
    <s v="Non Résolu"/>
    <x v="2"/>
    <s v="Non trouvé"/>
    <s v="Non trouvé"/>
    <x v="1"/>
    <s v="Non trouvé"/>
    <s v="Antenne inconnue"/>
    <n v="1"/>
    <n v="31"/>
  </r>
  <r>
    <s v="ANT-0325"/>
    <d v="2023-10-19T08:02:00"/>
    <n v="85"/>
    <s v="En Cours"/>
    <x v="2"/>
    <s v="Non trouvé"/>
    <s v="Non trouvé"/>
    <x v="1"/>
    <s v="Non trouvé"/>
    <s v="Antenne inconnue"/>
    <n v="2"/>
    <n v="121"/>
  </r>
  <r>
    <s v="ANT-0325"/>
    <d v="2023-10-26T03:06:00"/>
    <n v="36"/>
    <s v="En Cours"/>
    <x v="2"/>
    <s v="Non trouvé"/>
    <s v="Non trouvé"/>
    <x v="1"/>
    <s v="Non trouvé"/>
    <s v="Antenne inconnue"/>
    <n v="2"/>
    <n v="121"/>
  </r>
  <r>
    <s v="ANT-0326"/>
    <d v="2023-10-31T12:54:00"/>
    <n v="33"/>
    <s v="Non Résolu"/>
    <x v="2"/>
    <s v="Non trouvé"/>
    <s v="Non trouvé"/>
    <x v="1"/>
    <s v="Non trouvé"/>
    <s v="Antenne inconnue"/>
    <n v="2"/>
    <n v="75"/>
  </r>
  <r>
    <s v="ANT-0326"/>
    <d v="2023-10-26T09:13:00"/>
    <n v="42"/>
    <s v="Résolu"/>
    <x v="2"/>
    <s v="Non trouvé"/>
    <s v="Non trouvé"/>
    <x v="1"/>
    <s v="Non trouvé"/>
    <s v="Antenne inconnue"/>
    <n v="2"/>
    <n v="75"/>
  </r>
  <r>
    <s v="ANT-0329"/>
    <d v="2023-10-17T12:20:00"/>
    <n v="73"/>
    <s v="Non Résolu"/>
    <x v="2"/>
    <s v="Non trouvé"/>
    <s v="Non trouvé"/>
    <x v="1"/>
    <s v="Non trouvé"/>
    <s v="Antenne inconnue"/>
    <n v="1"/>
    <n v="73"/>
  </r>
  <r>
    <s v="ANT-0330"/>
    <d v="2023-10-23T11:13:00"/>
    <n v="104"/>
    <s v="En Cours"/>
    <x v="2"/>
    <s v="Non trouvé"/>
    <s v="Non trouvé"/>
    <x v="1"/>
    <s v="Non trouvé"/>
    <s v="Antenne inconnue"/>
    <n v="1"/>
    <n v="104"/>
  </r>
  <r>
    <s v="ANT-0331"/>
    <d v="2023-10-22T11:58:00"/>
    <n v="116"/>
    <s v="Non Résolu"/>
    <x v="2"/>
    <s v="Non trouvé"/>
    <s v="Non trouvé"/>
    <x v="1"/>
    <s v="Non trouvé"/>
    <s v="Antenne inconnue"/>
    <n v="1"/>
    <n v="116"/>
  </r>
  <r>
    <s v="ANT-0332"/>
    <d v="2023-10-22T20:04:00"/>
    <n v="6"/>
    <s v="En Cours"/>
    <x v="10"/>
    <n v="-4.9789079999999997"/>
    <n v="28.506295000000001"/>
    <x v="0"/>
    <s v="Huawei"/>
    <s v="OK"/>
    <n v="2"/>
    <n v="108"/>
  </r>
  <r>
    <s v="ANT-0332"/>
    <d v="2023-10-06T01:16:00"/>
    <n v="102"/>
    <s v="Non Résolu"/>
    <x v="10"/>
    <n v="-4.9789079999999997"/>
    <n v="28.506295000000001"/>
    <x v="0"/>
    <s v="Huawei"/>
    <s v="OK"/>
    <n v="2"/>
    <n v="108"/>
  </r>
  <r>
    <s v="ANT-0333"/>
    <d v="2023-10-05T18:13:00"/>
    <n v="105"/>
    <s v="En Cours"/>
    <x v="2"/>
    <s v="Non trouvé"/>
    <s v="Non trouvé"/>
    <x v="1"/>
    <s v="Non trouvé"/>
    <s v="Antenne inconnue"/>
    <n v="3"/>
    <n v="233"/>
  </r>
  <r>
    <s v="ANT-0333"/>
    <d v="2023-10-28T17:23:00"/>
    <n v="20"/>
    <s v="Résolu"/>
    <x v="2"/>
    <s v="Non trouvé"/>
    <s v="Non trouvé"/>
    <x v="1"/>
    <s v="Non trouvé"/>
    <s v="Antenne inconnue"/>
    <n v="3"/>
    <n v="233"/>
  </r>
  <r>
    <s v="ANT-0333"/>
    <d v="2023-10-28T16:56:00"/>
    <n v="108"/>
    <s v="Non Résolu"/>
    <x v="2"/>
    <s v="Non trouvé"/>
    <s v="Non trouvé"/>
    <x v="1"/>
    <s v="Non trouvé"/>
    <s v="Antenne inconnue"/>
    <n v="3"/>
    <n v="233"/>
  </r>
  <r>
    <s v="ANT-0334"/>
    <d v="2023-10-25T23:08:00"/>
    <n v="83"/>
    <s v="Non Résolu"/>
    <x v="2"/>
    <s v="Non trouvé"/>
    <s v="Non trouvé"/>
    <x v="1"/>
    <s v="Non trouvé"/>
    <s v="Antenne inconnue"/>
    <n v="1"/>
    <n v="83"/>
  </r>
  <r>
    <s v="ANT-0335"/>
    <d v="2023-10-22T09:14:00"/>
    <n v="92"/>
    <s v="Non Résolu"/>
    <x v="2"/>
    <s v="Non trouvé"/>
    <s v="Non trouvé"/>
    <x v="1"/>
    <s v="Non trouvé"/>
    <s v="Antenne inconnue"/>
    <n v="1"/>
    <n v="92"/>
  </r>
  <r>
    <s v="ANT-0336"/>
    <d v="2023-10-15T14:43:00"/>
    <n v="61"/>
    <s v="En Cours"/>
    <x v="2"/>
    <s v="Non trouvé"/>
    <s v="Non trouvé"/>
    <x v="1"/>
    <s v="Non trouvé"/>
    <s v="Antenne inconnue"/>
    <n v="1"/>
    <n v="61"/>
  </r>
  <r>
    <s v="ANT-0339"/>
    <d v="2023-10-29T14:45:00"/>
    <n v="48"/>
    <s v="Non Résolu"/>
    <x v="4"/>
    <n v="-3.6945459999999999"/>
    <n v="16.809108999999999"/>
    <x v="2"/>
    <s v="ZTE"/>
    <s v="OK"/>
    <n v="4"/>
    <n v="258"/>
  </r>
  <r>
    <s v="ANT-0339"/>
    <d v="2023-10-23T18:19:00"/>
    <n v="91"/>
    <s v="En Cours"/>
    <x v="4"/>
    <n v="-3.6945459999999999"/>
    <n v="16.809108999999999"/>
    <x v="2"/>
    <s v="ZTE"/>
    <s v="OK"/>
    <n v="4"/>
    <n v="258"/>
  </r>
  <r>
    <s v="ANT-0339"/>
    <d v="2023-10-15T04:08:00"/>
    <n v="6"/>
    <s v="Résolu"/>
    <x v="4"/>
    <n v="-3.6945459999999999"/>
    <n v="16.809108999999999"/>
    <x v="2"/>
    <s v="ZTE"/>
    <s v="OK"/>
    <n v="4"/>
    <n v="258"/>
  </r>
  <r>
    <s v="ANT-0339"/>
    <d v="2023-10-20T02:18:00"/>
    <n v="113"/>
    <s v="En Cours"/>
    <x v="4"/>
    <n v="-3.6945459999999999"/>
    <n v="16.809108999999999"/>
    <x v="2"/>
    <s v="ZTE"/>
    <s v="OK"/>
    <n v="4"/>
    <n v="258"/>
  </r>
  <r>
    <s v="ANT-0340"/>
    <d v="2023-10-04T13:42:00"/>
    <n v="68"/>
    <s v="En Cours"/>
    <x v="2"/>
    <s v="Non trouvé"/>
    <s v="Non trouvé"/>
    <x v="1"/>
    <s v="Non trouvé"/>
    <s v="Antenne inconnue"/>
    <n v="1"/>
    <n v="68"/>
  </r>
  <r>
    <s v="ANT-0342"/>
    <d v="2023-10-30T07:10:00"/>
    <n v="74"/>
    <s v="En Cours"/>
    <x v="2"/>
    <s v="Non trouvé"/>
    <s v="Non trouvé"/>
    <x v="1"/>
    <s v="Non trouvé"/>
    <s v="Antenne inconnue"/>
    <n v="2"/>
    <n v="189"/>
  </r>
  <r>
    <s v="ANT-0342"/>
    <d v="2023-10-12T13:07:00"/>
    <n v="115"/>
    <s v="Résolu"/>
    <x v="2"/>
    <s v="Non trouvé"/>
    <s v="Non trouvé"/>
    <x v="1"/>
    <s v="Non trouvé"/>
    <s v="Antenne inconnue"/>
    <n v="2"/>
    <n v="189"/>
  </r>
  <r>
    <s v="ANT-0345"/>
    <d v="2023-10-26T05:04:00"/>
    <n v="33"/>
    <s v="Non Résolu"/>
    <x v="2"/>
    <s v="Non trouvé"/>
    <s v="Non trouvé"/>
    <x v="1"/>
    <s v="Non trouvé"/>
    <s v="Antenne inconnue"/>
    <n v="1"/>
    <n v="33"/>
  </r>
  <r>
    <s v="ANT-0348"/>
    <d v="2023-10-14T08:13:00"/>
    <n v="63"/>
    <s v="Non Résolu"/>
    <x v="22"/>
    <n v="0.31740800000000002"/>
    <n v="27.197666999999999"/>
    <x v="2"/>
    <s v="Nokia"/>
    <s v="OK"/>
    <n v="1"/>
    <n v="63"/>
  </r>
  <r>
    <s v="ANT-0350"/>
    <d v="2023-10-03T08:41:00"/>
    <n v="15"/>
    <s v="Non Résolu"/>
    <x v="2"/>
    <s v="Non trouvé"/>
    <s v="Non trouvé"/>
    <x v="1"/>
    <s v="Non trouvé"/>
    <s v="Antenne inconnue"/>
    <n v="1"/>
    <n v="15"/>
  </r>
  <r>
    <s v="ANT-0353"/>
    <d v="2023-10-21T10:00:00"/>
    <n v="32"/>
    <s v="Non Résolu"/>
    <x v="11"/>
    <n v="-11.991020000000001"/>
    <n v="22.514747"/>
    <x v="2"/>
    <s v="ZTE"/>
    <s v="OK"/>
    <n v="2"/>
    <n v="98"/>
  </r>
  <r>
    <s v="ANT-0353"/>
    <d v="2023-10-11T23:04:00"/>
    <n v="66"/>
    <s v="Résolu"/>
    <x v="11"/>
    <n v="-11.991020000000001"/>
    <n v="22.514747"/>
    <x v="2"/>
    <s v="ZTE"/>
    <s v="OK"/>
    <n v="2"/>
    <n v="98"/>
  </r>
  <r>
    <s v="ANT-0355"/>
    <d v="2023-10-27T17:57:00"/>
    <n v="52"/>
    <s v="Non Résolu"/>
    <x v="2"/>
    <s v="Non trouvé"/>
    <s v="Non trouvé"/>
    <x v="1"/>
    <s v="Non trouvé"/>
    <s v="Antenne inconnue"/>
    <n v="1"/>
    <n v="52"/>
  </r>
  <r>
    <s v="ANT-0357"/>
    <d v="2023-10-16T10:59:00"/>
    <n v="100"/>
    <s v="Résolu"/>
    <x v="25"/>
    <n v="-11.793894"/>
    <n v="20.433340999999999"/>
    <x v="2"/>
    <s v="Nokia"/>
    <s v="OK"/>
    <n v="2"/>
    <n v="206"/>
  </r>
  <r>
    <s v="ANT-0357"/>
    <d v="2023-10-04T07:19:00"/>
    <n v="106"/>
    <s v="Non Résolu"/>
    <x v="25"/>
    <n v="-11.793894"/>
    <n v="20.433340999999999"/>
    <x v="2"/>
    <s v="Nokia"/>
    <s v="OK"/>
    <n v="2"/>
    <n v="206"/>
  </r>
  <r>
    <s v="ANT-0360"/>
    <d v="2023-10-02T07:26:00"/>
    <n v="56"/>
    <s v="En Cours"/>
    <x v="2"/>
    <s v="Non trouvé"/>
    <s v="Non trouvé"/>
    <x v="1"/>
    <s v="Non trouvé"/>
    <s v="Antenne inconnue"/>
    <n v="1"/>
    <n v="56"/>
  </r>
  <r>
    <s v="ANT-0361"/>
    <d v="2023-10-09T02:01:00"/>
    <n v="50"/>
    <s v="Non Résolu"/>
    <x v="2"/>
    <s v="Non trouvé"/>
    <s v="Non trouvé"/>
    <x v="1"/>
    <s v="Non trouvé"/>
    <s v="Antenne inconnue"/>
    <n v="1"/>
    <n v="50"/>
  </r>
  <r>
    <s v="ANT-0362"/>
    <d v="2023-10-23T04:18:00"/>
    <n v="28"/>
    <s v="Non Résolu"/>
    <x v="11"/>
    <n v="-0.90854400000000002"/>
    <n v="17.154896999999998"/>
    <x v="3"/>
    <s v="Huawei"/>
    <s v="OK"/>
    <n v="1"/>
    <n v="28"/>
  </r>
  <r>
    <s v="ANT-0363"/>
    <d v="2023-10-15T17:41:00"/>
    <n v="34"/>
    <s v="En Cours"/>
    <x v="21"/>
    <n v="5.3608999999999997E-2"/>
    <n v="28.346852999999999"/>
    <x v="3"/>
    <s v="ZTE"/>
    <s v="OK"/>
    <n v="1"/>
    <n v="34"/>
  </r>
  <r>
    <s v="ANT-0366"/>
    <d v="2023-10-25T14:24:00"/>
    <n v="70"/>
    <s v="En Cours"/>
    <x v="2"/>
    <s v="Non trouvé"/>
    <s v="Non trouvé"/>
    <x v="1"/>
    <s v="Non trouvé"/>
    <s v="Antenne inconnue"/>
    <n v="1"/>
    <n v="70"/>
  </r>
  <r>
    <s v="ANT-0367"/>
    <d v="2023-10-07T08:48:00"/>
    <n v="30"/>
    <s v="En Cours"/>
    <x v="2"/>
    <s v="Non trouvé"/>
    <s v="Non trouvé"/>
    <x v="1"/>
    <s v="Non trouvé"/>
    <s v="Antenne inconnue"/>
    <n v="1"/>
    <n v="30"/>
  </r>
  <r>
    <s v="ANT-0368"/>
    <d v="2023-10-26T04:07:00"/>
    <n v="104"/>
    <s v="Non Résolu"/>
    <x v="8"/>
    <n v="1.2463919999999999"/>
    <n v="13.266916999999999"/>
    <x v="2"/>
    <s v="Huawei"/>
    <s v="OK"/>
    <n v="1"/>
    <n v="104"/>
  </r>
  <r>
    <s v="ANT-0370"/>
    <d v="2023-10-16T02:14:00"/>
    <n v="87"/>
    <s v="Résolu"/>
    <x v="14"/>
    <n v="-7.6951369999999999"/>
    <n v="13.346605"/>
    <x v="0"/>
    <s v="Ericsson"/>
    <s v="OK"/>
    <n v="1"/>
    <n v="87"/>
  </r>
  <r>
    <s v="ANT-0371"/>
    <d v="2023-10-03T05:15:00"/>
    <n v="86"/>
    <s v="En Cours"/>
    <x v="6"/>
    <n v="-12.112682"/>
    <n v="19.972052000000001"/>
    <x v="0"/>
    <s v="Huawei"/>
    <s v="OK"/>
    <n v="2"/>
    <n v="181"/>
  </r>
  <r>
    <s v="ANT-0371"/>
    <d v="2023-10-11T11:00:00"/>
    <n v="95"/>
    <s v="Non Résolu"/>
    <x v="6"/>
    <n v="-12.112682"/>
    <n v="19.972052000000001"/>
    <x v="0"/>
    <s v="Huawei"/>
    <s v="OK"/>
    <n v="2"/>
    <n v="181"/>
  </r>
  <r>
    <s v="ANT-0372"/>
    <d v="2023-10-18T07:43:00"/>
    <n v="118"/>
    <s v="Non Résolu"/>
    <x v="2"/>
    <s v="Non trouvé"/>
    <s v="Non trouvé"/>
    <x v="1"/>
    <s v="Non trouvé"/>
    <s v="Antenne inconnue"/>
    <n v="1"/>
    <n v="118"/>
  </r>
  <r>
    <s v="ANT-0373"/>
    <d v="2023-10-08T23:42:00"/>
    <n v="15"/>
    <s v="Non Résolu"/>
    <x v="26"/>
    <n v="-9.0798120000000004"/>
    <n v="14.945484"/>
    <x v="2"/>
    <s v="Ericsson"/>
    <s v="OK"/>
    <n v="2"/>
    <n v="78"/>
  </r>
  <r>
    <s v="ANT-0373"/>
    <d v="2023-10-11T00:45:00"/>
    <n v="63"/>
    <s v="En Cours"/>
    <x v="26"/>
    <n v="-9.0798120000000004"/>
    <n v="14.945484"/>
    <x v="2"/>
    <s v="Ericsson"/>
    <s v="OK"/>
    <n v="2"/>
    <n v="78"/>
  </r>
  <r>
    <s v="ANT-0374"/>
    <d v="2023-10-03T10:54:00"/>
    <n v="89"/>
    <s v="En Cours"/>
    <x v="2"/>
    <s v="Non trouvé"/>
    <s v="Non trouvé"/>
    <x v="1"/>
    <s v="Non trouvé"/>
    <s v="Antenne inconnue"/>
    <n v="2"/>
    <n v="94"/>
  </r>
  <r>
    <s v="ANT-0374"/>
    <d v="2023-10-25T19:38:00"/>
    <n v="5"/>
    <s v="En Cours"/>
    <x v="2"/>
    <s v="Non trouvé"/>
    <s v="Non trouvé"/>
    <x v="1"/>
    <s v="Non trouvé"/>
    <s v="Antenne inconnue"/>
    <n v="2"/>
    <n v="94"/>
  </r>
  <r>
    <s v="ANT-0375"/>
    <d v="2023-10-26T05:10:00"/>
    <n v="41"/>
    <s v="En Cours"/>
    <x v="1"/>
    <n v="-4.9552579999999997"/>
    <n v="22.008103999999999"/>
    <x v="0"/>
    <s v="Huawei"/>
    <s v="OK"/>
    <n v="1"/>
    <n v="41"/>
  </r>
  <r>
    <s v="ANT-0376"/>
    <d v="2023-10-26T12:40:00"/>
    <n v="6"/>
    <s v="Non Résolu"/>
    <x v="2"/>
    <s v="Non trouvé"/>
    <s v="Non trouvé"/>
    <x v="1"/>
    <s v="Non trouvé"/>
    <s v="Antenne inconnue"/>
    <n v="1"/>
    <n v="6"/>
  </r>
  <r>
    <s v="ANT-0377"/>
    <d v="2023-10-26T18:41:00"/>
    <n v="89"/>
    <s v="Résolu"/>
    <x v="2"/>
    <s v="Non trouvé"/>
    <s v="Non trouvé"/>
    <x v="1"/>
    <s v="Non trouvé"/>
    <s v="Antenne inconnue"/>
    <n v="1"/>
    <n v="89"/>
  </r>
  <r>
    <s v="ANT-0378"/>
    <d v="2023-10-26T03:50:00"/>
    <n v="113"/>
    <s v="Résolu"/>
    <x v="2"/>
    <s v="Non trouvé"/>
    <s v="Non trouvé"/>
    <x v="1"/>
    <s v="Non trouvé"/>
    <s v="Antenne inconnue"/>
    <n v="1"/>
    <n v="113"/>
  </r>
  <r>
    <s v="ANT-0379"/>
    <d v="2023-10-17T10:59:00"/>
    <n v="39"/>
    <s v="Résolu"/>
    <x v="15"/>
    <n v="-9.5266249999999992"/>
    <n v="27.889690999999999"/>
    <x v="0"/>
    <s v="Ericsson"/>
    <s v="OK"/>
    <n v="1"/>
    <n v="39"/>
  </r>
  <r>
    <s v="ANT-0381"/>
    <d v="2023-10-05T21:44:00"/>
    <n v="61"/>
    <s v="Résolu"/>
    <x v="4"/>
    <n v="4.497306"/>
    <n v="12.857251"/>
    <x v="2"/>
    <s v="Ericsson"/>
    <s v="OK"/>
    <n v="1"/>
    <n v="61"/>
  </r>
  <r>
    <s v="ANT-0382"/>
    <d v="2023-10-16T18:10:00"/>
    <n v="24"/>
    <s v="En Cours"/>
    <x v="2"/>
    <s v="Non trouvé"/>
    <s v="Non trouvé"/>
    <x v="1"/>
    <s v="Non trouvé"/>
    <s v="Antenne inconnue"/>
    <n v="1"/>
    <n v="24"/>
  </r>
  <r>
    <s v="ANT-0383"/>
    <d v="2023-10-21T19:56:00"/>
    <n v="59"/>
    <s v="En Cours"/>
    <x v="2"/>
    <s v="Non trouvé"/>
    <s v="Non trouvé"/>
    <x v="1"/>
    <s v="Non trouvé"/>
    <s v="Antenne inconnue"/>
    <n v="2"/>
    <n v="91"/>
  </r>
  <r>
    <s v="ANT-0383"/>
    <d v="2023-10-25T10:58:00"/>
    <n v="32"/>
    <s v="Résolu"/>
    <x v="2"/>
    <s v="Non trouvé"/>
    <s v="Non trouvé"/>
    <x v="1"/>
    <s v="Non trouvé"/>
    <s v="Antenne inconnue"/>
    <n v="2"/>
    <n v="91"/>
  </r>
  <r>
    <s v="ANT-0384"/>
    <d v="2023-10-09T15:54:00"/>
    <n v="104"/>
    <s v="En Cours"/>
    <x v="2"/>
    <s v="Non trouvé"/>
    <s v="Non trouvé"/>
    <x v="1"/>
    <s v="Non trouvé"/>
    <s v="Antenne inconnue"/>
    <n v="1"/>
    <n v="104"/>
  </r>
  <r>
    <s v="ANT-0386"/>
    <d v="2023-10-26T22:46:00"/>
    <n v="30"/>
    <s v="Résolu"/>
    <x v="26"/>
    <n v="-10.653247"/>
    <n v="14.685601"/>
    <x v="0"/>
    <s v="Ericsson"/>
    <s v="OK"/>
    <n v="1"/>
    <n v="30"/>
  </r>
  <r>
    <s v="ANT-0387"/>
    <d v="2023-10-17T23:03:00"/>
    <n v="41"/>
    <s v="Non Résolu"/>
    <x v="1"/>
    <n v="-7.5641280000000002"/>
    <n v="18.129529999999999"/>
    <x v="3"/>
    <s v="Huawei"/>
    <s v="OK"/>
    <n v="1"/>
    <n v="41"/>
  </r>
  <r>
    <s v="ANT-0389"/>
    <d v="2023-10-08T21:48:00"/>
    <n v="103"/>
    <s v="Résolu"/>
    <x v="2"/>
    <s v="Non trouvé"/>
    <s v="Non trouvé"/>
    <x v="1"/>
    <s v="Non trouvé"/>
    <s v="Antenne inconnue"/>
    <n v="1"/>
    <n v="103"/>
  </r>
  <r>
    <s v="ANT-0390"/>
    <d v="2023-10-02T20:37:00"/>
    <n v="26"/>
    <s v="Non Résolu"/>
    <x v="2"/>
    <s v="Non trouvé"/>
    <s v="Non trouvé"/>
    <x v="1"/>
    <s v="Non trouvé"/>
    <s v="Antenne inconnue"/>
    <n v="1"/>
    <n v="26"/>
  </r>
  <r>
    <s v="ANT-0391"/>
    <d v="2023-10-03T17:13:00"/>
    <n v="115"/>
    <s v="En Cours"/>
    <x v="25"/>
    <n v="-1.5936220000000001"/>
    <n v="14.928856"/>
    <x v="2"/>
    <s v="Ericsson"/>
    <s v="OK"/>
    <n v="1"/>
    <n v="115"/>
  </r>
  <r>
    <s v="ANT-0392"/>
    <d v="2023-10-06T11:23:00"/>
    <n v="25"/>
    <s v="Résolu"/>
    <x v="24"/>
    <n v="-1.013558"/>
    <n v="17.346937"/>
    <x v="2"/>
    <s v="Huawei"/>
    <s v="OK"/>
    <n v="1"/>
    <n v="25"/>
  </r>
  <r>
    <s v="ANT-0394"/>
    <d v="2023-10-26T15:01:00"/>
    <n v="108"/>
    <s v="En Cours"/>
    <x v="18"/>
    <n v="-10.611184"/>
    <n v="23.022268"/>
    <x v="2"/>
    <s v="ZTE"/>
    <s v="OK"/>
    <n v="1"/>
    <n v="108"/>
  </r>
  <r>
    <s v="ANT-0396"/>
    <d v="2023-10-10T23:44:00"/>
    <n v="80"/>
    <s v="Non Résolu"/>
    <x v="2"/>
    <s v="Non trouvé"/>
    <s v="Non trouvé"/>
    <x v="1"/>
    <s v="Non trouvé"/>
    <s v="Antenne inconnue"/>
    <n v="1"/>
    <n v="80"/>
  </r>
  <r>
    <s v="ANT-0397"/>
    <d v="2023-10-10T04:24:00"/>
    <n v="81"/>
    <s v="Non Résolu"/>
    <x v="2"/>
    <s v="Non trouvé"/>
    <s v="Non trouvé"/>
    <x v="1"/>
    <s v="Non trouvé"/>
    <s v="Antenne inconnue"/>
    <n v="2"/>
    <n v="100"/>
  </r>
  <r>
    <s v="ANT-0397"/>
    <d v="2023-10-24T13:10:00"/>
    <n v="19"/>
    <s v="Non Résolu"/>
    <x v="2"/>
    <s v="Non trouvé"/>
    <s v="Non trouvé"/>
    <x v="1"/>
    <s v="Non trouvé"/>
    <s v="Antenne inconnue"/>
    <n v="2"/>
    <n v="100"/>
  </r>
  <r>
    <s v="ANT-0402"/>
    <d v="2023-10-21T14:01:00"/>
    <n v="92"/>
    <s v="En Cours"/>
    <x v="0"/>
    <n v="-11.588665000000001"/>
    <n v="15.241552"/>
    <x v="0"/>
    <s v="Nokia"/>
    <s v="OK"/>
    <n v="1"/>
    <n v="92"/>
  </r>
  <r>
    <s v="ANT-0403"/>
    <d v="2023-10-20T10:53:00"/>
    <n v="52"/>
    <s v="Non Résolu"/>
    <x v="2"/>
    <s v="Non trouvé"/>
    <s v="Non trouvé"/>
    <x v="1"/>
    <s v="Non trouvé"/>
    <s v="Antenne inconnue"/>
    <n v="3"/>
    <n v="105"/>
  </r>
  <r>
    <s v="ANT-0403"/>
    <d v="2023-10-10T18:46:00"/>
    <n v="10"/>
    <s v="Non Résolu"/>
    <x v="2"/>
    <s v="Non trouvé"/>
    <s v="Non trouvé"/>
    <x v="1"/>
    <s v="Non trouvé"/>
    <s v="Antenne inconnue"/>
    <n v="3"/>
    <n v="105"/>
  </r>
  <r>
    <s v="ANT-0403"/>
    <d v="2023-10-03T10:38:00"/>
    <n v="43"/>
    <s v="Résolu"/>
    <x v="2"/>
    <s v="Non trouvé"/>
    <s v="Non trouvé"/>
    <x v="1"/>
    <s v="Non trouvé"/>
    <s v="Antenne inconnue"/>
    <n v="3"/>
    <n v="105"/>
  </r>
  <r>
    <s v="ANT-0404"/>
    <d v="2023-10-21T13:14:00"/>
    <n v="6"/>
    <s v="Résolu"/>
    <x v="2"/>
    <s v="Non trouvé"/>
    <s v="Non trouvé"/>
    <x v="1"/>
    <s v="Non trouvé"/>
    <s v="Antenne inconnue"/>
    <n v="1"/>
    <n v="6"/>
  </r>
  <r>
    <s v="ANT-0405"/>
    <d v="2023-10-01T13:41:00"/>
    <n v="53"/>
    <s v="En Cours"/>
    <x v="8"/>
    <n v="2.8552499999999998"/>
    <n v="14.077933"/>
    <x v="0"/>
    <s v="ZTE"/>
    <s v="OK"/>
    <n v="1"/>
    <n v="53"/>
  </r>
  <r>
    <s v="ANT-0406"/>
    <d v="2023-10-06T19:03:00"/>
    <n v="99"/>
    <s v="Non Résolu"/>
    <x v="2"/>
    <s v="Non trouvé"/>
    <s v="Non trouvé"/>
    <x v="1"/>
    <s v="Non trouvé"/>
    <s v="Antenne inconnue"/>
    <n v="1"/>
    <n v="99"/>
  </r>
  <r>
    <s v="ANT-0407"/>
    <d v="2023-10-16T14:06:00"/>
    <n v="24"/>
    <s v="Non Résolu"/>
    <x v="19"/>
    <n v="2.5458379999999998"/>
    <n v="13.308655"/>
    <x v="2"/>
    <s v="ZTE"/>
    <s v="OK"/>
    <n v="2"/>
    <n v="57"/>
  </r>
  <r>
    <s v="ANT-0407"/>
    <d v="2023-10-16T01:11:00"/>
    <n v="33"/>
    <s v="Non Résolu"/>
    <x v="19"/>
    <n v="2.5458379999999998"/>
    <n v="13.308655"/>
    <x v="2"/>
    <s v="ZTE"/>
    <s v="OK"/>
    <n v="2"/>
    <n v="57"/>
  </r>
  <r>
    <s v="ANT-0411"/>
    <d v="2023-10-24T10:49:00"/>
    <n v="14"/>
    <s v="En Cours"/>
    <x v="20"/>
    <n v="-2.571777"/>
    <n v="12.120642"/>
    <x v="3"/>
    <s v="Huawei"/>
    <s v="OK"/>
    <n v="1"/>
    <n v="14"/>
  </r>
  <r>
    <s v="ANT-0414"/>
    <d v="2023-10-21T21:03:00"/>
    <n v="78"/>
    <s v="Résolu"/>
    <x v="11"/>
    <n v="-7.5418399999999997"/>
    <n v="16.931206"/>
    <x v="3"/>
    <s v="Nokia"/>
    <s v="OK"/>
    <n v="2"/>
    <n v="191"/>
  </r>
  <r>
    <s v="ANT-0414"/>
    <d v="2023-10-28T04:42:00"/>
    <n v="113"/>
    <s v="Non Résolu"/>
    <x v="11"/>
    <n v="-7.5418399999999997"/>
    <n v="16.931206"/>
    <x v="3"/>
    <s v="Nokia"/>
    <s v="OK"/>
    <n v="2"/>
    <n v="191"/>
  </r>
  <r>
    <s v="ANT-0415"/>
    <d v="2023-10-22T12:25:00"/>
    <n v="83"/>
    <s v="En Cours"/>
    <x v="22"/>
    <n v="-2.9651529999999999"/>
    <n v="29.79908"/>
    <x v="0"/>
    <s v="Ericsson"/>
    <s v="OK"/>
    <n v="2"/>
    <n v="120"/>
  </r>
  <r>
    <s v="ANT-0415"/>
    <d v="2023-10-19T16:13:00"/>
    <n v="37"/>
    <s v="En Cours"/>
    <x v="22"/>
    <n v="-2.9651529999999999"/>
    <n v="29.79908"/>
    <x v="0"/>
    <s v="Ericsson"/>
    <s v="OK"/>
    <n v="2"/>
    <n v="120"/>
  </r>
  <r>
    <s v="ANT-0416"/>
    <d v="2023-10-12T02:22:00"/>
    <n v="59"/>
    <s v="En Cours"/>
    <x v="18"/>
    <n v="-11.387295999999999"/>
    <n v="19.384257999999999"/>
    <x v="3"/>
    <s v="Huawei"/>
    <s v="OK"/>
    <n v="2"/>
    <n v="122"/>
  </r>
  <r>
    <s v="ANT-0416"/>
    <d v="2023-10-14T01:36:00"/>
    <n v="63"/>
    <s v="Résolu"/>
    <x v="18"/>
    <n v="-11.387295999999999"/>
    <n v="19.384257999999999"/>
    <x v="3"/>
    <s v="Huawei"/>
    <s v="OK"/>
    <n v="2"/>
    <n v="122"/>
  </r>
  <r>
    <s v="ANT-0417"/>
    <d v="2023-10-27T02:30:00"/>
    <n v="110"/>
    <s v="Non Résolu"/>
    <x v="20"/>
    <n v="-2.3677800000000002"/>
    <n v="18.790323999999998"/>
    <x v="2"/>
    <s v="Huawei"/>
    <s v="OK"/>
    <n v="2"/>
    <n v="151"/>
  </r>
  <r>
    <s v="ANT-0417"/>
    <d v="2023-10-20T12:09:00"/>
    <n v="41"/>
    <s v="Non Résolu"/>
    <x v="20"/>
    <n v="-2.3677800000000002"/>
    <n v="18.790323999999998"/>
    <x v="2"/>
    <s v="Huawei"/>
    <s v="OK"/>
    <n v="2"/>
    <n v="151"/>
  </r>
  <r>
    <s v="ANT-0419"/>
    <d v="2023-10-06T04:17:00"/>
    <n v="42"/>
    <s v="Non Résolu"/>
    <x v="18"/>
    <n v="3.611561"/>
    <n v="17.725974999999998"/>
    <x v="3"/>
    <s v="ZTE"/>
    <s v="OK"/>
    <n v="1"/>
    <n v="42"/>
  </r>
  <r>
    <s v="ANT-0422"/>
    <d v="2023-10-13T16:20:00"/>
    <n v="63"/>
    <s v="Résolu"/>
    <x v="2"/>
    <s v="Non trouvé"/>
    <s v="Non trouvé"/>
    <x v="1"/>
    <s v="Non trouvé"/>
    <s v="Antenne inconnue"/>
    <n v="1"/>
    <n v="63"/>
  </r>
  <r>
    <s v="ANT-0423"/>
    <d v="2023-10-23T18:40:00"/>
    <n v="102"/>
    <s v="En Cours"/>
    <x v="6"/>
    <n v="-1.3938550000000001"/>
    <n v="15.097554000000001"/>
    <x v="0"/>
    <s v="Huawei"/>
    <s v="OK"/>
    <n v="2"/>
    <n v="167"/>
  </r>
  <r>
    <s v="ANT-0423"/>
    <d v="2023-10-21T05:21:00"/>
    <n v="65"/>
    <s v="En Cours"/>
    <x v="6"/>
    <n v="-1.3938550000000001"/>
    <n v="15.097554000000001"/>
    <x v="0"/>
    <s v="Huawei"/>
    <s v="OK"/>
    <n v="2"/>
    <n v="167"/>
  </r>
  <r>
    <s v="ANT-0424"/>
    <d v="2023-10-10T18:39:00"/>
    <n v="40"/>
    <s v="En Cours"/>
    <x v="23"/>
    <n v="-9.5243310000000001"/>
    <n v="30.541212000000002"/>
    <x v="3"/>
    <s v="Ericsson"/>
    <s v="OK"/>
    <n v="3"/>
    <n v="126"/>
  </r>
  <r>
    <s v="ANT-0424"/>
    <d v="2023-10-17T17:31:00"/>
    <n v="78"/>
    <s v="Non Résolu"/>
    <x v="23"/>
    <n v="-9.5243310000000001"/>
    <n v="30.541212000000002"/>
    <x v="3"/>
    <s v="Ericsson"/>
    <s v="OK"/>
    <n v="3"/>
    <n v="126"/>
  </r>
  <r>
    <s v="ANT-0424"/>
    <d v="2023-10-31T02:52:00"/>
    <n v="8"/>
    <s v="Non Résolu"/>
    <x v="23"/>
    <n v="-9.5243310000000001"/>
    <n v="30.541212000000002"/>
    <x v="3"/>
    <s v="Ericsson"/>
    <s v="OK"/>
    <n v="3"/>
    <n v="126"/>
  </r>
  <r>
    <s v="ANT-0426"/>
    <d v="2023-10-04T20:45:00"/>
    <n v="100"/>
    <s v="En Cours"/>
    <x v="2"/>
    <s v="Non trouvé"/>
    <s v="Non trouvé"/>
    <x v="1"/>
    <s v="Non trouvé"/>
    <s v="Antenne inconnue"/>
    <n v="1"/>
    <n v="100"/>
  </r>
  <r>
    <s v="ANT-0427"/>
    <d v="2023-10-09T18:18:00"/>
    <n v="101"/>
    <s v="Résolu"/>
    <x v="2"/>
    <s v="Non trouvé"/>
    <s v="Non trouvé"/>
    <x v="1"/>
    <s v="Non trouvé"/>
    <s v="Antenne inconnue"/>
    <n v="1"/>
    <n v="101"/>
  </r>
  <r>
    <s v="ANT-0428"/>
    <d v="2023-10-14T23:03:00"/>
    <n v="103"/>
    <s v="Non Résolu"/>
    <x v="2"/>
    <s v="Non trouvé"/>
    <s v="Non trouvé"/>
    <x v="1"/>
    <s v="Non trouvé"/>
    <s v="Antenne inconnue"/>
    <n v="1"/>
    <n v="103"/>
  </r>
  <r>
    <s v="ANT-0429"/>
    <d v="2023-10-20T01:50:00"/>
    <n v="93"/>
    <s v="En Cours"/>
    <x v="2"/>
    <s v="Non trouvé"/>
    <s v="Non trouvé"/>
    <x v="1"/>
    <s v="Non trouvé"/>
    <s v="Antenne inconnue"/>
    <n v="3"/>
    <n v="204"/>
  </r>
  <r>
    <s v="ANT-0429"/>
    <d v="2023-10-18T04:39:00"/>
    <n v="56"/>
    <s v="Résolu"/>
    <x v="2"/>
    <s v="Non trouvé"/>
    <s v="Non trouvé"/>
    <x v="1"/>
    <s v="Non trouvé"/>
    <s v="Antenne inconnue"/>
    <n v="3"/>
    <n v="204"/>
  </r>
  <r>
    <s v="ANT-0429"/>
    <d v="2023-10-18T12:06:00"/>
    <n v="55"/>
    <s v="En Cours"/>
    <x v="2"/>
    <s v="Non trouvé"/>
    <s v="Non trouvé"/>
    <x v="1"/>
    <s v="Non trouvé"/>
    <s v="Antenne inconnue"/>
    <n v="3"/>
    <n v="204"/>
  </r>
  <r>
    <s v="ANT-0430"/>
    <d v="2023-10-01T12:16:00"/>
    <n v="22"/>
    <s v="En Cours"/>
    <x v="21"/>
    <n v="-10.939712999999999"/>
    <n v="18.276230999999999"/>
    <x v="0"/>
    <s v="ZTE"/>
    <s v="OK"/>
    <n v="2"/>
    <n v="127"/>
  </r>
  <r>
    <s v="ANT-0430"/>
    <d v="2023-10-14T03:29:00"/>
    <n v="105"/>
    <s v="Non Résolu"/>
    <x v="21"/>
    <n v="-10.939712999999999"/>
    <n v="18.276230999999999"/>
    <x v="0"/>
    <s v="ZTE"/>
    <s v="OK"/>
    <n v="2"/>
    <n v="127"/>
  </r>
  <r>
    <s v="ANT-0431"/>
    <d v="2023-10-07T05:36:00"/>
    <n v="26"/>
    <s v="En Cours"/>
    <x v="1"/>
    <n v="-4.6311460000000002"/>
    <n v="25.314723000000001"/>
    <x v="0"/>
    <s v="Huawei"/>
    <s v="OK"/>
    <n v="1"/>
    <n v="26"/>
  </r>
  <r>
    <s v="ANT-0434"/>
    <d v="2023-10-06T08:29:00"/>
    <n v="52"/>
    <s v="Non Résolu"/>
    <x v="25"/>
    <n v="3.1362930000000002"/>
    <n v="16.190878000000001"/>
    <x v="3"/>
    <s v="Nokia"/>
    <s v="OK"/>
    <n v="1"/>
    <n v="52"/>
  </r>
  <r>
    <s v="ANT-0435"/>
    <d v="2023-10-16T17:51:00"/>
    <n v="103"/>
    <s v="Résolu"/>
    <x v="2"/>
    <s v="Non trouvé"/>
    <s v="Non trouvé"/>
    <x v="1"/>
    <s v="Non trouvé"/>
    <s v="Antenne inconnue"/>
    <n v="1"/>
    <n v="103"/>
  </r>
  <r>
    <s v="ANT-0436"/>
    <d v="2023-10-28T13:52:00"/>
    <n v="50"/>
    <s v="En Cours"/>
    <x v="5"/>
    <n v="-4.5603610000000003"/>
    <n v="24.113918999999999"/>
    <x v="2"/>
    <s v="ZTE"/>
    <s v="OK"/>
    <n v="2"/>
    <n v="107"/>
  </r>
  <r>
    <s v="ANT-0436"/>
    <d v="2023-10-12T10:12:00"/>
    <n v="57"/>
    <s v="Non Résolu"/>
    <x v="5"/>
    <n v="-4.5603610000000003"/>
    <n v="24.113918999999999"/>
    <x v="2"/>
    <s v="ZTE"/>
    <s v="OK"/>
    <n v="2"/>
    <n v="107"/>
  </r>
  <r>
    <s v="ANT-0437"/>
    <d v="2023-10-22T06:23:00"/>
    <n v="88"/>
    <s v="Non Résolu"/>
    <x v="11"/>
    <n v="-1.339734"/>
    <n v="15.243098"/>
    <x v="3"/>
    <s v="Nokia"/>
    <s v="OK"/>
    <n v="1"/>
    <n v="88"/>
  </r>
  <r>
    <s v="ANT-0438"/>
    <d v="2023-10-31T01:37:00"/>
    <n v="75"/>
    <s v="Résolu"/>
    <x v="2"/>
    <s v="Non trouvé"/>
    <s v="Non trouvé"/>
    <x v="1"/>
    <s v="Non trouvé"/>
    <s v="Antenne inconnue"/>
    <n v="1"/>
    <n v="75"/>
  </r>
  <r>
    <s v="ANT-0439"/>
    <d v="2023-10-19T15:59:00"/>
    <n v="90"/>
    <s v="En Cours"/>
    <x v="2"/>
    <s v="Non trouvé"/>
    <s v="Non trouvé"/>
    <x v="1"/>
    <s v="Non trouvé"/>
    <s v="Antenne inconnue"/>
    <n v="1"/>
    <n v="90"/>
  </r>
  <r>
    <s v="ANT-0441"/>
    <d v="2023-10-22T20:19:00"/>
    <n v="96"/>
    <s v="En Cours"/>
    <x v="22"/>
    <n v="-5.2526849999999996"/>
    <n v="12.374528"/>
    <x v="3"/>
    <s v="Nokia"/>
    <s v="OK"/>
    <n v="3"/>
    <n v="195"/>
  </r>
  <r>
    <s v="ANT-0441"/>
    <d v="2023-10-06T03:42:00"/>
    <n v="12"/>
    <s v="Résolu"/>
    <x v="22"/>
    <n v="-5.2526849999999996"/>
    <n v="12.374528"/>
    <x v="3"/>
    <s v="Nokia"/>
    <s v="OK"/>
    <n v="3"/>
    <n v="195"/>
  </r>
  <r>
    <s v="ANT-0441"/>
    <d v="2023-10-12T02:34:00"/>
    <n v="87"/>
    <s v="En Cours"/>
    <x v="22"/>
    <n v="-5.2526849999999996"/>
    <n v="12.374528"/>
    <x v="3"/>
    <s v="Nokia"/>
    <s v="OK"/>
    <n v="3"/>
    <n v="195"/>
  </r>
  <r>
    <s v="ANT-0446"/>
    <d v="2023-10-12T07:36:00"/>
    <n v="93"/>
    <s v="En Cours"/>
    <x v="23"/>
    <n v="1.286548"/>
    <n v="29.823702999999998"/>
    <x v="0"/>
    <s v="ZTE"/>
    <s v="OK"/>
    <n v="2"/>
    <n v="146"/>
  </r>
  <r>
    <s v="ANT-0446"/>
    <d v="2023-10-22T01:11:00"/>
    <n v="53"/>
    <s v="Non Résolu"/>
    <x v="23"/>
    <n v="1.286548"/>
    <n v="29.823702999999998"/>
    <x v="0"/>
    <s v="ZTE"/>
    <s v="OK"/>
    <n v="2"/>
    <n v="146"/>
  </r>
  <r>
    <s v="ANT-0447"/>
    <d v="2023-10-14T14:21:00"/>
    <n v="108"/>
    <s v="Non Résolu"/>
    <x v="2"/>
    <s v="Non trouvé"/>
    <s v="Non trouvé"/>
    <x v="1"/>
    <s v="Non trouvé"/>
    <s v="Antenne inconnue"/>
    <n v="1"/>
    <n v="108"/>
  </r>
  <r>
    <s v="ANT-0448"/>
    <d v="2023-10-22T12:04:00"/>
    <n v="69"/>
    <s v="Résolu"/>
    <x v="2"/>
    <s v="Non trouvé"/>
    <s v="Non trouvé"/>
    <x v="1"/>
    <s v="Non trouvé"/>
    <s v="Antenne inconnue"/>
    <n v="1"/>
    <n v="69"/>
  </r>
  <r>
    <s v="ANT-0449"/>
    <d v="2023-10-02T05:50:00"/>
    <n v="57"/>
    <s v="En Cours"/>
    <x v="2"/>
    <s v="Non trouvé"/>
    <s v="Non trouvé"/>
    <x v="1"/>
    <s v="Non trouvé"/>
    <s v="Antenne inconnue"/>
    <n v="3"/>
    <n v="144"/>
  </r>
  <r>
    <s v="ANT-0449"/>
    <d v="2023-10-10T16:25:00"/>
    <n v="44"/>
    <s v="En Cours"/>
    <x v="2"/>
    <s v="Non trouvé"/>
    <s v="Non trouvé"/>
    <x v="1"/>
    <s v="Non trouvé"/>
    <s v="Antenne inconnue"/>
    <n v="3"/>
    <n v="144"/>
  </r>
  <r>
    <s v="ANT-0449"/>
    <d v="2023-10-18T16:26:00"/>
    <n v="43"/>
    <s v="Résolu"/>
    <x v="2"/>
    <s v="Non trouvé"/>
    <s v="Non trouvé"/>
    <x v="1"/>
    <s v="Non trouvé"/>
    <s v="Antenne inconnue"/>
    <n v="3"/>
    <n v="144"/>
  </r>
  <r>
    <s v="ANT-0450"/>
    <d v="2023-10-05T18:24:00"/>
    <n v="9"/>
    <s v="En Cours"/>
    <x v="15"/>
    <n v="-12.560556999999999"/>
    <n v="13.204014000000001"/>
    <x v="0"/>
    <s v="Ericsson"/>
    <s v="OK"/>
    <n v="1"/>
    <n v="9"/>
  </r>
  <r>
    <s v="ANT-0451"/>
    <d v="2023-10-10T07:51:00"/>
    <n v="107"/>
    <s v="Non Résolu"/>
    <x v="3"/>
    <n v="-5.0402180000000003"/>
    <n v="13.892471"/>
    <x v="3"/>
    <s v="ZTE"/>
    <s v="OK"/>
    <n v="1"/>
    <n v="107"/>
  </r>
  <r>
    <s v="ANT-0452"/>
    <d v="2023-10-03T15:50:00"/>
    <n v="42"/>
    <s v="Résolu"/>
    <x v="2"/>
    <s v="Non trouvé"/>
    <s v="Non trouvé"/>
    <x v="1"/>
    <s v="Non trouvé"/>
    <s v="Antenne inconnue"/>
    <n v="3"/>
    <n v="195"/>
  </r>
  <r>
    <s v="ANT-0452"/>
    <d v="2023-10-04T10:45:00"/>
    <n v="84"/>
    <s v="En Cours"/>
    <x v="2"/>
    <s v="Non trouvé"/>
    <s v="Non trouvé"/>
    <x v="1"/>
    <s v="Non trouvé"/>
    <s v="Antenne inconnue"/>
    <n v="3"/>
    <n v="195"/>
  </r>
  <r>
    <s v="ANT-0452"/>
    <d v="2023-10-07T08:48:00"/>
    <n v="69"/>
    <s v="Non Résolu"/>
    <x v="2"/>
    <s v="Non trouvé"/>
    <s v="Non trouvé"/>
    <x v="1"/>
    <s v="Non trouvé"/>
    <s v="Antenne inconnue"/>
    <n v="3"/>
    <n v="195"/>
  </r>
  <r>
    <s v="ANT-0453"/>
    <d v="2023-10-26T17:42:00"/>
    <n v="6"/>
    <s v="Non Résolu"/>
    <x v="2"/>
    <s v="Non trouvé"/>
    <s v="Non trouvé"/>
    <x v="1"/>
    <s v="Non trouvé"/>
    <s v="Antenne inconnue"/>
    <n v="2"/>
    <n v="55"/>
  </r>
  <r>
    <s v="ANT-0453"/>
    <d v="2023-10-08T09:45:00"/>
    <n v="49"/>
    <s v="Non Résolu"/>
    <x v="2"/>
    <s v="Non trouvé"/>
    <s v="Non trouvé"/>
    <x v="1"/>
    <s v="Non trouvé"/>
    <s v="Antenne inconnue"/>
    <n v="2"/>
    <n v="55"/>
  </r>
  <r>
    <s v="ANT-0454"/>
    <d v="2023-10-17T03:24:00"/>
    <n v="94"/>
    <s v="Résolu"/>
    <x v="16"/>
    <n v="1.8103860000000001"/>
    <n v="15.175582"/>
    <x v="3"/>
    <s v="Huawei"/>
    <s v="OK"/>
    <n v="1"/>
    <n v="94"/>
  </r>
  <r>
    <s v="ANT-0455"/>
    <d v="2023-10-19T23:46:00"/>
    <n v="100"/>
    <s v="Résolu"/>
    <x v="2"/>
    <s v="Non trouvé"/>
    <s v="Non trouvé"/>
    <x v="1"/>
    <s v="Non trouvé"/>
    <s v="Antenne inconnue"/>
    <n v="3"/>
    <n v="247"/>
  </r>
  <r>
    <s v="ANT-0455"/>
    <d v="2023-10-08T09:07:00"/>
    <n v="118"/>
    <s v="En Cours"/>
    <x v="2"/>
    <s v="Non trouvé"/>
    <s v="Non trouvé"/>
    <x v="1"/>
    <s v="Non trouvé"/>
    <s v="Antenne inconnue"/>
    <n v="3"/>
    <n v="247"/>
  </r>
  <r>
    <s v="ANT-0455"/>
    <d v="2023-10-15T03:30:00"/>
    <n v="29"/>
    <s v="En Cours"/>
    <x v="2"/>
    <s v="Non trouvé"/>
    <s v="Non trouvé"/>
    <x v="1"/>
    <s v="Non trouvé"/>
    <s v="Antenne inconnue"/>
    <n v="3"/>
    <n v="247"/>
  </r>
  <r>
    <s v="ANT-0457"/>
    <d v="2023-10-04T23:57:00"/>
    <n v="101"/>
    <s v="En Cours"/>
    <x v="16"/>
    <n v="-6.3148239999999998"/>
    <n v="24.507498999999999"/>
    <x v="3"/>
    <s v="ZTE"/>
    <s v="OK"/>
    <n v="1"/>
    <n v="101"/>
  </r>
  <r>
    <s v="ANT-0458"/>
    <d v="2023-10-21T19:29:00"/>
    <n v="100"/>
    <s v="En Cours"/>
    <x v="21"/>
    <n v="-0.98830399999999996"/>
    <n v="28.099966999999999"/>
    <x v="3"/>
    <s v="Huawei"/>
    <s v="OK"/>
    <n v="1"/>
    <n v="100"/>
  </r>
  <r>
    <s v="ANT-0459"/>
    <d v="2023-10-23T08:49:00"/>
    <n v="117"/>
    <s v="Non Résolu"/>
    <x v="2"/>
    <s v="Non trouvé"/>
    <s v="Non trouvé"/>
    <x v="1"/>
    <s v="Non trouvé"/>
    <s v="Antenne inconnue"/>
    <n v="1"/>
    <n v="117"/>
  </r>
  <r>
    <s v="ANT-0461"/>
    <d v="2023-10-22T23:57:00"/>
    <n v="59"/>
    <s v="Résolu"/>
    <x v="2"/>
    <s v="Non trouvé"/>
    <s v="Non trouvé"/>
    <x v="1"/>
    <s v="Non trouvé"/>
    <s v="Antenne inconnue"/>
    <n v="3"/>
    <n v="221"/>
  </r>
  <r>
    <s v="ANT-0461"/>
    <d v="2023-10-23T02:35:00"/>
    <n v="85"/>
    <s v="Résolu"/>
    <x v="2"/>
    <s v="Non trouvé"/>
    <s v="Non trouvé"/>
    <x v="1"/>
    <s v="Non trouvé"/>
    <s v="Antenne inconnue"/>
    <n v="3"/>
    <n v="221"/>
  </r>
  <r>
    <s v="ANT-0461"/>
    <d v="2023-10-20T18:05:00"/>
    <n v="77"/>
    <s v="Résolu"/>
    <x v="2"/>
    <s v="Non trouvé"/>
    <s v="Non trouvé"/>
    <x v="1"/>
    <s v="Non trouvé"/>
    <s v="Antenne inconnue"/>
    <n v="3"/>
    <n v="221"/>
  </r>
  <r>
    <s v="ANT-0465"/>
    <d v="2023-10-04T00:47:00"/>
    <n v="73"/>
    <s v="Résolu"/>
    <x v="25"/>
    <n v="-11.144149000000001"/>
    <n v="27.244658999999999"/>
    <x v="0"/>
    <s v="Nokia"/>
    <s v="OK"/>
    <n v="2"/>
    <n v="136"/>
  </r>
  <r>
    <s v="ANT-0465"/>
    <d v="2023-10-29T19:00:00"/>
    <n v="63"/>
    <s v="Résolu"/>
    <x v="25"/>
    <n v="-11.144149000000001"/>
    <n v="27.244658999999999"/>
    <x v="0"/>
    <s v="Nokia"/>
    <s v="OK"/>
    <n v="2"/>
    <n v="136"/>
  </r>
  <r>
    <s v="ANT-0466"/>
    <d v="2023-10-23T22:39:00"/>
    <n v="114"/>
    <s v="Résolu"/>
    <x v="6"/>
    <n v="-9.6407190000000007"/>
    <n v="21.336704999999998"/>
    <x v="0"/>
    <s v="ZTE"/>
    <s v="OK"/>
    <n v="1"/>
    <n v="114"/>
  </r>
  <r>
    <s v="ANT-0468"/>
    <d v="2023-10-16T03:56:00"/>
    <n v="109"/>
    <s v="Non Résolu"/>
    <x v="2"/>
    <s v="Non trouvé"/>
    <s v="Non trouvé"/>
    <x v="1"/>
    <s v="Non trouvé"/>
    <s v="Antenne inconnue"/>
    <n v="1"/>
    <n v="109"/>
  </r>
  <r>
    <s v="ANT-0469"/>
    <d v="2023-10-27T00:05:00"/>
    <n v="76"/>
    <s v="Résolu"/>
    <x v="2"/>
    <s v="Non trouvé"/>
    <s v="Non trouvé"/>
    <x v="1"/>
    <s v="Non trouvé"/>
    <s v="Antenne inconnue"/>
    <n v="2"/>
    <n v="163"/>
  </r>
  <r>
    <s v="ANT-0469"/>
    <d v="2023-10-31T02:07:00"/>
    <n v="87"/>
    <s v="En Cours"/>
    <x v="2"/>
    <s v="Non trouvé"/>
    <s v="Non trouvé"/>
    <x v="1"/>
    <s v="Non trouvé"/>
    <s v="Antenne inconnue"/>
    <n v="2"/>
    <n v="163"/>
  </r>
  <r>
    <s v="ANT-0470"/>
    <d v="2023-10-12T05:16:00"/>
    <n v="5"/>
    <s v="Résolu"/>
    <x v="16"/>
    <n v="-8.9586360000000003"/>
    <n v="17.157720000000001"/>
    <x v="3"/>
    <s v="Nokia"/>
    <s v="OK"/>
    <n v="1"/>
    <n v="5"/>
  </r>
  <r>
    <s v="ANT-0471"/>
    <d v="2023-10-28T07:47:00"/>
    <n v="52"/>
    <s v="Résolu"/>
    <x v="2"/>
    <s v="Non trouvé"/>
    <s v="Non trouvé"/>
    <x v="1"/>
    <s v="Non trouvé"/>
    <s v="Antenne inconnue"/>
    <n v="1"/>
    <n v="52"/>
  </r>
  <r>
    <s v="ANT-0472"/>
    <d v="2023-10-01T19:59:00"/>
    <n v="27"/>
    <s v="Résolu"/>
    <x v="22"/>
    <n v="1.2419519999999999"/>
    <n v="25.261382999999999"/>
    <x v="0"/>
    <s v="Huawei"/>
    <s v="OK"/>
    <n v="2"/>
    <n v="85"/>
  </r>
  <r>
    <s v="ANT-0472"/>
    <d v="2023-10-19T03:03:00"/>
    <n v="58"/>
    <s v="Non Résolu"/>
    <x v="22"/>
    <n v="1.2419519999999999"/>
    <n v="25.261382999999999"/>
    <x v="0"/>
    <s v="Huawei"/>
    <s v="OK"/>
    <n v="2"/>
    <n v="85"/>
  </r>
  <r>
    <s v="ANT-0473"/>
    <d v="2023-10-03T16:41:00"/>
    <n v="21"/>
    <s v="Résolu"/>
    <x v="2"/>
    <s v="Non trouvé"/>
    <s v="Non trouvé"/>
    <x v="1"/>
    <s v="Non trouvé"/>
    <s v="Antenne inconnue"/>
    <n v="3"/>
    <n v="209"/>
  </r>
  <r>
    <s v="ANT-0473"/>
    <d v="2023-10-01T09:28:00"/>
    <n v="115"/>
    <s v="Non Résolu"/>
    <x v="2"/>
    <s v="Non trouvé"/>
    <s v="Non trouvé"/>
    <x v="1"/>
    <s v="Non trouvé"/>
    <s v="Antenne inconnue"/>
    <n v="3"/>
    <n v="209"/>
  </r>
  <r>
    <s v="ANT-0473"/>
    <d v="2023-10-02T05:50:00"/>
    <n v="73"/>
    <s v="Non Résolu"/>
    <x v="2"/>
    <s v="Non trouvé"/>
    <s v="Non trouvé"/>
    <x v="1"/>
    <s v="Non trouvé"/>
    <s v="Antenne inconnue"/>
    <n v="3"/>
    <n v="209"/>
  </r>
  <r>
    <s v="ANT-0474"/>
    <d v="2023-10-28T18:27:00"/>
    <n v="61"/>
    <s v="Non Résolu"/>
    <x v="2"/>
    <s v="Non trouvé"/>
    <s v="Non trouvé"/>
    <x v="1"/>
    <s v="Non trouvé"/>
    <s v="Antenne inconnue"/>
    <n v="1"/>
    <n v="61"/>
  </r>
  <r>
    <s v="ANT-0475"/>
    <d v="2023-10-31T04:30:00"/>
    <n v="9"/>
    <s v="En Cours"/>
    <x v="2"/>
    <s v="Non trouvé"/>
    <s v="Non trouvé"/>
    <x v="1"/>
    <s v="Non trouvé"/>
    <s v="Antenne inconnue"/>
    <n v="1"/>
    <n v="9"/>
  </r>
  <r>
    <s v="ANT-0478"/>
    <d v="2023-10-14T19:44:00"/>
    <n v="100"/>
    <s v="Non Résolu"/>
    <x v="2"/>
    <s v="Non trouvé"/>
    <s v="Non trouvé"/>
    <x v="1"/>
    <s v="Non trouvé"/>
    <s v="Antenne inconnue"/>
    <n v="1"/>
    <n v="100"/>
  </r>
  <r>
    <s v="ANT-0479"/>
    <d v="2023-10-10T02:16:00"/>
    <n v="96"/>
    <s v="Résolu"/>
    <x v="2"/>
    <s v="Non trouvé"/>
    <s v="Non trouvé"/>
    <x v="1"/>
    <s v="Non trouvé"/>
    <s v="Antenne inconnue"/>
    <n v="1"/>
    <n v="96"/>
  </r>
  <r>
    <s v="ANT-0481"/>
    <d v="2023-10-20T16:24:00"/>
    <n v="99"/>
    <s v="Non Résolu"/>
    <x v="8"/>
    <n v="-9.5840350000000001"/>
    <n v="15.966024000000001"/>
    <x v="2"/>
    <s v="Nokia"/>
    <s v="OK"/>
    <n v="1"/>
    <n v="99"/>
  </r>
  <r>
    <s v="ANT-0484"/>
    <d v="2023-10-11T21:07:00"/>
    <n v="53"/>
    <s v="Résolu"/>
    <x v="12"/>
    <n v="-7.8770429999999996"/>
    <n v="16.357762999999998"/>
    <x v="0"/>
    <s v="Ericsson"/>
    <s v="OK"/>
    <n v="1"/>
    <n v="53"/>
  </r>
  <r>
    <s v="ANT-0485"/>
    <d v="2023-10-19T01:22:00"/>
    <n v="46"/>
    <s v="En Cours"/>
    <x v="2"/>
    <s v="Non trouvé"/>
    <s v="Non trouvé"/>
    <x v="1"/>
    <s v="Non trouvé"/>
    <s v="Antenne inconnue"/>
    <n v="2"/>
    <n v="146"/>
  </r>
  <r>
    <s v="ANT-0485"/>
    <d v="2023-10-20T01:00:00"/>
    <n v="100"/>
    <s v="En Cours"/>
    <x v="2"/>
    <s v="Non trouvé"/>
    <s v="Non trouvé"/>
    <x v="1"/>
    <s v="Non trouvé"/>
    <s v="Antenne inconnue"/>
    <n v="2"/>
    <n v="146"/>
  </r>
  <r>
    <s v="ANT-0486"/>
    <d v="2023-10-17T09:26:00"/>
    <n v="34"/>
    <s v="En Cours"/>
    <x v="2"/>
    <s v="Non trouvé"/>
    <s v="Non trouvé"/>
    <x v="1"/>
    <s v="Non trouvé"/>
    <s v="Antenne inconnue"/>
    <n v="1"/>
    <n v="34"/>
  </r>
  <r>
    <s v="ANT-0487"/>
    <d v="2023-10-14T21:24:00"/>
    <n v="104"/>
    <s v="Résolu"/>
    <x v="2"/>
    <s v="Non trouvé"/>
    <s v="Non trouvé"/>
    <x v="1"/>
    <s v="Non trouvé"/>
    <s v="Antenne inconnue"/>
    <n v="2"/>
    <n v="120"/>
  </r>
  <r>
    <s v="ANT-0487"/>
    <d v="2023-10-01T10:16:00"/>
    <n v="16"/>
    <s v="Non Résolu"/>
    <x v="2"/>
    <s v="Non trouvé"/>
    <s v="Non trouvé"/>
    <x v="1"/>
    <s v="Non trouvé"/>
    <s v="Antenne inconnue"/>
    <n v="2"/>
    <n v="120"/>
  </r>
  <r>
    <s v="ANT-0488"/>
    <d v="2023-10-07T00:39:00"/>
    <n v="36"/>
    <s v="En Cours"/>
    <x v="15"/>
    <n v="-3.111418"/>
    <n v="14.144854"/>
    <x v="0"/>
    <s v="ZTE"/>
    <s v="OK"/>
    <n v="3"/>
    <n v="152"/>
  </r>
  <r>
    <s v="ANT-0488"/>
    <d v="2023-10-05T13:44:00"/>
    <n v="88"/>
    <s v="En Cours"/>
    <x v="15"/>
    <n v="-3.111418"/>
    <n v="14.144854"/>
    <x v="0"/>
    <s v="ZTE"/>
    <s v="OK"/>
    <n v="3"/>
    <n v="152"/>
  </r>
  <r>
    <s v="ANT-0488"/>
    <d v="2023-10-03T17:57:00"/>
    <n v="28"/>
    <s v="Non Résolu"/>
    <x v="15"/>
    <n v="-3.111418"/>
    <n v="14.144854"/>
    <x v="0"/>
    <s v="ZTE"/>
    <s v="OK"/>
    <n v="3"/>
    <n v="152"/>
  </r>
  <r>
    <s v="ANT-0489"/>
    <d v="2023-10-07T13:32:00"/>
    <n v="37"/>
    <s v="Résolu"/>
    <x v="24"/>
    <n v="0.20866199999999999"/>
    <n v="18.556439000000001"/>
    <x v="0"/>
    <s v="Nokia"/>
    <s v="OK"/>
    <n v="1"/>
    <n v="37"/>
  </r>
  <r>
    <s v="ANT-0490"/>
    <d v="2023-10-11T12:17:00"/>
    <n v="27"/>
    <s v="Non Résolu"/>
    <x v="2"/>
    <s v="Non trouvé"/>
    <s v="Non trouvé"/>
    <x v="1"/>
    <s v="Non trouvé"/>
    <s v="Antenne inconnue"/>
    <n v="1"/>
    <n v="27"/>
  </r>
  <r>
    <s v="ANT-0493"/>
    <d v="2023-10-10T17:24:00"/>
    <n v="97"/>
    <s v="En Cours"/>
    <x v="2"/>
    <s v="Non trouvé"/>
    <s v="Non trouvé"/>
    <x v="1"/>
    <s v="Non trouvé"/>
    <s v="Antenne inconnue"/>
    <n v="1"/>
    <n v="97"/>
  </r>
  <r>
    <s v="ANT-0494"/>
    <d v="2023-10-31T11:37:00"/>
    <n v="37"/>
    <s v="Non Résolu"/>
    <x v="8"/>
    <n v="-12.564277000000001"/>
    <n v="28.480798"/>
    <x v="2"/>
    <s v="ZTE"/>
    <s v="OK"/>
    <n v="2"/>
    <n v="144"/>
  </r>
  <r>
    <s v="ANT-0494"/>
    <d v="2023-10-16T16:55:00"/>
    <n v="107"/>
    <s v="Résolu"/>
    <x v="8"/>
    <n v="-12.564277000000001"/>
    <n v="28.480798"/>
    <x v="2"/>
    <s v="ZTE"/>
    <s v="OK"/>
    <n v="2"/>
    <n v="144"/>
  </r>
  <r>
    <s v="ANT-0497"/>
    <d v="2023-10-22T02:18:00"/>
    <n v="113"/>
    <s v="En Cours"/>
    <x v="2"/>
    <s v="Non trouvé"/>
    <s v="Non trouvé"/>
    <x v="1"/>
    <s v="Non trouvé"/>
    <s v="Antenne inconnue"/>
    <n v="2"/>
    <n v="154"/>
  </r>
  <r>
    <s v="ANT-0497"/>
    <d v="2023-10-10T14:07:00"/>
    <n v="41"/>
    <s v="Non Résolu"/>
    <x v="2"/>
    <s v="Non trouvé"/>
    <s v="Non trouvé"/>
    <x v="1"/>
    <s v="Non trouvé"/>
    <s v="Antenne inconnue"/>
    <n v="2"/>
    <n v="154"/>
  </r>
  <r>
    <s v="ANT-0499"/>
    <d v="2023-10-17T03:18:00"/>
    <n v="120"/>
    <s v="Non Résolu"/>
    <x v="14"/>
    <n v="-7.2267089999999996"/>
    <n v="28.421362999999999"/>
    <x v="2"/>
    <s v="Ericsson"/>
    <s v="OK"/>
    <n v="1"/>
    <n v="120"/>
  </r>
  <r>
    <s v="ANT-0501"/>
    <d v="2023-10-20T20:10:00"/>
    <n v="92"/>
    <s v="Résolu"/>
    <x v="2"/>
    <s v="Non trouvé"/>
    <s v="Non trouvé"/>
    <x v="1"/>
    <s v="Non trouvé"/>
    <s v="Antenne inconnue"/>
    <n v="3"/>
    <n v="259"/>
  </r>
  <r>
    <s v="ANT-0501"/>
    <d v="2023-10-12T13:26:00"/>
    <n v="69"/>
    <s v="Non Résolu"/>
    <x v="2"/>
    <s v="Non trouvé"/>
    <s v="Non trouvé"/>
    <x v="1"/>
    <s v="Non trouvé"/>
    <s v="Antenne inconnue"/>
    <n v="3"/>
    <n v="259"/>
  </r>
  <r>
    <s v="ANT-0501"/>
    <d v="2023-10-01T23:34:00"/>
    <n v="98"/>
    <s v="Résolu"/>
    <x v="2"/>
    <s v="Non trouvé"/>
    <s v="Non trouvé"/>
    <x v="1"/>
    <s v="Non trouvé"/>
    <s v="Antenne inconnue"/>
    <n v="3"/>
    <n v="259"/>
  </r>
  <r>
    <s v="ANT-0503"/>
    <d v="2023-10-19T06:29:00"/>
    <n v="40"/>
    <s v="Non Résolu"/>
    <x v="24"/>
    <n v="-1.8045979999999999"/>
    <n v="12.511096999999999"/>
    <x v="3"/>
    <s v="Huawei"/>
    <s v="OK"/>
    <n v="4"/>
    <n v="211"/>
  </r>
  <r>
    <s v="ANT-0503"/>
    <d v="2023-10-13T14:23:00"/>
    <n v="58"/>
    <s v="Non Résolu"/>
    <x v="24"/>
    <n v="-1.8045979999999999"/>
    <n v="12.511096999999999"/>
    <x v="3"/>
    <s v="Huawei"/>
    <s v="OK"/>
    <n v="4"/>
    <n v="211"/>
  </r>
  <r>
    <s v="ANT-0503"/>
    <d v="2023-10-18T15:03:00"/>
    <n v="33"/>
    <s v="Résolu"/>
    <x v="24"/>
    <n v="-1.8045979999999999"/>
    <n v="12.511096999999999"/>
    <x v="3"/>
    <s v="Huawei"/>
    <s v="OK"/>
    <n v="4"/>
    <n v="211"/>
  </r>
  <r>
    <s v="ANT-0503"/>
    <d v="2023-10-29T13:51:00"/>
    <n v="80"/>
    <s v="En Cours"/>
    <x v="24"/>
    <n v="-1.8045979999999999"/>
    <n v="12.511096999999999"/>
    <x v="3"/>
    <s v="Huawei"/>
    <s v="OK"/>
    <n v="4"/>
    <n v="211"/>
  </r>
  <r>
    <s v="ANT-0504"/>
    <d v="2023-10-20T19:03:00"/>
    <n v="43"/>
    <s v="Non Résolu"/>
    <x v="2"/>
    <s v="Non trouvé"/>
    <s v="Non trouvé"/>
    <x v="1"/>
    <s v="Non trouvé"/>
    <s v="Antenne inconnue"/>
    <n v="1"/>
    <n v="43"/>
  </r>
  <r>
    <s v="ANT-0505"/>
    <d v="2023-10-15T04:02:00"/>
    <n v="106"/>
    <s v="Résolu"/>
    <x v="22"/>
    <n v="-11.207139"/>
    <n v="18.702511999999999"/>
    <x v="2"/>
    <s v="Ericsson"/>
    <s v="OK"/>
    <n v="1"/>
    <n v="106"/>
  </r>
  <r>
    <s v="ANT-0507"/>
    <d v="2023-10-02T12:40:00"/>
    <n v="20"/>
    <s v="Non Résolu"/>
    <x v="4"/>
    <n v="0.45116099999999998"/>
    <n v="17.265761000000001"/>
    <x v="0"/>
    <s v="Huawei"/>
    <s v="OK"/>
    <n v="1"/>
    <n v="20"/>
  </r>
  <r>
    <s v="ANT-0508"/>
    <d v="2023-10-04T14:46:00"/>
    <n v="41"/>
    <s v="Résolu"/>
    <x v="2"/>
    <s v="Non trouvé"/>
    <s v="Non trouvé"/>
    <x v="1"/>
    <s v="Non trouvé"/>
    <s v="Antenne inconnue"/>
    <n v="1"/>
    <n v="41"/>
  </r>
  <r>
    <s v="ANT-0510"/>
    <d v="2023-10-03T16:41:00"/>
    <n v="49"/>
    <s v="Non Résolu"/>
    <x v="2"/>
    <s v="Non trouvé"/>
    <s v="Non trouvé"/>
    <x v="1"/>
    <s v="Non trouvé"/>
    <s v="Antenne inconnue"/>
    <n v="1"/>
    <n v="49"/>
  </r>
  <r>
    <s v="ANT-0511"/>
    <d v="2023-10-15T22:38:00"/>
    <n v="16"/>
    <s v="Résolu"/>
    <x v="6"/>
    <n v="1.210869"/>
    <n v="25.598741"/>
    <x v="0"/>
    <s v="Ericsson"/>
    <s v="OK"/>
    <n v="3"/>
    <n v="106"/>
  </r>
  <r>
    <s v="ANT-0511"/>
    <d v="2023-10-11T22:14:00"/>
    <n v="45"/>
    <s v="Non Résolu"/>
    <x v="6"/>
    <n v="1.210869"/>
    <n v="25.598741"/>
    <x v="0"/>
    <s v="Ericsson"/>
    <s v="OK"/>
    <n v="3"/>
    <n v="106"/>
  </r>
  <r>
    <s v="ANT-0511"/>
    <d v="2023-10-07T20:35:00"/>
    <n v="45"/>
    <s v="En Cours"/>
    <x v="6"/>
    <n v="1.210869"/>
    <n v="25.598741"/>
    <x v="0"/>
    <s v="Ericsson"/>
    <s v="OK"/>
    <n v="3"/>
    <n v="106"/>
  </r>
  <r>
    <s v="ANT-0512"/>
    <d v="2023-10-05T02:10:00"/>
    <n v="93"/>
    <s v="En Cours"/>
    <x v="2"/>
    <s v="Non trouvé"/>
    <s v="Non trouvé"/>
    <x v="1"/>
    <s v="Non trouvé"/>
    <s v="Antenne inconnue"/>
    <n v="2"/>
    <n v="142"/>
  </r>
  <r>
    <s v="ANT-0512"/>
    <d v="2023-10-04T00:13:00"/>
    <n v="49"/>
    <s v="Résolu"/>
    <x v="2"/>
    <s v="Non trouvé"/>
    <s v="Non trouvé"/>
    <x v="1"/>
    <s v="Non trouvé"/>
    <s v="Antenne inconnue"/>
    <n v="2"/>
    <n v="142"/>
  </r>
  <r>
    <s v="ANT-0513"/>
    <d v="2023-10-18T06:45:00"/>
    <n v="51"/>
    <s v="Non Résolu"/>
    <x v="2"/>
    <s v="Non trouvé"/>
    <s v="Non trouvé"/>
    <x v="1"/>
    <s v="Non trouvé"/>
    <s v="Antenne inconnue"/>
    <n v="1"/>
    <n v="51"/>
  </r>
  <r>
    <s v="ANT-0514"/>
    <d v="2023-10-28T12:39:00"/>
    <n v="107"/>
    <s v="Non Résolu"/>
    <x v="25"/>
    <n v="-1.50664"/>
    <n v="27.795642000000001"/>
    <x v="2"/>
    <s v="ZTE"/>
    <s v="OK"/>
    <n v="1"/>
    <n v="107"/>
  </r>
  <r>
    <s v="ANT-0515"/>
    <d v="2023-10-30T09:24:00"/>
    <n v="28"/>
    <s v="En Cours"/>
    <x v="23"/>
    <n v="-10.967288"/>
    <n v="17.617781000000001"/>
    <x v="0"/>
    <s v="Ericsson"/>
    <s v="OK"/>
    <n v="3"/>
    <n v="133"/>
  </r>
  <r>
    <s v="ANT-0515"/>
    <d v="2023-10-17T04:24:00"/>
    <n v="67"/>
    <s v="Non Résolu"/>
    <x v="23"/>
    <n v="-10.967288"/>
    <n v="17.617781000000001"/>
    <x v="0"/>
    <s v="Ericsson"/>
    <s v="OK"/>
    <n v="3"/>
    <n v="133"/>
  </r>
  <r>
    <s v="ANT-0515"/>
    <d v="2023-10-18T23:59:00"/>
    <n v="38"/>
    <s v="Non Résolu"/>
    <x v="23"/>
    <n v="-10.967288"/>
    <n v="17.617781000000001"/>
    <x v="0"/>
    <s v="Ericsson"/>
    <s v="OK"/>
    <n v="3"/>
    <n v="133"/>
  </r>
  <r>
    <s v="ANT-0517"/>
    <d v="2023-10-24T23:47:00"/>
    <n v="23"/>
    <s v="Résolu"/>
    <x v="9"/>
    <n v="-8.0922239999999999"/>
    <n v="15.483708"/>
    <x v="2"/>
    <s v="Nokia"/>
    <s v="OK"/>
    <n v="1"/>
    <n v="23"/>
  </r>
  <r>
    <s v="ANT-0518"/>
    <d v="2023-10-04T21:27:00"/>
    <n v="32"/>
    <s v="Résolu"/>
    <x v="2"/>
    <s v="Non trouvé"/>
    <s v="Non trouvé"/>
    <x v="1"/>
    <s v="Non trouvé"/>
    <s v="Antenne inconnue"/>
    <n v="4"/>
    <n v="275"/>
  </r>
  <r>
    <s v="ANT-0518"/>
    <d v="2023-10-09T04:08:00"/>
    <n v="87"/>
    <s v="Résolu"/>
    <x v="2"/>
    <s v="Non trouvé"/>
    <s v="Non trouvé"/>
    <x v="1"/>
    <s v="Non trouvé"/>
    <s v="Antenne inconnue"/>
    <n v="4"/>
    <n v="275"/>
  </r>
  <r>
    <s v="ant-0518"/>
    <d v="2023-10-30T18:02:00"/>
    <n v="70"/>
    <s v="Résolu"/>
    <x v="2"/>
    <s v="Non trouvé"/>
    <s v="Non trouvé"/>
    <x v="1"/>
    <s v="Non trouvé"/>
    <s v="Antenne inconnue"/>
    <n v="4"/>
    <n v="275"/>
  </r>
  <r>
    <s v="ANT-0518"/>
    <d v="2023-10-02T15:23:00"/>
    <n v="86"/>
    <s v="En Cours"/>
    <x v="2"/>
    <s v="Non trouvé"/>
    <s v="Non trouvé"/>
    <x v="1"/>
    <s v="Non trouvé"/>
    <s v="Antenne inconnue"/>
    <n v="4"/>
    <n v="275"/>
  </r>
  <r>
    <s v="ANT-0520"/>
    <d v="2023-10-19T08:51:00"/>
    <n v="70"/>
    <s v="Résolu"/>
    <x v="12"/>
    <n v="-8.4227860000000003"/>
    <n v="16.781293000000002"/>
    <x v="0"/>
    <s v="Huawei"/>
    <s v="OK"/>
    <n v="2"/>
    <n v="155"/>
  </r>
  <r>
    <s v="ANT-0520"/>
    <d v="2023-10-09T01:46:00"/>
    <n v="85"/>
    <s v="Non Résolu"/>
    <x v="12"/>
    <n v="-8.4227860000000003"/>
    <n v="16.781293000000002"/>
    <x v="0"/>
    <s v="Huawei"/>
    <s v="OK"/>
    <n v="2"/>
    <n v="155"/>
  </r>
  <r>
    <s v="ANT-0521"/>
    <d v="2023-10-15T05:39:00"/>
    <n v="33"/>
    <s v="Résolu"/>
    <x v="19"/>
    <n v="-10.318835"/>
    <n v="21.252382000000001"/>
    <x v="0"/>
    <s v="Ericsson"/>
    <s v="OK"/>
    <n v="1"/>
    <n v="33"/>
  </r>
  <r>
    <s v="ANT-0522"/>
    <d v="2023-10-19T15:50:00"/>
    <n v="24"/>
    <s v="Résolu"/>
    <x v="2"/>
    <s v="Non trouvé"/>
    <s v="Non trouvé"/>
    <x v="1"/>
    <s v="Non trouvé"/>
    <s v="Antenne inconnue"/>
    <n v="1"/>
    <n v="24"/>
  </r>
  <r>
    <s v="ANT-0523"/>
    <d v="2023-10-08T12:38:00"/>
    <n v="78"/>
    <s v="En Cours"/>
    <x v="7"/>
    <n v="-9.4229749999999992"/>
    <n v="29.375005999999999"/>
    <x v="3"/>
    <s v="Ericsson"/>
    <s v="OK"/>
    <n v="1"/>
    <n v="78"/>
  </r>
  <r>
    <s v="ANT-0524"/>
    <d v="2023-10-03T09:02:00"/>
    <n v="28"/>
    <s v="Résolu"/>
    <x v="21"/>
    <n v="-7.402336"/>
    <n v="27.376697"/>
    <x v="0"/>
    <s v="Huawei"/>
    <s v="OK"/>
    <n v="3"/>
    <n v="127"/>
  </r>
  <r>
    <s v="ANT-0524"/>
    <d v="2023-10-13T10:44:00"/>
    <n v="88"/>
    <s v="Non Résolu"/>
    <x v="21"/>
    <n v="-7.402336"/>
    <n v="27.376697"/>
    <x v="0"/>
    <s v="Huawei"/>
    <s v="OK"/>
    <n v="3"/>
    <n v="127"/>
  </r>
  <r>
    <s v="ANT-0524"/>
    <d v="2023-10-04T12:32:00"/>
    <n v="11"/>
    <s v="Non Résolu"/>
    <x v="21"/>
    <n v="-7.402336"/>
    <n v="27.376697"/>
    <x v="0"/>
    <s v="Huawei"/>
    <s v="OK"/>
    <n v="3"/>
    <n v="127"/>
  </r>
  <r>
    <s v="ANT-0526"/>
    <d v="2023-10-21T03:49:00"/>
    <n v="60"/>
    <s v="En Cours"/>
    <x v="5"/>
    <n v="-9.4133639999999996"/>
    <n v="15.682482"/>
    <x v="0"/>
    <s v="Huawei"/>
    <s v="OK"/>
    <n v="1"/>
    <n v="60"/>
  </r>
  <r>
    <s v="ANT-0527"/>
    <d v="2023-10-19T09:05:00"/>
    <n v="102"/>
    <s v="Résolu"/>
    <x v="15"/>
    <n v="-4.4451280000000004"/>
    <n v="16.536944999999999"/>
    <x v="0"/>
    <s v="Ericsson"/>
    <s v="OK"/>
    <n v="2"/>
    <n v="209"/>
  </r>
  <r>
    <s v="ANT-0527"/>
    <d v="2023-10-22T18:32:00"/>
    <n v="107"/>
    <s v="Résolu"/>
    <x v="15"/>
    <n v="-4.4451280000000004"/>
    <n v="16.536944999999999"/>
    <x v="0"/>
    <s v="Ericsson"/>
    <s v="OK"/>
    <n v="2"/>
    <n v="209"/>
  </r>
  <r>
    <s v="ANT-0528"/>
    <d v="2023-10-12T16:57:00"/>
    <n v="115"/>
    <s v="En Cours"/>
    <x v="2"/>
    <s v="Non trouvé"/>
    <s v="Non trouvé"/>
    <x v="1"/>
    <s v="Non trouvé"/>
    <s v="Antenne inconnue"/>
    <n v="1"/>
    <n v="115"/>
  </r>
  <r>
    <s v="ANT-0529"/>
    <d v="2023-10-31T06:21:00"/>
    <n v="62"/>
    <s v="Résolu"/>
    <x v="14"/>
    <n v="3.6344850000000002"/>
    <n v="12.158348999999999"/>
    <x v="2"/>
    <s v="Ericsson"/>
    <s v="OK"/>
    <n v="1"/>
    <n v="62"/>
  </r>
  <r>
    <s v="ANT-0530"/>
    <d v="2023-10-05T14:11:00"/>
    <n v="108"/>
    <s v="Non Résolu"/>
    <x v="21"/>
    <n v="-8.5675749999999997"/>
    <n v="26.994581"/>
    <x v="3"/>
    <s v="Nokia"/>
    <s v="OK"/>
    <n v="3"/>
    <n v="183"/>
  </r>
  <r>
    <s v="ANT-0530"/>
    <d v="2023-10-08T03:03:00"/>
    <n v="38"/>
    <s v="Résolu"/>
    <x v="21"/>
    <n v="-8.5675749999999997"/>
    <n v="26.994581"/>
    <x v="3"/>
    <s v="Nokia"/>
    <s v="OK"/>
    <n v="3"/>
    <n v="183"/>
  </r>
  <r>
    <s v="ANT-0530"/>
    <d v="2023-10-18T11:22:00"/>
    <n v="37"/>
    <s v="En Cours"/>
    <x v="21"/>
    <n v="-8.5675749999999997"/>
    <n v="26.994581"/>
    <x v="3"/>
    <s v="Nokia"/>
    <s v="OK"/>
    <n v="3"/>
    <n v="183"/>
  </r>
  <r>
    <s v="ANT-0531"/>
    <d v="2023-10-07T08:42:00"/>
    <n v="60"/>
    <s v="En Cours"/>
    <x v="19"/>
    <n v="-4.2645619999999997"/>
    <n v="18.960726000000001"/>
    <x v="0"/>
    <s v="Huawei"/>
    <s v="OK"/>
    <n v="2"/>
    <n v="145"/>
  </r>
  <r>
    <s v="ANT-0531"/>
    <d v="2023-10-11T09:21:00"/>
    <n v="85"/>
    <s v="Résolu"/>
    <x v="19"/>
    <n v="-4.2645619999999997"/>
    <n v="18.960726000000001"/>
    <x v="0"/>
    <s v="Huawei"/>
    <s v="OK"/>
    <n v="2"/>
    <n v="145"/>
  </r>
  <r>
    <s v="ANT-0533"/>
    <d v="2023-10-17T02:16:00"/>
    <n v="74"/>
    <s v="Résolu"/>
    <x v="12"/>
    <n v="4.8265669999999998"/>
    <n v="28.535277000000001"/>
    <x v="3"/>
    <s v="Huawei"/>
    <s v="OK"/>
    <n v="2"/>
    <n v="162"/>
  </r>
  <r>
    <s v="ANT-0533"/>
    <d v="2023-10-14T12:27:00"/>
    <n v="88"/>
    <s v="Non Résolu"/>
    <x v="12"/>
    <n v="4.8265669999999998"/>
    <n v="28.535277000000001"/>
    <x v="3"/>
    <s v="Huawei"/>
    <s v="OK"/>
    <n v="2"/>
    <n v="162"/>
  </r>
  <r>
    <m/>
    <n v="45217.613194444442"/>
    <n v="116"/>
    <s v="Non Résolu"/>
    <x v="2"/>
    <s v="Non trouvé"/>
    <s v="Non trouvé"/>
    <x v="1"/>
    <s v="Non trouvé"/>
    <s v="Antenne inconnue"/>
    <n v="0"/>
    <n v="0"/>
  </r>
  <r>
    <s v="ANT-0534"/>
    <d v="2023-10-26T23:10:00"/>
    <n v="36"/>
    <s v="Résolu"/>
    <x v="25"/>
    <n v="-9.002459"/>
    <n v="25.182109000000001"/>
    <x v="2"/>
    <s v="Huawei"/>
    <s v="OK"/>
    <n v="2"/>
    <n v="64"/>
  </r>
  <r>
    <s v="ANT-0534"/>
    <d v="2023-10-21T17:24:00"/>
    <n v="28"/>
    <s v="En Cours"/>
    <x v="25"/>
    <n v="-9.002459"/>
    <n v="25.182109000000001"/>
    <x v="2"/>
    <s v="Huawei"/>
    <s v="OK"/>
    <n v="2"/>
    <n v="64"/>
  </r>
  <r>
    <s v="ANT-0536"/>
    <d v="2023-10-29T12:22:00"/>
    <n v="105"/>
    <s v="Résolu"/>
    <x v="5"/>
    <n v="-0.919767"/>
    <n v="18.905538"/>
    <x v="2"/>
    <s v="Ericsson"/>
    <s v="OK"/>
    <n v="1"/>
    <n v="105"/>
  </r>
  <r>
    <s v="ANT-0537"/>
    <d v="2023-10-31T18:38:00"/>
    <n v="55"/>
    <s v="Non Résolu"/>
    <x v="2"/>
    <s v="Non trouvé"/>
    <s v="Non trouvé"/>
    <x v="1"/>
    <s v="Non trouvé"/>
    <s v="Antenne inconnue"/>
    <n v="2"/>
    <n v="145"/>
  </r>
  <r>
    <s v="ANT-0537"/>
    <d v="2023-10-30T10:19:00"/>
    <n v="90"/>
    <s v="Résolu"/>
    <x v="2"/>
    <s v="Non trouvé"/>
    <s v="Non trouvé"/>
    <x v="1"/>
    <s v="Non trouvé"/>
    <s v="Antenne inconnue"/>
    <n v="2"/>
    <n v="145"/>
  </r>
  <r>
    <s v="ANT-0539"/>
    <d v="2023-10-25T17:02:00"/>
    <n v="62"/>
    <s v="Non Résolu"/>
    <x v="2"/>
    <s v="Non trouvé"/>
    <s v="Non trouvé"/>
    <x v="1"/>
    <s v="Non trouvé"/>
    <s v="Antenne inconnue"/>
    <n v="1"/>
    <n v="62"/>
  </r>
  <r>
    <s v="ANT-0540"/>
    <d v="2023-10-20T22:13:00"/>
    <n v="22"/>
    <s v="Résolu"/>
    <x v="2"/>
    <s v="Non trouvé"/>
    <s v="Non trouvé"/>
    <x v="1"/>
    <s v="Non trouvé"/>
    <s v="Antenne inconnue"/>
    <n v="2"/>
    <n v="49"/>
  </r>
  <r>
    <s v="ANT-0540"/>
    <d v="2023-10-30T18:32:00"/>
    <n v="27"/>
    <s v="Résolu"/>
    <x v="2"/>
    <s v="Non trouvé"/>
    <s v="Non trouvé"/>
    <x v="1"/>
    <s v="Non trouvé"/>
    <s v="Antenne inconnue"/>
    <n v="2"/>
    <n v="49"/>
  </r>
  <r>
    <s v="ANT-0541"/>
    <d v="2023-10-14T10:43:00"/>
    <n v="111"/>
    <s v="Résolu"/>
    <x v="2"/>
    <s v="Non trouvé"/>
    <s v="Non trouvé"/>
    <x v="1"/>
    <s v="Non trouvé"/>
    <s v="Antenne inconnue"/>
    <n v="2"/>
    <n v="133"/>
  </r>
  <r>
    <s v="ANT-0541"/>
    <d v="2023-10-01T22:21:00"/>
    <n v="22"/>
    <s v="Résolu"/>
    <x v="2"/>
    <s v="Non trouvé"/>
    <s v="Non trouvé"/>
    <x v="1"/>
    <s v="Non trouvé"/>
    <s v="Antenne inconnue"/>
    <n v="2"/>
    <n v="133"/>
  </r>
  <r>
    <s v="ANT-0542"/>
    <d v="2023-10-19T00:16:00"/>
    <n v="59"/>
    <s v="Résolu"/>
    <x v="2"/>
    <s v="Non trouvé"/>
    <s v="Non trouvé"/>
    <x v="1"/>
    <s v="Non trouvé"/>
    <s v="Antenne inconnue"/>
    <n v="1"/>
    <n v="59"/>
  </r>
  <r>
    <s v="ANT-0543"/>
    <d v="2023-10-06T17:30:00"/>
    <n v="106"/>
    <s v="En Cours"/>
    <x v="7"/>
    <n v="-4.4958720000000003"/>
    <n v="18.514112000000001"/>
    <x v="0"/>
    <s v="Nokia"/>
    <s v="OK"/>
    <n v="2"/>
    <n v="148"/>
  </r>
  <r>
    <s v="ANT-0543"/>
    <d v="2023-10-24T07:03:00"/>
    <n v="42"/>
    <s v="En Cours"/>
    <x v="7"/>
    <n v="-4.4958720000000003"/>
    <n v="18.514112000000001"/>
    <x v="0"/>
    <s v="Nokia"/>
    <s v="OK"/>
    <n v="2"/>
    <n v="148"/>
  </r>
  <r>
    <s v="ANT-0544"/>
    <d v="2023-10-15T20:53:00"/>
    <n v="72"/>
    <s v="Résolu"/>
    <x v="2"/>
    <s v="Non trouvé"/>
    <s v="Non trouvé"/>
    <x v="1"/>
    <s v="Non trouvé"/>
    <s v="Antenne inconnue"/>
    <n v="5"/>
    <n v="390"/>
  </r>
  <r>
    <s v="ANT-0544"/>
    <d v="2023-10-12T02:32:00"/>
    <n v="67"/>
    <s v="Résolu"/>
    <x v="2"/>
    <s v="Non trouvé"/>
    <s v="Non trouvé"/>
    <x v="1"/>
    <s v="Non trouvé"/>
    <s v="Antenne inconnue"/>
    <n v="5"/>
    <n v="390"/>
  </r>
  <r>
    <s v="ANT-0544"/>
    <d v="2023-10-06T02:39:00"/>
    <n v="104"/>
    <s v="Résolu"/>
    <x v="2"/>
    <s v="Non trouvé"/>
    <s v="Non trouvé"/>
    <x v="1"/>
    <s v="Non trouvé"/>
    <s v="Antenne inconnue"/>
    <n v="5"/>
    <n v="390"/>
  </r>
  <r>
    <s v="ANT-0544"/>
    <d v="2023-10-28T07:21:00"/>
    <n v="71"/>
    <s v="Non Résolu"/>
    <x v="2"/>
    <s v="Non trouvé"/>
    <s v="Non trouvé"/>
    <x v="1"/>
    <s v="Non trouvé"/>
    <s v="Antenne inconnue"/>
    <n v="5"/>
    <n v="390"/>
  </r>
  <r>
    <s v="ANT-0544"/>
    <d v="2023-10-15T04:38:00"/>
    <n v="76"/>
    <s v="En Cours"/>
    <x v="2"/>
    <s v="Non trouvé"/>
    <s v="Non trouvé"/>
    <x v="1"/>
    <s v="Non trouvé"/>
    <s v="Antenne inconnue"/>
    <n v="5"/>
    <n v="390"/>
  </r>
  <r>
    <s v="ANT-0545"/>
    <d v="2023-10-22T06:48:00"/>
    <n v="22"/>
    <s v="Résolu"/>
    <x v="11"/>
    <n v="-2.6665070000000002"/>
    <n v="18.623692999999999"/>
    <x v="3"/>
    <s v="ZTE"/>
    <s v="OK"/>
    <n v="2"/>
    <n v="121"/>
  </r>
  <r>
    <s v="ANT-0545"/>
    <d v="2023-10-16T01:22:00"/>
    <n v="99"/>
    <s v="Non Résolu"/>
    <x v="11"/>
    <n v="-2.6665070000000002"/>
    <n v="18.623692999999999"/>
    <x v="3"/>
    <s v="ZTE"/>
    <s v="OK"/>
    <n v="2"/>
    <n v="121"/>
  </r>
  <r>
    <s v="ANT-0548"/>
    <d v="2023-10-10T22:13:00"/>
    <n v="35"/>
    <s v="Résolu"/>
    <x v="2"/>
    <s v="Non trouvé"/>
    <s v="Non trouvé"/>
    <x v="1"/>
    <s v="Non trouvé"/>
    <s v="Antenne inconnue"/>
    <n v="1"/>
    <n v="35"/>
  </r>
  <r>
    <s v="ANT-0549"/>
    <d v="2023-10-26T14:58:00"/>
    <n v="22"/>
    <s v="Résolu"/>
    <x v="1"/>
    <n v="-0.47411900000000001"/>
    <n v="27.184329000000002"/>
    <x v="2"/>
    <s v="ZTE"/>
    <s v="OK"/>
    <n v="2"/>
    <n v="89"/>
  </r>
  <r>
    <s v="ANT-0549"/>
    <d v="2023-10-28T18:41:00"/>
    <n v="67"/>
    <s v="En Cours"/>
    <x v="1"/>
    <n v="-0.47411900000000001"/>
    <n v="27.184329000000002"/>
    <x v="2"/>
    <s v="ZTE"/>
    <s v="OK"/>
    <n v="2"/>
    <n v="89"/>
  </r>
  <r>
    <s v="ANT-0551"/>
    <d v="2023-10-25T08:21:00"/>
    <n v="14"/>
    <s v="Résolu"/>
    <x v="20"/>
    <n v="-7.789663"/>
    <n v="26.529098000000001"/>
    <x v="2"/>
    <s v="Nokia"/>
    <s v="OK"/>
    <n v="2"/>
    <n v="81"/>
  </r>
  <r>
    <s v="ANT-0551"/>
    <d v="2023-10-22T18:44:00"/>
    <n v="67"/>
    <s v="Résolu"/>
    <x v="20"/>
    <n v="-7.789663"/>
    <n v="26.529098000000001"/>
    <x v="2"/>
    <s v="Nokia"/>
    <s v="OK"/>
    <n v="2"/>
    <n v="81"/>
  </r>
  <r>
    <s v="ANT-0553"/>
    <d v="2023-10-02T21:14:00"/>
    <n v="54"/>
    <s v="En Cours"/>
    <x v="16"/>
    <n v="4.6287159999999998"/>
    <n v="19.407077999999998"/>
    <x v="0"/>
    <s v="Ericsson"/>
    <s v="OK"/>
    <n v="2"/>
    <n v="165"/>
  </r>
  <r>
    <s v="ANT-0553"/>
    <d v="2023-10-12T11:27:00"/>
    <n v="111"/>
    <s v="Résolu"/>
    <x v="16"/>
    <n v="4.6287159999999998"/>
    <n v="19.407077999999998"/>
    <x v="0"/>
    <s v="Ericsson"/>
    <s v="OK"/>
    <n v="2"/>
    <n v="165"/>
  </r>
  <r>
    <s v="ANT-0555"/>
    <d v="2023-10-06T20:56:00"/>
    <n v="17"/>
    <s v="Résolu"/>
    <x v="2"/>
    <s v="Non trouvé"/>
    <s v="Non trouvé"/>
    <x v="1"/>
    <s v="Non trouvé"/>
    <s v="Antenne inconnue"/>
    <n v="1"/>
    <n v="17"/>
  </r>
  <r>
    <s v="ANT-0556"/>
    <d v="2023-10-15T14:19:00"/>
    <n v="88"/>
    <s v="En Cours"/>
    <x v="2"/>
    <s v="Non trouvé"/>
    <s v="Non trouvé"/>
    <x v="1"/>
    <s v="Non trouvé"/>
    <s v="Antenne inconnue"/>
    <n v="3"/>
    <n v="254"/>
  </r>
  <r>
    <s v="ANT-0556"/>
    <d v="2023-10-06T05:40:00"/>
    <n v="67"/>
    <s v="Non Résolu"/>
    <x v="2"/>
    <s v="Non trouvé"/>
    <s v="Non trouvé"/>
    <x v="1"/>
    <s v="Non trouvé"/>
    <s v="Antenne inconnue"/>
    <n v="3"/>
    <n v="254"/>
  </r>
  <r>
    <s v="ANT-0556"/>
    <d v="2023-10-20T19:39:00"/>
    <n v="99"/>
    <s v="En Cours"/>
    <x v="2"/>
    <s v="Non trouvé"/>
    <s v="Non trouvé"/>
    <x v="1"/>
    <s v="Non trouvé"/>
    <s v="Antenne inconnue"/>
    <n v="3"/>
    <n v="254"/>
  </r>
  <r>
    <s v="ANT-0557"/>
    <d v="2023-10-06T10:35:00"/>
    <n v="115"/>
    <s v="Non Résolu"/>
    <x v="22"/>
    <n v="-1.3024210000000001"/>
    <n v="13.601914000000001"/>
    <x v="3"/>
    <s v="Huawei"/>
    <s v="OK"/>
    <n v="1"/>
    <n v="115"/>
  </r>
  <r>
    <s v="ANT-0558"/>
    <d v="2023-10-23T17:58:00"/>
    <n v="28"/>
    <s v="Non Résolu"/>
    <x v="7"/>
    <n v="-11.468578000000001"/>
    <n v="16.914501999999999"/>
    <x v="0"/>
    <s v="Ericsson"/>
    <s v="OK"/>
    <n v="1"/>
    <n v="28"/>
  </r>
  <r>
    <s v="ANT-0559"/>
    <d v="2023-10-19T19:02:00"/>
    <n v="100"/>
    <s v="En Cours"/>
    <x v="2"/>
    <s v="Non trouvé"/>
    <s v="Non trouvé"/>
    <x v="1"/>
    <s v="Non trouvé"/>
    <s v="Antenne inconnue"/>
    <n v="2"/>
    <n v="207"/>
  </r>
  <r>
    <s v="ANT-0559"/>
    <d v="2023-10-19T21:24:00"/>
    <n v="107"/>
    <s v="Non Résolu"/>
    <x v="2"/>
    <s v="Non trouvé"/>
    <s v="Non trouvé"/>
    <x v="1"/>
    <s v="Non trouvé"/>
    <s v="Antenne inconnue"/>
    <n v="2"/>
    <n v="207"/>
  </r>
  <r>
    <s v="ANT-0560"/>
    <d v="2023-10-23T02:36:00"/>
    <n v="88"/>
    <s v="En Cours"/>
    <x v="2"/>
    <s v="Non trouvé"/>
    <s v="Non trouvé"/>
    <x v="1"/>
    <s v="Non trouvé"/>
    <s v="Antenne inconnue"/>
    <n v="1"/>
    <n v="88"/>
  </r>
  <r>
    <s v="ANT-0561"/>
    <d v="2023-10-16T06:32:00"/>
    <n v="56"/>
    <s v="En Cours"/>
    <x v="2"/>
    <s v="Non trouvé"/>
    <s v="Non trouvé"/>
    <x v="1"/>
    <s v="Non trouvé"/>
    <s v="Antenne inconnue"/>
    <n v="1"/>
    <n v="56"/>
  </r>
  <r>
    <s v="ANT-0562"/>
    <d v="2023-10-11T21:54:00"/>
    <n v="119"/>
    <s v="En Cours"/>
    <x v="2"/>
    <s v="Non trouvé"/>
    <s v="Non trouvé"/>
    <x v="1"/>
    <s v="Non trouvé"/>
    <s v="Antenne inconnue"/>
    <n v="2"/>
    <n v="129"/>
  </r>
  <r>
    <s v="ANT-0562"/>
    <d v="2023-10-21T19:01:00"/>
    <n v="10"/>
    <s v="En Cours"/>
    <x v="2"/>
    <s v="Non trouvé"/>
    <s v="Non trouvé"/>
    <x v="1"/>
    <s v="Non trouvé"/>
    <s v="Antenne inconnue"/>
    <n v="2"/>
    <n v="129"/>
  </r>
  <r>
    <s v="ANT-0563"/>
    <d v="2023-10-22T06:27:00"/>
    <n v="18"/>
    <s v="Non Résolu"/>
    <x v="16"/>
    <n v="-1.8555980000000001"/>
    <n v="30.421918000000002"/>
    <x v="3"/>
    <s v="ZTE"/>
    <s v="OK"/>
    <n v="5"/>
    <n v="226"/>
  </r>
  <r>
    <s v="ANT-0563"/>
    <d v="2023-10-23T14:20:00"/>
    <n v="22"/>
    <s v="Non Résolu"/>
    <x v="16"/>
    <n v="-1.8555980000000001"/>
    <n v="30.421918000000002"/>
    <x v="3"/>
    <s v="ZTE"/>
    <s v="OK"/>
    <n v="5"/>
    <n v="226"/>
  </r>
  <r>
    <s v="ANT-0563"/>
    <d v="2023-10-12T10:11:00"/>
    <n v="116"/>
    <s v="Non Résolu"/>
    <x v="16"/>
    <n v="-1.8555980000000001"/>
    <n v="30.421918000000002"/>
    <x v="3"/>
    <s v="ZTE"/>
    <s v="OK"/>
    <n v="5"/>
    <n v="226"/>
  </r>
  <r>
    <s v="ANT-0563"/>
    <d v="2023-10-02T02:04:00"/>
    <n v="55"/>
    <s v="Résolu"/>
    <x v="16"/>
    <n v="-1.8555980000000001"/>
    <n v="30.421918000000002"/>
    <x v="3"/>
    <s v="ZTE"/>
    <s v="OK"/>
    <n v="5"/>
    <n v="226"/>
  </r>
  <r>
    <s v="ANT-0563"/>
    <d v="2023-10-19T07:58:00"/>
    <n v="15"/>
    <s v="En Cours"/>
    <x v="16"/>
    <n v="-1.8555980000000001"/>
    <n v="30.421918000000002"/>
    <x v="3"/>
    <s v="ZTE"/>
    <s v="OK"/>
    <n v="5"/>
    <n v="226"/>
  </r>
  <r>
    <s v="ANT-0564"/>
    <d v="2023-10-31T11:40:00"/>
    <n v="38"/>
    <s v="Résolu"/>
    <x v="16"/>
    <n v="-12.336202"/>
    <n v="13.693683999999999"/>
    <x v="2"/>
    <s v="Huawei"/>
    <s v="OK"/>
    <n v="4"/>
    <n v="190"/>
  </r>
  <r>
    <s v="ANT-0564"/>
    <d v="2023-10-08T23:03:00"/>
    <n v="23"/>
    <s v="En Cours"/>
    <x v="16"/>
    <n v="-12.336202"/>
    <n v="13.693683999999999"/>
    <x v="2"/>
    <s v="Huawei"/>
    <s v="OK"/>
    <n v="4"/>
    <n v="190"/>
  </r>
  <r>
    <s v="ANT-0564"/>
    <d v="2023-10-05T12:45:00"/>
    <n v="47"/>
    <s v="Résolu"/>
    <x v="16"/>
    <n v="-12.336202"/>
    <n v="13.693683999999999"/>
    <x v="2"/>
    <s v="Huawei"/>
    <s v="OK"/>
    <n v="4"/>
    <n v="190"/>
  </r>
  <r>
    <s v="ANT-0564"/>
    <d v="2023-10-02T21:03:00"/>
    <n v="82"/>
    <s v="En Cours"/>
    <x v="16"/>
    <n v="-12.336202"/>
    <n v="13.693683999999999"/>
    <x v="2"/>
    <s v="Huawei"/>
    <s v="OK"/>
    <n v="4"/>
    <n v="190"/>
  </r>
  <r>
    <s v="ANT-0565"/>
    <d v="2023-10-23T15:09:00"/>
    <n v="90"/>
    <s v="Résolu"/>
    <x v="25"/>
    <n v="-2.099631"/>
    <n v="13.974640000000001"/>
    <x v="3"/>
    <s v="Nokia"/>
    <s v="OK"/>
    <n v="2"/>
    <n v="157"/>
  </r>
  <r>
    <s v="ANT-0565"/>
    <d v="2023-10-31T20:42:00"/>
    <n v="67"/>
    <s v="Résolu"/>
    <x v="25"/>
    <n v="-2.099631"/>
    <n v="13.974640000000001"/>
    <x v="3"/>
    <s v="Nokia"/>
    <s v="OK"/>
    <n v="2"/>
    <n v="157"/>
  </r>
  <r>
    <s v="ANT-0566"/>
    <d v="2023-10-23T10:15:00"/>
    <n v="82"/>
    <s v="Résolu"/>
    <x v="4"/>
    <n v="-4.4697000000000001E-2"/>
    <n v="22.943373000000001"/>
    <x v="3"/>
    <s v="Huawei"/>
    <s v="OK"/>
    <n v="1"/>
    <n v="82"/>
  </r>
  <r>
    <s v="ANT-0567"/>
    <d v="2023-10-18T13:42:00"/>
    <n v="28"/>
    <s v="Résolu"/>
    <x v="2"/>
    <s v="Non trouvé"/>
    <s v="Non trouvé"/>
    <x v="1"/>
    <s v="Non trouvé"/>
    <s v="Antenne inconnue"/>
    <n v="2"/>
    <n v="43"/>
  </r>
  <r>
    <s v="ANT-0567"/>
    <d v="2023-10-12T08:50:00"/>
    <n v="15"/>
    <s v="Non Résolu"/>
    <x v="2"/>
    <s v="Non trouvé"/>
    <s v="Non trouvé"/>
    <x v="1"/>
    <s v="Non trouvé"/>
    <s v="Antenne inconnue"/>
    <n v="2"/>
    <n v="43"/>
  </r>
  <r>
    <s v="ANT-0568"/>
    <d v="2023-10-27T23:43:00"/>
    <n v="83"/>
    <s v="Non Résolu"/>
    <x v="2"/>
    <s v="Non trouvé"/>
    <s v="Non trouvé"/>
    <x v="1"/>
    <s v="Non trouvé"/>
    <s v="Antenne inconnue"/>
    <n v="1"/>
    <n v="83"/>
  </r>
  <r>
    <s v="ANT-0569"/>
    <d v="2023-10-02T11:14:00"/>
    <n v="80"/>
    <s v="Résolu"/>
    <x v="7"/>
    <n v="-3.3890790000000002"/>
    <n v="18.374571"/>
    <x v="2"/>
    <s v="ZTE"/>
    <s v="OK"/>
    <n v="1"/>
    <n v="80"/>
  </r>
  <r>
    <s v="ANT-0570"/>
    <d v="2023-10-19T21:01:00"/>
    <n v="39"/>
    <s v="Résolu"/>
    <x v="2"/>
    <s v="Non trouvé"/>
    <s v="Non trouvé"/>
    <x v="1"/>
    <s v="Non trouvé"/>
    <s v="Antenne inconnue"/>
    <n v="2"/>
    <n v="92"/>
  </r>
  <r>
    <s v="ANT-0570"/>
    <d v="2023-10-19T05:46:00"/>
    <n v="53"/>
    <s v="En Cours"/>
    <x v="2"/>
    <s v="Non trouvé"/>
    <s v="Non trouvé"/>
    <x v="1"/>
    <s v="Non trouvé"/>
    <s v="Antenne inconnue"/>
    <n v="2"/>
    <n v="92"/>
  </r>
  <r>
    <s v="ANT-0571"/>
    <d v="2023-10-09T23:05:00"/>
    <n v="68"/>
    <s v="Résolu"/>
    <x v="4"/>
    <n v="-2.3269820000000001"/>
    <n v="14.609259"/>
    <x v="3"/>
    <s v="Nokia"/>
    <s v="OK"/>
    <n v="1"/>
    <n v="68"/>
  </r>
  <r>
    <s v="ANT-0573"/>
    <d v="2023-10-31T00:07:00"/>
    <n v="58"/>
    <s v="Résolu"/>
    <x v="23"/>
    <n v="-7.4608439999999998"/>
    <n v="23.268619999999999"/>
    <x v="0"/>
    <s v="Huawei"/>
    <s v="OK"/>
    <n v="1"/>
    <n v="58"/>
  </r>
  <r>
    <s v="ANT-0574"/>
    <d v="2023-10-24T07:30:00"/>
    <n v="62"/>
    <s v="Résolu"/>
    <x v="2"/>
    <s v="Non trouvé"/>
    <s v="Non trouvé"/>
    <x v="1"/>
    <s v="Non trouvé"/>
    <s v="Antenne inconnue"/>
    <n v="1"/>
    <n v="62"/>
  </r>
  <r>
    <s v="ANT-0575"/>
    <d v="2023-10-24T17:03:00"/>
    <n v="43"/>
    <s v="Non Résolu"/>
    <x v="2"/>
    <s v="Non trouvé"/>
    <s v="Non trouvé"/>
    <x v="1"/>
    <s v="Non trouvé"/>
    <s v="Antenne inconnue"/>
    <n v="2"/>
    <n v="146"/>
  </r>
  <r>
    <s v="ANT-0575"/>
    <d v="2023-10-23T21:06:00"/>
    <n v="103"/>
    <s v="En Cours"/>
    <x v="2"/>
    <s v="Non trouvé"/>
    <s v="Non trouvé"/>
    <x v="1"/>
    <s v="Non trouvé"/>
    <s v="Antenne inconnue"/>
    <n v="2"/>
    <n v="146"/>
  </r>
  <r>
    <s v="ANT-0576"/>
    <d v="2023-10-13T11:39:00"/>
    <n v="75"/>
    <s v="Résolu"/>
    <x v="2"/>
    <s v="Non trouvé"/>
    <s v="Non trouvé"/>
    <x v="1"/>
    <s v="Non trouvé"/>
    <s v="Antenne inconnue"/>
    <n v="1"/>
    <n v="75"/>
  </r>
  <r>
    <s v="ANT-0577"/>
    <d v="2023-10-02T14:03:00"/>
    <n v="17"/>
    <s v="En Cours"/>
    <x v="2"/>
    <s v="Non trouvé"/>
    <s v="Non trouvé"/>
    <x v="1"/>
    <s v="Non trouvé"/>
    <s v="Antenne inconnue"/>
    <n v="1"/>
    <n v="17"/>
  </r>
  <r>
    <s v="ANT-0578"/>
    <d v="2023-10-15T15:14:00"/>
    <n v="112"/>
    <s v="Non Résolu"/>
    <x v="3"/>
    <n v="-6.1490739999999997"/>
    <n v="23.304411000000002"/>
    <x v="2"/>
    <s v="ZTE"/>
    <s v="OK"/>
    <n v="3"/>
    <n v="197"/>
  </r>
  <r>
    <s v="ANT-0578"/>
    <d v="2023-10-05T02:57:00"/>
    <n v="34"/>
    <s v="Résolu"/>
    <x v="3"/>
    <n v="-6.1490739999999997"/>
    <n v="23.304411000000002"/>
    <x v="2"/>
    <s v="ZTE"/>
    <s v="OK"/>
    <n v="3"/>
    <n v="197"/>
  </r>
  <r>
    <s v="ANT-0578"/>
    <d v="2023-10-10T23:44:00"/>
    <n v="51"/>
    <s v="Non Résolu"/>
    <x v="3"/>
    <n v="-6.1490739999999997"/>
    <n v="23.304411000000002"/>
    <x v="2"/>
    <s v="ZTE"/>
    <s v="OK"/>
    <n v="3"/>
    <n v="197"/>
  </r>
  <r>
    <s v="ANT-0579"/>
    <d v="2023-10-05T00:16:00"/>
    <n v="12"/>
    <s v="Non Résolu"/>
    <x v="19"/>
    <n v="-1.6488929999999999"/>
    <n v="27.284617000000001"/>
    <x v="2"/>
    <s v="Nokia"/>
    <s v="OK"/>
    <n v="1"/>
    <n v="12"/>
  </r>
  <r>
    <s v="ANT-0580"/>
    <d v="2023-10-27T23:09:00"/>
    <n v="27"/>
    <s v="Non Résolu"/>
    <x v="23"/>
    <n v="-11.354772000000001"/>
    <n v="21.957325999999998"/>
    <x v="3"/>
    <s v="Nokia"/>
    <s v="OK"/>
    <n v="1"/>
    <n v="27"/>
  </r>
  <r>
    <s v="ANT-0581"/>
    <d v="2023-10-05T08:08:00"/>
    <n v="60"/>
    <s v="Résolu"/>
    <x v="2"/>
    <s v="Non trouvé"/>
    <s v="Non trouvé"/>
    <x v="1"/>
    <s v="Non trouvé"/>
    <s v="Antenne inconnue"/>
    <n v="2"/>
    <n v="83"/>
  </r>
  <r>
    <s v="ANT-0581"/>
    <d v="2023-10-04T06:34:00"/>
    <n v="23"/>
    <s v="En Cours"/>
    <x v="2"/>
    <s v="Non trouvé"/>
    <s v="Non trouvé"/>
    <x v="1"/>
    <s v="Non trouvé"/>
    <s v="Antenne inconnue"/>
    <n v="2"/>
    <n v="83"/>
  </r>
  <r>
    <s v="ANT-0582"/>
    <d v="2023-10-09T02:36:00"/>
    <n v="102"/>
    <s v="Non Résolu"/>
    <x v="22"/>
    <n v="-1.4700059999999999"/>
    <n v="18.680958"/>
    <x v="3"/>
    <s v="Huawei"/>
    <s v="OK"/>
    <n v="2"/>
    <n v="181"/>
  </r>
  <r>
    <s v="ANT-0582"/>
    <d v="2023-10-21T14:51:00"/>
    <n v="79"/>
    <s v="Résolu"/>
    <x v="22"/>
    <n v="-1.4700059999999999"/>
    <n v="18.680958"/>
    <x v="3"/>
    <s v="Huawei"/>
    <s v="OK"/>
    <n v="2"/>
    <n v="181"/>
  </r>
  <r>
    <s v="ANT-0585"/>
    <d v="2023-10-31T01:28:00"/>
    <n v="103"/>
    <s v="Résolu"/>
    <x v="2"/>
    <s v="Non trouvé"/>
    <s v="Non trouvé"/>
    <x v="1"/>
    <s v="Non trouvé"/>
    <s v="Antenne inconnue"/>
    <n v="2"/>
    <n v="164"/>
  </r>
  <r>
    <s v="ANT-0585"/>
    <d v="2023-10-24T17:16:00"/>
    <n v="61"/>
    <s v="Non Résolu"/>
    <x v="2"/>
    <s v="Non trouvé"/>
    <s v="Non trouvé"/>
    <x v="1"/>
    <s v="Non trouvé"/>
    <s v="Antenne inconnue"/>
    <n v="2"/>
    <n v="164"/>
  </r>
  <r>
    <s v="ANT-0586"/>
    <d v="2023-10-27T15:09:00"/>
    <n v="112"/>
    <s v="Non Résolu"/>
    <x v="2"/>
    <s v="Non trouvé"/>
    <s v="Non trouvé"/>
    <x v="1"/>
    <s v="Non trouvé"/>
    <s v="Antenne inconnue"/>
    <n v="1"/>
    <n v="112"/>
  </r>
  <r>
    <s v="ANT-0587"/>
    <d v="2023-10-01T10:41:00"/>
    <n v="112"/>
    <s v="Résolu"/>
    <x v="7"/>
    <n v="-10.945031"/>
    <n v="27.922274000000002"/>
    <x v="0"/>
    <s v="Ericsson"/>
    <s v="OK"/>
    <n v="3"/>
    <n v="298"/>
  </r>
  <r>
    <s v="ANT-0587"/>
    <d v="2023-10-31T03:04:00"/>
    <n v="87"/>
    <s v="En Cours"/>
    <x v="7"/>
    <n v="-10.945031"/>
    <n v="27.922274000000002"/>
    <x v="0"/>
    <s v="Ericsson"/>
    <s v="OK"/>
    <n v="3"/>
    <n v="298"/>
  </r>
  <r>
    <s v="ANT-0587"/>
    <d v="2023-10-01T12:09:00"/>
    <n v="99"/>
    <s v="Résolu"/>
    <x v="7"/>
    <n v="-10.945031"/>
    <n v="27.922274000000002"/>
    <x v="0"/>
    <s v="Ericsson"/>
    <s v="OK"/>
    <n v="3"/>
    <n v="298"/>
  </r>
  <r>
    <s v="ANT-0588"/>
    <d v="2023-10-18T09:14:00"/>
    <n v="99"/>
    <s v="Non Résolu"/>
    <x v="6"/>
    <n v="-4.8157019999999999"/>
    <n v="27.679798000000002"/>
    <x v="3"/>
    <s v="Ericsson"/>
    <s v="OK"/>
    <n v="1"/>
    <n v="99"/>
  </r>
  <r>
    <s v="ANT-0592"/>
    <d v="2023-10-29T17:40:00"/>
    <n v="66"/>
    <s v="En Cours"/>
    <x v="17"/>
    <n v="-4.4831099999999999"/>
    <n v="25.406548000000001"/>
    <x v="2"/>
    <s v="Nokia"/>
    <s v="OK"/>
    <n v="1"/>
    <n v="66"/>
  </r>
  <r>
    <s v="ANT-0594"/>
    <d v="2023-10-23T12:41:00"/>
    <n v="111"/>
    <s v="Résolu"/>
    <x v="2"/>
    <s v="Non trouvé"/>
    <s v="Non trouvé"/>
    <x v="1"/>
    <s v="Non trouvé"/>
    <s v="Antenne inconnue"/>
    <n v="1"/>
    <n v="111"/>
  </r>
  <r>
    <s v="ANT-0595"/>
    <d v="2023-10-17T00:02:00"/>
    <n v="74"/>
    <s v="En Cours"/>
    <x v="2"/>
    <s v="Non trouvé"/>
    <s v="Non trouvé"/>
    <x v="1"/>
    <s v="Non trouvé"/>
    <s v="Antenne inconnue"/>
    <n v="2"/>
    <n v="131"/>
  </r>
  <r>
    <s v="ANT-0595"/>
    <d v="2023-10-03T11:59:00"/>
    <n v="57"/>
    <s v="Non Résolu"/>
    <x v="2"/>
    <s v="Non trouvé"/>
    <s v="Non trouvé"/>
    <x v="1"/>
    <s v="Non trouvé"/>
    <s v="Antenne inconnue"/>
    <n v="2"/>
    <n v="131"/>
  </r>
  <r>
    <s v="ANT-0596"/>
    <d v="2023-10-10T21:38:00"/>
    <n v="68"/>
    <s v="Non Résolu"/>
    <x v="18"/>
    <n v="-8.3241560000000003"/>
    <n v="19.543866000000001"/>
    <x v="0"/>
    <s v="ZTE"/>
    <s v="OK"/>
    <n v="1"/>
    <n v="68"/>
  </r>
  <r>
    <s v="ANT-0597"/>
    <d v="2023-10-09T06:42:00"/>
    <n v="41"/>
    <s v="Non Résolu"/>
    <x v="0"/>
    <n v="-9.3066320000000005"/>
    <n v="20.470889"/>
    <x v="2"/>
    <s v="ZTE"/>
    <s v="OK"/>
    <n v="1"/>
    <n v="41"/>
  </r>
  <r>
    <s v="ANT-0598"/>
    <d v="2023-10-20T20:01:00"/>
    <n v="64"/>
    <s v="En Cours"/>
    <x v="2"/>
    <s v="Non trouvé"/>
    <s v="Non trouvé"/>
    <x v="1"/>
    <s v="Non trouvé"/>
    <s v="Antenne inconnue"/>
    <n v="1"/>
    <n v="64"/>
  </r>
  <r>
    <s v="ANT-0599"/>
    <d v="2023-10-09T12:09:00"/>
    <n v="91"/>
    <s v="En Cours"/>
    <x v="2"/>
    <s v="Non trouvé"/>
    <s v="Non trouvé"/>
    <x v="1"/>
    <s v="Non trouvé"/>
    <s v="Antenne inconnue"/>
    <n v="2"/>
    <n v="183"/>
  </r>
  <r>
    <s v="ANT-0599"/>
    <d v="2023-10-29T12:26:00"/>
    <n v="92"/>
    <s v="En Cours"/>
    <x v="2"/>
    <s v="Non trouvé"/>
    <s v="Non trouvé"/>
    <x v="1"/>
    <s v="Non trouvé"/>
    <s v="Antenne inconnue"/>
    <n v="2"/>
    <n v="183"/>
  </r>
  <r>
    <s v="ANT-0600"/>
    <d v="2023-10-22T06:41:00"/>
    <n v="83"/>
    <s v="En Cours"/>
    <x v="20"/>
    <n v="-12.292039000000001"/>
    <n v="27.538202999999999"/>
    <x v="3"/>
    <s v="Huawei"/>
    <s v="OK"/>
    <n v="1"/>
    <n v="83"/>
  </r>
  <r>
    <s v="ANT-0604"/>
    <d v="2023-10-06T11:19:00"/>
    <n v="50"/>
    <s v="Non Résolu"/>
    <x v="6"/>
    <n v="2.628638"/>
    <n v="28.420582"/>
    <x v="0"/>
    <s v="Huawei"/>
    <s v="OK"/>
    <n v="2"/>
    <n v="136"/>
  </r>
  <r>
    <s v="ANT-0604"/>
    <d v="2023-10-01T08:13:00"/>
    <n v="86"/>
    <s v="Non Résolu"/>
    <x v="6"/>
    <n v="2.628638"/>
    <n v="28.420582"/>
    <x v="0"/>
    <s v="Huawei"/>
    <s v="OK"/>
    <n v="2"/>
    <n v="136"/>
  </r>
  <r>
    <s v="ANT-0606"/>
    <d v="2023-10-25T07:08:00"/>
    <n v="12"/>
    <s v="En Cours"/>
    <x v="2"/>
    <s v="Non trouvé"/>
    <s v="Non trouvé"/>
    <x v="1"/>
    <s v="Non trouvé"/>
    <s v="Antenne inconnue"/>
    <n v="1"/>
    <n v="12"/>
  </r>
  <r>
    <s v="ANT-0607"/>
    <d v="2023-10-14T05:43:00"/>
    <n v="53"/>
    <s v="Non Résolu"/>
    <x v="0"/>
    <n v="-8.4985189999999999"/>
    <n v="12.929456999999999"/>
    <x v="0"/>
    <s v="Ericsson"/>
    <s v="OK"/>
    <n v="3"/>
    <n v="139"/>
  </r>
  <r>
    <s v="ANT-0607"/>
    <d v="2023-10-30T23:20:00"/>
    <n v="5"/>
    <s v="En Cours"/>
    <x v="0"/>
    <n v="-8.4985189999999999"/>
    <n v="12.929456999999999"/>
    <x v="0"/>
    <s v="Ericsson"/>
    <s v="OK"/>
    <n v="3"/>
    <n v="139"/>
  </r>
  <r>
    <s v="ANT-0607"/>
    <d v="2023-10-27T05:01:00"/>
    <n v="81"/>
    <s v="En Cours"/>
    <x v="0"/>
    <n v="-8.4985189999999999"/>
    <n v="12.929456999999999"/>
    <x v="0"/>
    <s v="Ericsson"/>
    <s v="OK"/>
    <n v="3"/>
    <n v="139"/>
  </r>
  <r>
    <s v="ANT-0609"/>
    <d v="2023-10-19T07:33:00"/>
    <n v="45"/>
    <s v="Résolu"/>
    <x v="2"/>
    <s v="Non trouvé"/>
    <s v="Non trouvé"/>
    <x v="1"/>
    <s v="Non trouvé"/>
    <s v="Antenne inconnue"/>
    <n v="2"/>
    <n v="51"/>
  </r>
  <r>
    <s v="ANT-0609"/>
    <d v="2023-10-10T23:28:00"/>
    <n v="6"/>
    <s v="En Cours"/>
    <x v="2"/>
    <s v="Non trouvé"/>
    <s v="Non trouvé"/>
    <x v="1"/>
    <s v="Non trouvé"/>
    <s v="Antenne inconnue"/>
    <n v="2"/>
    <n v="51"/>
  </r>
  <r>
    <s v="ANT-0610"/>
    <d v="2023-10-29T08:11:00"/>
    <n v="118"/>
    <s v="En Cours"/>
    <x v="2"/>
    <s v="Non trouvé"/>
    <s v="Non trouvé"/>
    <x v="1"/>
    <s v="Non trouvé"/>
    <s v="Antenne inconnue"/>
    <n v="1"/>
    <n v="118"/>
  </r>
  <r>
    <s v="ANT-0611"/>
    <d v="2023-10-13T23:10:00"/>
    <n v="27"/>
    <s v="En Cours"/>
    <x v="8"/>
    <n v="0.79124300000000003"/>
    <n v="25.273389000000002"/>
    <x v="0"/>
    <s v="Nokia"/>
    <s v="OK"/>
    <n v="1"/>
    <n v="27"/>
  </r>
  <r>
    <s v="ANT-0612"/>
    <d v="2023-10-19T06:52:00"/>
    <n v="89"/>
    <s v="Résolu"/>
    <x v="26"/>
    <n v="-7.5129409999999996"/>
    <n v="18.701522000000001"/>
    <x v="0"/>
    <s v="Nokia"/>
    <s v="OK"/>
    <n v="2"/>
    <n v="150"/>
  </r>
  <r>
    <s v="ANT-0612"/>
    <d v="2023-10-22T04:45:00"/>
    <n v="61"/>
    <s v="En Cours"/>
    <x v="26"/>
    <n v="-7.5129409999999996"/>
    <n v="18.701522000000001"/>
    <x v="0"/>
    <s v="Nokia"/>
    <s v="OK"/>
    <n v="2"/>
    <n v="150"/>
  </r>
  <r>
    <s v="ANT-0614"/>
    <d v="2023-10-09T22:59:00"/>
    <n v="115"/>
    <s v="Résolu"/>
    <x v="5"/>
    <n v="-6.1837850000000003"/>
    <n v="25.138759"/>
    <x v="3"/>
    <s v="Ericsson"/>
    <s v="OK"/>
    <n v="1"/>
    <n v="115"/>
  </r>
  <r>
    <s v="ANT-0615"/>
    <d v="2023-10-27T17:57:00"/>
    <n v="68"/>
    <s v="Non Résolu"/>
    <x v="27"/>
    <n v="3.9790009999999998"/>
    <n v="28.069559000000002"/>
    <x v="3"/>
    <s v="Huawei"/>
    <s v="OK"/>
    <n v="1"/>
    <n v="68"/>
  </r>
  <r>
    <s v="ANT-0617"/>
    <d v="2023-10-01T12:50:00"/>
    <n v="50"/>
    <s v="En Cours"/>
    <x v="20"/>
    <n v="-7.7587710000000003"/>
    <n v="17.880848"/>
    <x v="3"/>
    <s v="Ericsson"/>
    <s v="OK"/>
    <n v="1"/>
    <n v="50"/>
  </r>
  <r>
    <s v="ANT-0619"/>
    <d v="2023-10-14T20:56:00"/>
    <n v="46"/>
    <s v="Non Résolu"/>
    <x v="9"/>
    <n v="-7.513261"/>
    <n v="24.338812000000001"/>
    <x v="2"/>
    <s v="Huawei"/>
    <s v="OK"/>
    <n v="1"/>
    <n v="46"/>
  </r>
  <r>
    <s v="ANT-0620"/>
    <d v="2023-10-18T08:51:00"/>
    <n v="8"/>
    <s v="Résolu"/>
    <x v="16"/>
    <n v="-4.1754939999999996"/>
    <n v="16.704664999999999"/>
    <x v="3"/>
    <s v="Ericsson"/>
    <s v="OK"/>
    <n v="2"/>
    <n v="105"/>
  </r>
  <r>
    <s v="ANT-0620"/>
    <d v="2023-10-20T04:21:00"/>
    <n v="97"/>
    <s v="Non Résolu"/>
    <x v="16"/>
    <n v="-4.1754939999999996"/>
    <n v="16.704664999999999"/>
    <x v="3"/>
    <s v="Ericsson"/>
    <s v="OK"/>
    <n v="2"/>
    <n v="105"/>
  </r>
  <r>
    <s v="ANT-0621"/>
    <d v="2023-10-07T23:23:00"/>
    <n v="53"/>
    <s v="Non Résolu"/>
    <x v="7"/>
    <n v="-2.926736"/>
    <n v="18.170461"/>
    <x v="2"/>
    <s v="Ericsson"/>
    <s v="OK"/>
    <n v="1"/>
    <n v="53"/>
  </r>
  <r>
    <s v="ANT-0622"/>
    <d v="2023-10-18T18:08:00"/>
    <n v="100"/>
    <s v="Résolu"/>
    <x v="24"/>
    <n v="-3.003879"/>
    <n v="23.633893"/>
    <x v="2"/>
    <s v="Ericsson"/>
    <s v="OK"/>
    <n v="1"/>
    <n v="100"/>
  </r>
  <r>
    <s v="ANT-0623"/>
    <d v="2023-10-15T14:15:00"/>
    <n v="51"/>
    <s v="En Cours"/>
    <x v="2"/>
    <s v="Non trouvé"/>
    <s v="Non trouvé"/>
    <x v="1"/>
    <s v="Non trouvé"/>
    <s v="Antenne inconnue"/>
    <n v="3"/>
    <n v="120"/>
  </r>
  <r>
    <s v="ANT-0623"/>
    <d v="2023-10-10T06:02:00"/>
    <n v="46"/>
    <s v="Non Résolu"/>
    <x v="2"/>
    <s v="Non trouvé"/>
    <s v="Non trouvé"/>
    <x v="1"/>
    <s v="Non trouvé"/>
    <s v="Antenne inconnue"/>
    <n v="3"/>
    <n v="120"/>
  </r>
  <r>
    <s v="ANT-0623"/>
    <d v="2023-10-29T02:25:00"/>
    <n v="23"/>
    <s v="En Cours"/>
    <x v="2"/>
    <s v="Non trouvé"/>
    <s v="Non trouvé"/>
    <x v="1"/>
    <s v="Non trouvé"/>
    <s v="Antenne inconnue"/>
    <n v="3"/>
    <n v="120"/>
  </r>
  <r>
    <s v="ANT-0624"/>
    <d v="2023-10-15T17:07:00"/>
    <n v="25"/>
    <s v="Résolu"/>
    <x v="7"/>
    <n v="0.172153"/>
    <n v="21.091376"/>
    <x v="3"/>
    <s v="Ericsson"/>
    <s v="OK"/>
    <n v="3"/>
    <n v="165"/>
  </r>
  <r>
    <s v="ANT-0624"/>
    <d v="2023-10-02T13:47:00"/>
    <n v="75"/>
    <s v="En Cours"/>
    <x v="7"/>
    <n v="0.172153"/>
    <n v="21.091376"/>
    <x v="3"/>
    <s v="Ericsson"/>
    <s v="OK"/>
    <n v="3"/>
    <n v="165"/>
  </r>
  <r>
    <s v="ANT-0624"/>
    <d v="2023-10-25T10:17:00"/>
    <n v="65"/>
    <s v="Non Résolu"/>
    <x v="7"/>
    <n v="0.172153"/>
    <n v="21.091376"/>
    <x v="3"/>
    <s v="Ericsson"/>
    <s v="OK"/>
    <n v="3"/>
    <n v="165"/>
  </r>
  <r>
    <s v="ANT-0628"/>
    <d v="2023-10-29T18:12:00"/>
    <n v="54"/>
    <s v="Résolu"/>
    <x v="2"/>
    <s v="Non trouvé"/>
    <s v="Non trouvé"/>
    <x v="1"/>
    <s v="Non trouvé"/>
    <s v="Antenne inconnue"/>
    <n v="1"/>
    <n v="54"/>
  </r>
  <r>
    <s v="ANT-0630"/>
    <d v="2023-10-14T00:39:00"/>
    <n v="68"/>
    <s v="En Cours"/>
    <x v="26"/>
    <n v="-8.1210620000000002"/>
    <n v="21.094390000000001"/>
    <x v="2"/>
    <s v="ZTE"/>
    <s v="OK"/>
    <n v="1"/>
    <n v="68"/>
  </r>
  <r>
    <s v="ANT-0631"/>
    <d v="2023-10-12T14:51:00"/>
    <n v="92"/>
    <s v="Résolu"/>
    <x v="5"/>
    <n v="-0.85624699999999998"/>
    <n v="28.624870000000001"/>
    <x v="3"/>
    <s v="Ericsson"/>
    <s v="OK"/>
    <n v="2"/>
    <n v="187"/>
  </r>
  <r>
    <s v="ANT-0631"/>
    <d v="2023-10-16T18:36:00"/>
    <n v="95"/>
    <s v="Non Résolu"/>
    <x v="5"/>
    <n v="-0.85624699999999998"/>
    <n v="28.624870000000001"/>
    <x v="3"/>
    <s v="Ericsson"/>
    <s v="OK"/>
    <n v="2"/>
    <n v="187"/>
  </r>
  <r>
    <s v="ANT-0633"/>
    <d v="2023-10-22T20:35:00"/>
    <n v="60"/>
    <s v="En Cours"/>
    <x v="2"/>
    <s v="Non trouvé"/>
    <s v="Non trouvé"/>
    <x v="1"/>
    <s v="Non trouvé"/>
    <s v="Antenne inconnue"/>
    <n v="2"/>
    <n v="71"/>
  </r>
  <r>
    <s v="ANT-0633"/>
    <d v="2023-10-03T01:19:00"/>
    <n v="11"/>
    <s v="Résolu"/>
    <x v="2"/>
    <s v="Non trouvé"/>
    <s v="Non trouvé"/>
    <x v="1"/>
    <s v="Non trouvé"/>
    <s v="Antenne inconnue"/>
    <n v="2"/>
    <n v="71"/>
  </r>
  <r>
    <s v="ANT-0634"/>
    <d v="2023-10-05T22:46:00"/>
    <n v="47"/>
    <s v="Non Résolu"/>
    <x v="2"/>
    <s v="Non trouvé"/>
    <s v="Non trouvé"/>
    <x v="1"/>
    <s v="Non trouvé"/>
    <s v="Antenne inconnue"/>
    <n v="1"/>
    <n v="47"/>
  </r>
  <r>
    <s v="ANT-0635"/>
    <d v="2023-10-16T07:44:00"/>
    <n v="57"/>
    <s v="En Cours"/>
    <x v="2"/>
    <s v="Non trouvé"/>
    <s v="Non trouvé"/>
    <x v="1"/>
    <s v="Non trouvé"/>
    <s v="Antenne inconnue"/>
    <n v="3"/>
    <n v="114"/>
  </r>
  <r>
    <s v="ANT-0635"/>
    <d v="2023-10-21T12:09:00"/>
    <n v="20"/>
    <s v="Résolu"/>
    <x v="2"/>
    <s v="Non trouvé"/>
    <s v="Non trouvé"/>
    <x v="1"/>
    <s v="Non trouvé"/>
    <s v="Antenne inconnue"/>
    <n v="3"/>
    <n v="114"/>
  </r>
  <r>
    <s v="ANT-0635"/>
    <d v="2023-10-30T23:41:00"/>
    <n v="37"/>
    <s v="En Cours"/>
    <x v="2"/>
    <s v="Non trouvé"/>
    <s v="Non trouvé"/>
    <x v="1"/>
    <s v="Non trouvé"/>
    <s v="Antenne inconnue"/>
    <n v="3"/>
    <n v="114"/>
  </r>
  <r>
    <s v="ANT-0638"/>
    <d v="2023-10-06T17:04:00"/>
    <n v="109"/>
    <s v="En Cours"/>
    <x v="2"/>
    <s v="Non trouvé"/>
    <s v="Non trouvé"/>
    <x v="1"/>
    <s v="Non trouvé"/>
    <s v="Antenne inconnue"/>
    <n v="2"/>
    <n v="118"/>
  </r>
  <r>
    <s v="ANT-0638"/>
    <d v="2023-10-01T01:34:00"/>
    <n v="9"/>
    <s v="Résolu"/>
    <x v="2"/>
    <s v="Non trouvé"/>
    <s v="Non trouvé"/>
    <x v="1"/>
    <s v="Non trouvé"/>
    <s v="Antenne inconnue"/>
    <n v="2"/>
    <n v="118"/>
  </r>
  <r>
    <s v="ANT-0639"/>
    <d v="2023-10-16T18:38:00"/>
    <n v="87"/>
    <s v="En Cours"/>
    <x v="10"/>
    <n v="2.5665840000000002"/>
    <n v="15.764796"/>
    <x v="3"/>
    <s v="ZTE"/>
    <s v="OK"/>
    <n v="1"/>
    <n v="87"/>
  </r>
  <r>
    <s v="ANT-0640"/>
    <d v="2023-10-07T03:54:00"/>
    <n v="69"/>
    <s v="Résolu"/>
    <x v="2"/>
    <s v="Non trouvé"/>
    <s v="Non trouvé"/>
    <x v="1"/>
    <s v="Non trouvé"/>
    <s v="Antenne inconnue"/>
    <n v="1"/>
    <n v="69"/>
  </r>
  <r>
    <s v="ANT-0641"/>
    <d v="2023-10-05T06:48:00"/>
    <n v="11"/>
    <s v="En Cours"/>
    <x v="12"/>
    <n v="-2.2371569999999998"/>
    <n v="25.926188"/>
    <x v="3"/>
    <s v="Nokia"/>
    <s v="OK"/>
    <n v="3"/>
    <n v="171"/>
  </r>
  <r>
    <s v="ANT-0641"/>
    <d v="2023-10-16T09:02:00"/>
    <n v="65"/>
    <s v="En Cours"/>
    <x v="12"/>
    <n v="-2.2371569999999998"/>
    <n v="25.926188"/>
    <x v="3"/>
    <s v="Nokia"/>
    <s v="OK"/>
    <n v="3"/>
    <n v="171"/>
  </r>
  <r>
    <s v="ANT-0641"/>
    <d v="2023-10-25T11:35:00"/>
    <n v="95"/>
    <s v="Non Résolu"/>
    <x v="12"/>
    <n v="-2.2371569999999998"/>
    <n v="25.926188"/>
    <x v="3"/>
    <s v="Nokia"/>
    <s v="OK"/>
    <n v="3"/>
    <n v="171"/>
  </r>
  <r>
    <s v="ANT-0642"/>
    <d v="2023-10-17T21:40:00"/>
    <n v="20"/>
    <s v="En Cours"/>
    <x v="21"/>
    <n v="-4.2408359999999998"/>
    <n v="26.210014000000001"/>
    <x v="0"/>
    <s v="Huawei"/>
    <s v="OK"/>
    <n v="1"/>
    <n v="20"/>
  </r>
  <r>
    <s v="ANT-0643"/>
    <d v="2023-10-28T03:55:00"/>
    <n v="78"/>
    <s v="Non Résolu"/>
    <x v="2"/>
    <s v="Non trouvé"/>
    <s v="Non trouvé"/>
    <x v="1"/>
    <s v="Non trouvé"/>
    <s v="Antenne inconnue"/>
    <n v="1"/>
    <n v="78"/>
  </r>
  <r>
    <s v="ANT-0644"/>
    <d v="2023-10-22T20:09:00"/>
    <n v="18"/>
    <s v="Résolu"/>
    <x v="2"/>
    <s v="Non trouvé"/>
    <s v="Non trouvé"/>
    <x v="1"/>
    <s v="Non trouvé"/>
    <s v="Antenne inconnue"/>
    <n v="1"/>
    <n v="18"/>
  </r>
  <r>
    <s v="ANT-0646"/>
    <d v="2023-10-15T02:38:00"/>
    <n v="102"/>
    <s v="Non Résolu"/>
    <x v="2"/>
    <s v="Non trouvé"/>
    <s v="Non trouvé"/>
    <x v="1"/>
    <s v="Non trouvé"/>
    <s v="Antenne inconnue"/>
    <n v="2"/>
    <n v="109"/>
  </r>
  <r>
    <s v="ANT-0646"/>
    <d v="2023-10-11T20:11:00"/>
    <n v="7"/>
    <s v="Résolu"/>
    <x v="2"/>
    <s v="Non trouvé"/>
    <s v="Non trouvé"/>
    <x v="1"/>
    <s v="Non trouvé"/>
    <s v="Antenne inconnue"/>
    <n v="2"/>
    <n v="109"/>
  </r>
  <r>
    <s v="ANT-0649"/>
    <d v="2023-10-27T14:05:00"/>
    <n v="33"/>
    <s v="En Cours"/>
    <x v="0"/>
    <n v="-7.7839049999999999"/>
    <n v="14.114281999999999"/>
    <x v="3"/>
    <s v="ZTE"/>
    <s v="OK"/>
    <n v="3"/>
    <n v="156"/>
  </r>
  <r>
    <s v="ANT-0649"/>
    <d v="2023-10-02T00:13:00"/>
    <n v="56"/>
    <s v="Non Résolu"/>
    <x v="0"/>
    <n v="-7.7839049999999999"/>
    <n v="14.114281999999999"/>
    <x v="3"/>
    <s v="ZTE"/>
    <s v="OK"/>
    <n v="3"/>
    <n v="156"/>
  </r>
  <r>
    <s v="ANT-0649"/>
    <d v="2023-10-10T15:50:00"/>
    <n v="67"/>
    <s v="En Cours"/>
    <x v="0"/>
    <n v="-7.7839049999999999"/>
    <n v="14.114281999999999"/>
    <x v="3"/>
    <s v="ZTE"/>
    <s v="OK"/>
    <n v="3"/>
    <n v="156"/>
  </r>
  <r>
    <s v="ANT-0650"/>
    <d v="2023-10-19T15:15:00"/>
    <n v="17"/>
    <s v="En Cours"/>
    <x v="2"/>
    <s v="Non trouvé"/>
    <s v="Non trouvé"/>
    <x v="1"/>
    <s v="Non trouvé"/>
    <s v="Antenne inconnue"/>
    <n v="2"/>
    <n v="53"/>
  </r>
  <r>
    <s v="ANT-0650"/>
    <d v="2023-10-15T04:27:00"/>
    <n v="36"/>
    <s v="Non Résolu"/>
    <x v="2"/>
    <s v="Non trouvé"/>
    <s v="Non trouvé"/>
    <x v="1"/>
    <s v="Non trouvé"/>
    <s v="Antenne inconnue"/>
    <n v="2"/>
    <n v="53"/>
  </r>
  <r>
    <s v="ANT-0653"/>
    <d v="2023-10-02T05:24:00"/>
    <n v="83"/>
    <s v="Non Résolu"/>
    <x v="16"/>
    <n v="0.82868600000000003"/>
    <n v="26.958843999999999"/>
    <x v="2"/>
    <s v="ZTE"/>
    <s v="OK"/>
    <n v="5"/>
    <n v="385"/>
  </r>
  <r>
    <s v="ANT-0653"/>
    <d v="2023-10-26T18:38:00"/>
    <n v="71"/>
    <s v="Résolu"/>
    <x v="16"/>
    <n v="0.82868600000000003"/>
    <n v="26.958843999999999"/>
    <x v="2"/>
    <s v="ZTE"/>
    <s v="OK"/>
    <n v="5"/>
    <n v="385"/>
  </r>
  <r>
    <s v="ANT-0653"/>
    <d v="2023-10-09T23:01:00"/>
    <n v="98"/>
    <s v="En Cours"/>
    <x v="16"/>
    <n v="0.82868600000000003"/>
    <n v="26.958843999999999"/>
    <x v="2"/>
    <s v="ZTE"/>
    <s v="OK"/>
    <n v="5"/>
    <n v="385"/>
  </r>
  <r>
    <s v="ANT-0653"/>
    <d v="2023-10-30T01:35:00"/>
    <n v="93"/>
    <s v="Résolu"/>
    <x v="16"/>
    <n v="0.82868600000000003"/>
    <n v="26.958843999999999"/>
    <x v="2"/>
    <s v="ZTE"/>
    <s v="OK"/>
    <n v="5"/>
    <n v="385"/>
  </r>
  <r>
    <s v="ANT-0653"/>
    <d v="2023-10-02T05:06:00"/>
    <n v="40"/>
    <s v="Non Résolu"/>
    <x v="16"/>
    <n v="0.82868600000000003"/>
    <n v="26.958843999999999"/>
    <x v="2"/>
    <s v="ZTE"/>
    <s v="OK"/>
    <n v="5"/>
    <n v="385"/>
  </r>
  <r>
    <s v="ANT-0654"/>
    <d v="2023-10-11T19:20:00"/>
    <n v="97"/>
    <s v="Résolu"/>
    <x v="2"/>
    <s v="Non trouvé"/>
    <s v="Non trouvé"/>
    <x v="1"/>
    <s v="Non trouvé"/>
    <s v="Antenne inconnue"/>
    <n v="2"/>
    <n v="156"/>
  </r>
  <r>
    <s v="ANT-0654"/>
    <d v="2023-10-16T02:08:00"/>
    <n v="59"/>
    <s v="En Cours"/>
    <x v="2"/>
    <s v="Non trouvé"/>
    <s v="Non trouvé"/>
    <x v="1"/>
    <s v="Non trouvé"/>
    <s v="Antenne inconnue"/>
    <n v="2"/>
    <n v="156"/>
  </r>
  <r>
    <s v="ANT-0655"/>
    <d v="2023-10-28T11:38:00"/>
    <n v="24"/>
    <s v="Non Résolu"/>
    <x v="2"/>
    <s v="Non trouvé"/>
    <s v="Non trouvé"/>
    <x v="1"/>
    <s v="Non trouvé"/>
    <s v="Antenne inconnue"/>
    <n v="2"/>
    <n v="76"/>
  </r>
  <r>
    <s v="ANT-0655"/>
    <d v="2023-10-22T02:33:00"/>
    <n v="52"/>
    <s v="En Cours"/>
    <x v="2"/>
    <s v="Non trouvé"/>
    <s v="Non trouvé"/>
    <x v="1"/>
    <s v="Non trouvé"/>
    <s v="Antenne inconnue"/>
    <n v="2"/>
    <n v="76"/>
  </r>
  <r>
    <s v="ANT-0656"/>
    <d v="2023-10-12T21:48:00"/>
    <n v="32"/>
    <s v="Non Résolu"/>
    <x v="2"/>
    <s v="Non trouvé"/>
    <s v="Non trouvé"/>
    <x v="1"/>
    <s v="Non trouvé"/>
    <s v="Antenne inconnue"/>
    <n v="2"/>
    <n v="114"/>
  </r>
  <r>
    <s v="ANT-0656"/>
    <d v="2023-10-13T04:49:00"/>
    <n v="82"/>
    <s v="Résolu"/>
    <x v="2"/>
    <s v="Non trouvé"/>
    <s v="Non trouvé"/>
    <x v="1"/>
    <s v="Non trouvé"/>
    <s v="Antenne inconnue"/>
    <n v="2"/>
    <n v="114"/>
  </r>
  <r>
    <s v="ANT-0657"/>
    <d v="2023-10-20T22:05:00"/>
    <n v="91"/>
    <s v="En Cours"/>
    <x v="2"/>
    <s v="Non trouvé"/>
    <s v="Non trouvé"/>
    <x v="1"/>
    <s v="Non trouvé"/>
    <s v="Antenne inconnue"/>
    <n v="1"/>
    <n v="91"/>
  </r>
  <r>
    <s v="ANT-0661"/>
    <d v="2023-10-04T11:27:00"/>
    <n v="93"/>
    <s v="Non Résolu"/>
    <x v="2"/>
    <s v="Non trouvé"/>
    <s v="Non trouvé"/>
    <x v="1"/>
    <s v="Non trouvé"/>
    <s v="Antenne inconnue"/>
    <n v="2"/>
    <n v="168"/>
  </r>
  <r>
    <s v="ANT-0661"/>
    <d v="2023-10-09T17:04:00"/>
    <n v="75"/>
    <s v="Non Résolu"/>
    <x v="2"/>
    <s v="Non trouvé"/>
    <s v="Non trouvé"/>
    <x v="1"/>
    <s v="Non trouvé"/>
    <s v="Antenne inconnue"/>
    <n v="2"/>
    <n v="168"/>
  </r>
  <r>
    <s v="ANT-0662"/>
    <d v="2023-10-05T07:08:00"/>
    <n v="111"/>
    <s v="Non Résolu"/>
    <x v="0"/>
    <n v="-1.342476"/>
    <n v="15.986086"/>
    <x v="0"/>
    <s v="Ericsson"/>
    <s v="OK"/>
    <n v="4"/>
    <n v="352"/>
  </r>
  <r>
    <s v="ANT-0662"/>
    <d v="2023-10-28T14:06:00"/>
    <n v="50"/>
    <s v="Non Résolu"/>
    <x v="0"/>
    <n v="-1.342476"/>
    <n v="15.986086"/>
    <x v="0"/>
    <s v="Ericsson"/>
    <s v="OK"/>
    <n v="4"/>
    <n v="352"/>
  </r>
  <r>
    <s v="ANT-0662"/>
    <d v="2023-10-30T17:21:00"/>
    <n v="76"/>
    <s v="Non Résolu"/>
    <x v="0"/>
    <n v="-1.342476"/>
    <n v="15.986086"/>
    <x v="0"/>
    <s v="Ericsson"/>
    <s v="OK"/>
    <n v="4"/>
    <n v="352"/>
  </r>
  <r>
    <s v="ANT-0662"/>
    <d v="2023-10-15T00:27:00"/>
    <n v="115"/>
    <s v="Non Résolu"/>
    <x v="0"/>
    <n v="-1.342476"/>
    <n v="15.986086"/>
    <x v="0"/>
    <s v="Ericsson"/>
    <s v="OK"/>
    <n v="4"/>
    <n v="352"/>
  </r>
  <r>
    <s v="ANT-0663"/>
    <d v="2023-10-28T07:08:00"/>
    <n v="92"/>
    <s v="En Cours"/>
    <x v="6"/>
    <n v="-5.5559329999999996"/>
    <n v="13.508692999999999"/>
    <x v="3"/>
    <s v="Nokia"/>
    <s v="OK"/>
    <n v="1"/>
    <n v="92"/>
  </r>
  <r>
    <s v="ANT-0667"/>
    <d v="2023-10-25T19:58:00"/>
    <n v="100"/>
    <s v="Résolu"/>
    <x v="2"/>
    <s v="Non trouvé"/>
    <s v="Non trouvé"/>
    <x v="1"/>
    <s v="Non trouvé"/>
    <s v="Antenne inconnue"/>
    <n v="1"/>
    <n v="100"/>
  </r>
  <r>
    <s v="ANT-0668"/>
    <d v="2023-10-31T07:17:00"/>
    <n v="83"/>
    <s v="En Cours"/>
    <x v="8"/>
    <n v="-9.8208710000000004"/>
    <n v="23.229807000000001"/>
    <x v="2"/>
    <s v="Nokia"/>
    <s v="OK"/>
    <n v="2"/>
    <n v="136"/>
  </r>
  <r>
    <s v="ANT-0668"/>
    <d v="2023-10-21T03:43:00"/>
    <n v="53"/>
    <s v="Résolu"/>
    <x v="8"/>
    <n v="-9.8208710000000004"/>
    <n v="23.229807000000001"/>
    <x v="2"/>
    <s v="Nokia"/>
    <s v="OK"/>
    <n v="2"/>
    <n v="136"/>
  </r>
  <r>
    <s v="ANT-0669"/>
    <d v="2023-10-27T21:15:00"/>
    <n v="96"/>
    <s v="En Cours"/>
    <x v="2"/>
    <s v="Non trouvé"/>
    <s v="Non trouvé"/>
    <x v="1"/>
    <s v="Non trouvé"/>
    <s v="Antenne inconnue"/>
    <n v="1"/>
    <n v="96"/>
  </r>
  <r>
    <s v="ANT-0670"/>
    <d v="2023-10-03T12:42:00"/>
    <n v="109"/>
    <s v="Non Résolu"/>
    <x v="24"/>
    <n v="-7.1483749999999997"/>
    <n v="26.014271000000001"/>
    <x v="2"/>
    <s v="Huawei"/>
    <s v="OK"/>
    <n v="3"/>
    <n v="291"/>
  </r>
  <r>
    <s v="ANT-0670"/>
    <d v="2023-10-20T12:39:00"/>
    <n v="95"/>
    <s v="Résolu"/>
    <x v="24"/>
    <n v="-7.1483749999999997"/>
    <n v="26.014271000000001"/>
    <x v="2"/>
    <s v="Huawei"/>
    <s v="OK"/>
    <n v="3"/>
    <n v="291"/>
  </r>
  <r>
    <s v="ANT-0670"/>
    <d v="2023-10-12T21:20:00"/>
    <n v="87"/>
    <s v="Non Résolu"/>
    <x v="24"/>
    <n v="-7.1483749999999997"/>
    <n v="26.014271000000001"/>
    <x v="2"/>
    <s v="Huawei"/>
    <s v="OK"/>
    <n v="3"/>
    <n v="291"/>
  </r>
  <r>
    <s v="ANT-0671"/>
    <d v="2023-10-27T23:57:00"/>
    <n v="53"/>
    <s v="En Cours"/>
    <x v="0"/>
    <n v="-7.8373179999999998"/>
    <n v="20.527591999999999"/>
    <x v="0"/>
    <s v="Ericsson"/>
    <s v="OK"/>
    <n v="1"/>
    <n v="53"/>
  </r>
  <r>
    <s v="ANT-0672"/>
    <d v="2023-10-15T01:58:00"/>
    <n v="87"/>
    <s v="Non Résolu"/>
    <x v="2"/>
    <s v="Non trouvé"/>
    <s v="Non trouvé"/>
    <x v="1"/>
    <s v="Non trouvé"/>
    <s v="Antenne inconnue"/>
    <n v="2"/>
    <n v="115"/>
  </r>
  <r>
    <s v="ANT-0672"/>
    <d v="2023-10-08T04:47:00"/>
    <n v="28"/>
    <s v="Non Résolu"/>
    <x v="2"/>
    <s v="Non trouvé"/>
    <s v="Non trouvé"/>
    <x v="1"/>
    <s v="Non trouvé"/>
    <s v="Antenne inconnue"/>
    <n v="2"/>
    <n v="115"/>
  </r>
  <r>
    <s v="ANT-0674"/>
    <d v="2023-10-20T19:14:00"/>
    <n v="65"/>
    <s v="Non Résolu"/>
    <x v="20"/>
    <n v="0.52897499999999997"/>
    <n v="13.849651"/>
    <x v="3"/>
    <s v="ZTE"/>
    <s v="OK"/>
    <n v="1"/>
    <n v="65"/>
  </r>
  <r>
    <s v="ANT-0675"/>
    <d v="2023-10-28T02:50:00"/>
    <n v="61"/>
    <s v="Non Résolu"/>
    <x v="2"/>
    <s v="Non trouvé"/>
    <s v="Non trouvé"/>
    <x v="1"/>
    <s v="Non trouvé"/>
    <s v="Antenne inconnue"/>
    <n v="1"/>
    <n v="61"/>
  </r>
  <r>
    <s v="ANT-0677"/>
    <d v="2023-10-26T09:46:00"/>
    <n v="74"/>
    <s v="Résolu"/>
    <x v="26"/>
    <n v="-4.6957509999999996"/>
    <n v="14.233525999999999"/>
    <x v="0"/>
    <s v="Nokia"/>
    <s v="OK"/>
    <n v="1"/>
    <n v="74"/>
  </r>
  <r>
    <s v="ANT-0678"/>
    <d v="2023-10-25T05:31:00"/>
    <n v="20"/>
    <s v="Résolu"/>
    <x v="16"/>
    <n v="-10.298385"/>
    <n v="29.698117"/>
    <x v="2"/>
    <s v="Nokia"/>
    <s v="OK"/>
    <n v="2"/>
    <n v="72"/>
  </r>
  <r>
    <s v="ANT-0678"/>
    <d v="2023-10-14T21:47:00"/>
    <n v="52"/>
    <s v="Résolu"/>
    <x v="16"/>
    <n v="-10.298385"/>
    <n v="29.698117"/>
    <x v="2"/>
    <s v="Nokia"/>
    <s v="OK"/>
    <n v="2"/>
    <n v="72"/>
  </r>
  <r>
    <s v="ANT-0679"/>
    <d v="2023-10-08T16:02:00"/>
    <n v="113"/>
    <s v="Résolu"/>
    <x v="8"/>
    <n v="-7.1587569999999996"/>
    <n v="18.975141000000001"/>
    <x v="2"/>
    <s v="Ericsson"/>
    <s v="OK"/>
    <n v="3"/>
    <n v="266"/>
  </r>
  <r>
    <s v="ANT-0679"/>
    <d v="2023-10-08T01:47:00"/>
    <n v="57"/>
    <s v="Résolu"/>
    <x v="8"/>
    <n v="-7.1587569999999996"/>
    <n v="18.975141000000001"/>
    <x v="2"/>
    <s v="Ericsson"/>
    <s v="OK"/>
    <n v="3"/>
    <n v="266"/>
  </r>
  <r>
    <s v="ANT-0679"/>
    <d v="2023-10-20T13:40:00"/>
    <n v="96"/>
    <s v="Résolu"/>
    <x v="8"/>
    <n v="-7.1587569999999996"/>
    <n v="18.975141000000001"/>
    <x v="2"/>
    <s v="Ericsson"/>
    <s v="OK"/>
    <n v="3"/>
    <n v="266"/>
  </r>
  <r>
    <s v="ANT-0680"/>
    <d v="2023-10-04T22:49:00"/>
    <n v="8"/>
    <s v="Non Résolu"/>
    <x v="20"/>
    <n v="-0.79406600000000005"/>
    <n v="12.534793000000001"/>
    <x v="3"/>
    <s v="Huawei"/>
    <s v="OK"/>
    <n v="1"/>
    <n v="8"/>
  </r>
  <r>
    <s v="ANT-0684"/>
    <d v="2023-10-06T19:20:00"/>
    <n v="110"/>
    <s v="Résolu"/>
    <x v="2"/>
    <s v="Non trouvé"/>
    <s v="Non trouvé"/>
    <x v="1"/>
    <s v="Non trouvé"/>
    <s v="Antenne inconnue"/>
    <n v="1"/>
    <n v="110"/>
  </r>
  <r>
    <s v="ANT-0685"/>
    <d v="2023-10-30T15:09:00"/>
    <n v="81"/>
    <s v="Résolu"/>
    <x v="20"/>
    <n v="-10.574821"/>
    <n v="25.324966"/>
    <x v="2"/>
    <s v="Ericsson"/>
    <s v="OK"/>
    <n v="1"/>
    <n v="81"/>
  </r>
  <r>
    <s v="ANT-0686"/>
    <d v="2023-10-05T22:21:00"/>
    <n v="66"/>
    <s v="Résolu"/>
    <x v="2"/>
    <s v="Non trouvé"/>
    <s v="Non trouvé"/>
    <x v="1"/>
    <s v="Non trouvé"/>
    <s v="Antenne inconnue"/>
    <n v="1"/>
    <n v="66"/>
  </r>
  <r>
    <s v="ANT-0688"/>
    <d v="2023-10-21T12:23:00"/>
    <n v="15"/>
    <s v="En Cours"/>
    <x v="2"/>
    <s v="Non trouvé"/>
    <s v="Non trouvé"/>
    <x v="1"/>
    <s v="Non trouvé"/>
    <s v="Antenne inconnue"/>
    <n v="5"/>
    <n v="312"/>
  </r>
  <r>
    <s v="ANT-0688"/>
    <d v="2023-10-05T15:58:00"/>
    <n v="56"/>
    <s v="Résolu"/>
    <x v="2"/>
    <s v="Non trouvé"/>
    <s v="Non trouvé"/>
    <x v="1"/>
    <s v="Non trouvé"/>
    <s v="Antenne inconnue"/>
    <n v="5"/>
    <n v="312"/>
  </r>
  <r>
    <s v="ANT-0688"/>
    <d v="2023-10-25T06:55:00"/>
    <n v="116"/>
    <s v="En Cours"/>
    <x v="2"/>
    <s v="Non trouvé"/>
    <s v="Non trouvé"/>
    <x v="1"/>
    <s v="Non trouvé"/>
    <s v="Antenne inconnue"/>
    <n v="5"/>
    <n v="312"/>
  </r>
  <r>
    <s v="ANT-0688"/>
    <d v="2023-10-14T10:01:00"/>
    <n v="100"/>
    <s v="Résolu"/>
    <x v="2"/>
    <s v="Non trouvé"/>
    <s v="Non trouvé"/>
    <x v="1"/>
    <s v="Non trouvé"/>
    <s v="Antenne inconnue"/>
    <n v="5"/>
    <n v="312"/>
  </r>
  <r>
    <s v="ANT-0688"/>
    <d v="2023-10-16T05:34:00"/>
    <n v="25"/>
    <s v="Non Résolu"/>
    <x v="2"/>
    <s v="Non trouvé"/>
    <s v="Non trouvé"/>
    <x v="1"/>
    <s v="Non trouvé"/>
    <s v="Antenne inconnue"/>
    <n v="5"/>
    <n v="312"/>
  </r>
  <r>
    <s v="ANT-0690"/>
    <d v="2023-10-05T14:47:00"/>
    <n v="41"/>
    <s v="En Cours"/>
    <x v="11"/>
    <n v="1.3006180000000001"/>
    <n v="29.060970999999999"/>
    <x v="3"/>
    <s v="ZTE"/>
    <s v="OK"/>
    <n v="2"/>
    <n v="140"/>
  </r>
  <r>
    <s v="ANT-0690"/>
    <d v="2023-10-10T08:31:00"/>
    <n v="99"/>
    <s v="Non Résolu"/>
    <x v="11"/>
    <n v="1.3006180000000001"/>
    <n v="29.060970999999999"/>
    <x v="3"/>
    <s v="ZTE"/>
    <s v="OK"/>
    <n v="2"/>
    <n v="140"/>
  </r>
  <r>
    <s v="ANT-0691"/>
    <d v="2023-10-30T14:54:00"/>
    <n v="74"/>
    <s v="En Cours"/>
    <x v="24"/>
    <n v="-12.488033"/>
    <n v="16.139648000000001"/>
    <x v="0"/>
    <s v="Huawei"/>
    <s v="OK"/>
    <n v="1"/>
    <n v="74"/>
  </r>
  <r>
    <s v="ANT-0695"/>
    <d v="2023-10-07T10:38:00"/>
    <n v="48"/>
    <s v="En Cours"/>
    <x v="6"/>
    <n v="0.16327700000000001"/>
    <n v="14.871577"/>
    <x v="0"/>
    <s v="Huawei"/>
    <s v="OK"/>
    <n v="2"/>
    <n v="137"/>
  </r>
  <r>
    <s v="ANT-0695"/>
    <d v="2023-10-26T06:56:00"/>
    <n v="89"/>
    <s v="Résolu"/>
    <x v="6"/>
    <n v="0.16327700000000001"/>
    <n v="14.871577"/>
    <x v="0"/>
    <s v="Huawei"/>
    <s v="OK"/>
    <n v="2"/>
    <n v="137"/>
  </r>
  <r>
    <s v="ANT-0696"/>
    <d v="2023-10-12T17:21:00"/>
    <n v="28"/>
    <s v="Résolu"/>
    <x v="24"/>
    <n v="-6.9624990000000002"/>
    <n v="20.759834999999999"/>
    <x v="0"/>
    <s v="Huawei"/>
    <s v="OK"/>
    <n v="1"/>
    <n v="28"/>
  </r>
  <r>
    <s v="ANT-0698"/>
    <d v="2023-10-08T13:02:00"/>
    <n v="54"/>
    <s v="Résolu"/>
    <x v="2"/>
    <s v="Non trouvé"/>
    <s v="Non trouvé"/>
    <x v="1"/>
    <s v="Non trouvé"/>
    <s v="Antenne inconnue"/>
    <n v="2"/>
    <n v="109"/>
  </r>
  <r>
    <s v="ANT-0698"/>
    <d v="2023-10-26T23:55:00"/>
    <n v="55"/>
    <s v="Non Résolu"/>
    <x v="2"/>
    <s v="Non trouvé"/>
    <s v="Non trouvé"/>
    <x v="1"/>
    <s v="Non trouvé"/>
    <s v="Antenne inconnue"/>
    <n v="2"/>
    <n v="109"/>
  </r>
  <r>
    <s v="ANT-0699"/>
    <d v="2023-10-26T07:45:00"/>
    <n v="47"/>
    <s v="En Cours"/>
    <x v="2"/>
    <s v="Non trouvé"/>
    <s v="Non trouvé"/>
    <x v="1"/>
    <s v="Non trouvé"/>
    <s v="Antenne inconnue"/>
    <n v="1"/>
    <n v="47"/>
  </r>
  <r>
    <s v="ANT-0701"/>
    <d v="2023-10-27T07:31:00"/>
    <n v="66"/>
    <s v="En Cours"/>
    <x v="3"/>
    <n v="-12.839263000000001"/>
    <n v="12.355677"/>
    <x v="3"/>
    <s v="Huawei"/>
    <s v="OK"/>
    <n v="2"/>
    <n v="93"/>
  </r>
  <r>
    <s v="ANT-0701"/>
    <d v="2023-10-15T06:58:00"/>
    <n v="27"/>
    <s v="Non Résolu"/>
    <x v="3"/>
    <n v="-12.839263000000001"/>
    <n v="12.355677"/>
    <x v="3"/>
    <s v="Huawei"/>
    <s v="OK"/>
    <n v="2"/>
    <n v="93"/>
  </r>
  <r>
    <s v="ANT-0703"/>
    <d v="2023-10-25T02:31:00"/>
    <n v="98"/>
    <s v="En Cours"/>
    <x v="25"/>
    <n v="-7.0007840000000003"/>
    <n v="22.787997000000001"/>
    <x v="2"/>
    <s v="ZTE"/>
    <s v="OK"/>
    <n v="1"/>
    <n v="98"/>
  </r>
  <r>
    <s v="ANT-0704"/>
    <d v="2023-10-25T21:14:00"/>
    <n v="119"/>
    <s v="Non Résolu"/>
    <x v="2"/>
    <s v="Non trouvé"/>
    <s v="Non trouvé"/>
    <x v="1"/>
    <s v="Non trouvé"/>
    <s v="Antenne inconnue"/>
    <n v="1"/>
    <n v="119"/>
  </r>
  <r>
    <s v="ANT-0707"/>
    <d v="2023-10-01T05:17:00"/>
    <n v="53"/>
    <s v="Non Résolu"/>
    <x v="2"/>
    <s v="Non trouvé"/>
    <s v="Non trouvé"/>
    <x v="1"/>
    <s v="Non trouvé"/>
    <s v="Antenne inconnue"/>
    <n v="2"/>
    <n v="120"/>
  </r>
  <r>
    <s v="ANT-0707"/>
    <d v="2023-10-28T09:26:00"/>
    <n v="67"/>
    <s v="Résolu"/>
    <x v="2"/>
    <s v="Non trouvé"/>
    <s v="Non trouvé"/>
    <x v="1"/>
    <s v="Non trouvé"/>
    <s v="Antenne inconnue"/>
    <n v="2"/>
    <n v="120"/>
  </r>
  <r>
    <s v="ANT-0708"/>
    <d v="2023-10-20T02:43:00"/>
    <n v="19"/>
    <s v="Résolu"/>
    <x v="26"/>
    <n v="-9.7712979999999998"/>
    <n v="19.827895999999999"/>
    <x v="3"/>
    <s v="ZTE"/>
    <s v="OK"/>
    <n v="3"/>
    <n v="139"/>
  </r>
  <r>
    <s v="ANT-0708"/>
    <d v="2023-10-25T00:15:00"/>
    <n v="114"/>
    <s v="En Cours"/>
    <x v="26"/>
    <n v="-9.7712979999999998"/>
    <n v="19.827895999999999"/>
    <x v="3"/>
    <s v="ZTE"/>
    <s v="OK"/>
    <n v="3"/>
    <n v="139"/>
  </r>
  <r>
    <s v="ANT-0708"/>
    <d v="2023-10-19T00:55:00"/>
    <n v="6"/>
    <s v="Résolu"/>
    <x v="26"/>
    <n v="-9.7712979999999998"/>
    <n v="19.827895999999999"/>
    <x v="3"/>
    <s v="ZTE"/>
    <s v="OK"/>
    <n v="3"/>
    <n v="139"/>
  </r>
  <r>
    <s v="ANT-0709"/>
    <d v="2023-10-31T22:12:00"/>
    <n v="90"/>
    <s v="Résolu"/>
    <x v="2"/>
    <s v="Non trouvé"/>
    <s v="Non trouvé"/>
    <x v="1"/>
    <s v="Non trouvé"/>
    <s v="Antenne inconnue"/>
    <n v="1"/>
    <n v="90"/>
  </r>
  <r>
    <s v="ANT-0710"/>
    <d v="2023-10-11T12:00:00"/>
    <n v="30"/>
    <s v="Résolu"/>
    <x v="2"/>
    <s v="Non trouvé"/>
    <s v="Non trouvé"/>
    <x v="1"/>
    <s v="Non trouvé"/>
    <s v="Antenne inconnue"/>
    <n v="1"/>
    <n v="30"/>
  </r>
  <r>
    <s v="ANT-0712"/>
    <d v="2023-10-11T22:11:00"/>
    <n v="32"/>
    <s v="Non Résolu"/>
    <x v="2"/>
    <s v="Non trouvé"/>
    <s v="Non trouvé"/>
    <x v="1"/>
    <s v="Non trouvé"/>
    <s v="Antenne inconnue"/>
    <n v="1"/>
    <n v="32"/>
  </r>
  <r>
    <s v="ANT-0714"/>
    <d v="2023-10-24T13:18:00"/>
    <n v="86"/>
    <s v="Non Résolu"/>
    <x v="18"/>
    <n v="-12.050063"/>
    <n v="26.636987999999999"/>
    <x v="3"/>
    <s v="Nokia"/>
    <s v="OK"/>
    <n v="2"/>
    <n v="128"/>
  </r>
  <r>
    <s v="ANT-0714"/>
    <d v="2023-10-28T18:02:00"/>
    <n v="42"/>
    <s v="Résolu"/>
    <x v="18"/>
    <n v="-12.050063"/>
    <n v="26.636987999999999"/>
    <x v="3"/>
    <s v="Nokia"/>
    <s v="OK"/>
    <n v="2"/>
    <n v="128"/>
  </r>
  <r>
    <s v="ANT-0715"/>
    <d v="2023-10-11T20:05:00"/>
    <n v="118"/>
    <s v="Résolu"/>
    <x v="14"/>
    <n v="-11.407966"/>
    <n v="28.378274000000001"/>
    <x v="0"/>
    <s v="ZTE"/>
    <s v="OK"/>
    <n v="2"/>
    <n v="226"/>
  </r>
  <r>
    <s v="ANT-0715"/>
    <d v="2023-10-15T03:51:00"/>
    <n v="108"/>
    <s v="En Cours"/>
    <x v="14"/>
    <n v="-11.407966"/>
    <n v="28.378274000000001"/>
    <x v="0"/>
    <s v="ZTE"/>
    <s v="OK"/>
    <n v="2"/>
    <n v="226"/>
  </r>
  <r>
    <s v="ANT-0716"/>
    <d v="2023-10-27T18:58:00"/>
    <n v="68"/>
    <s v="En Cours"/>
    <x v="3"/>
    <n v="-0.37665700000000002"/>
    <n v="25.154807999999999"/>
    <x v="3"/>
    <s v="Nokia"/>
    <s v="OK"/>
    <n v="1"/>
    <n v="68"/>
  </r>
  <r>
    <s v="ANT-0718"/>
    <d v="2023-10-03T15:29:00"/>
    <n v="106"/>
    <s v="En Cours"/>
    <x v="8"/>
    <n v="1.981107"/>
    <n v="23.932569000000001"/>
    <x v="3"/>
    <s v="Nokia"/>
    <s v="OK"/>
    <n v="3"/>
    <n v="295"/>
  </r>
  <r>
    <s v="ANT-0718"/>
    <d v="2023-10-03T18:37:00"/>
    <n v="72"/>
    <s v="Résolu"/>
    <x v="8"/>
    <n v="1.981107"/>
    <n v="23.932569000000001"/>
    <x v="3"/>
    <s v="Nokia"/>
    <s v="OK"/>
    <n v="3"/>
    <n v="295"/>
  </r>
  <r>
    <s v="ANT-0718"/>
    <d v="2023-10-31T00:57:00"/>
    <n v="117"/>
    <s v="Non Résolu"/>
    <x v="8"/>
    <n v="1.981107"/>
    <n v="23.932569000000001"/>
    <x v="3"/>
    <s v="Nokia"/>
    <s v="OK"/>
    <n v="3"/>
    <n v="295"/>
  </r>
  <r>
    <s v="ANT-0719"/>
    <d v="2023-10-27T14:58:00"/>
    <n v="98"/>
    <s v="En Cours"/>
    <x v="0"/>
    <n v="-7.9987219999999999"/>
    <n v="12.779335"/>
    <x v="2"/>
    <s v="Nokia"/>
    <s v="OK"/>
    <n v="3"/>
    <n v="187"/>
  </r>
  <r>
    <s v="ANT-0719"/>
    <d v="2023-10-26T07:37:00"/>
    <n v="56"/>
    <s v="Non Résolu"/>
    <x v="0"/>
    <n v="-7.9987219999999999"/>
    <n v="12.779335"/>
    <x v="2"/>
    <s v="Nokia"/>
    <s v="OK"/>
    <n v="3"/>
    <n v="187"/>
  </r>
  <r>
    <s v="ant-0719"/>
    <d v="2023-10-02T04:08:00"/>
    <n v="33"/>
    <s v="En Cours"/>
    <x v="0"/>
    <n v="-7.9987219999999999"/>
    <n v="12.779335"/>
    <x v="2"/>
    <s v="Nokia"/>
    <s v="OK"/>
    <n v="3"/>
    <n v="187"/>
  </r>
  <r>
    <s v="ANT-0721"/>
    <d v="2023-10-22T20:41:00"/>
    <n v="65"/>
    <s v="Résolu"/>
    <x v="25"/>
    <n v="-3.9148719999999999"/>
    <n v="12.260933"/>
    <x v="0"/>
    <s v="Ericsson"/>
    <s v="OK"/>
    <n v="1"/>
    <n v="65"/>
  </r>
  <r>
    <s v="ANT-0723"/>
    <d v="2023-10-07T09:13:00"/>
    <n v="109"/>
    <s v="En Cours"/>
    <x v="2"/>
    <s v="Non trouvé"/>
    <s v="Non trouvé"/>
    <x v="1"/>
    <s v="Non trouvé"/>
    <s v="Antenne inconnue"/>
    <n v="1"/>
    <n v="109"/>
  </r>
  <r>
    <s v="ANT-0725"/>
    <d v="2023-10-27T01:44:00"/>
    <n v="29"/>
    <s v="En Cours"/>
    <x v="2"/>
    <s v="Non trouvé"/>
    <s v="Non trouvé"/>
    <x v="1"/>
    <s v="Non trouvé"/>
    <s v="Antenne inconnue"/>
    <n v="1"/>
    <n v="29"/>
  </r>
  <r>
    <s v="ANT-0726"/>
    <d v="2023-10-05T02:11:00"/>
    <n v="81"/>
    <s v="Résolu"/>
    <x v="2"/>
    <s v="Non trouvé"/>
    <s v="Non trouvé"/>
    <x v="1"/>
    <s v="Non trouvé"/>
    <s v="Antenne inconnue"/>
    <n v="1"/>
    <n v="81"/>
  </r>
  <r>
    <s v="ANT-0727"/>
    <d v="2023-10-31T21:53:00"/>
    <n v="16"/>
    <s v="Non Résolu"/>
    <x v="2"/>
    <s v="Non trouvé"/>
    <s v="Non trouvé"/>
    <x v="1"/>
    <s v="Non trouvé"/>
    <s v="Antenne inconnue"/>
    <n v="3"/>
    <n v="96"/>
  </r>
  <r>
    <s v="ANT-0727"/>
    <d v="2023-10-22T03:26:00"/>
    <n v="43"/>
    <s v="Résolu"/>
    <x v="2"/>
    <s v="Non trouvé"/>
    <s v="Non trouvé"/>
    <x v="1"/>
    <s v="Non trouvé"/>
    <s v="Antenne inconnue"/>
    <n v="3"/>
    <n v="96"/>
  </r>
  <r>
    <s v="ANT-0727"/>
    <d v="2023-10-29T23:32:00"/>
    <n v="37"/>
    <s v="Non Résolu"/>
    <x v="2"/>
    <s v="Non trouvé"/>
    <s v="Non trouvé"/>
    <x v="1"/>
    <s v="Non trouvé"/>
    <s v="Antenne inconnue"/>
    <n v="3"/>
    <n v="96"/>
  </r>
  <r>
    <s v="ANT-0729"/>
    <d v="2023-10-16T21:07:00"/>
    <n v="16"/>
    <s v="Non Résolu"/>
    <x v="2"/>
    <s v="Non trouvé"/>
    <s v="Non trouvé"/>
    <x v="1"/>
    <s v="Non trouvé"/>
    <s v="Antenne inconnue"/>
    <n v="4"/>
    <n v="208"/>
  </r>
  <r>
    <s v="ANT-0729"/>
    <d v="2023-10-17T11:01:00"/>
    <n v="100"/>
    <s v="Non Résolu"/>
    <x v="2"/>
    <s v="Non trouvé"/>
    <s v="Non trouvé"/>
    <x v="1"/>
    <s v="Non trouvé"/>
    <s v="Antenne inconnue"/>
    <n v="4"/>
    <n v="208"/>
  </r>
  <r>
    <s v="ANT-0729"/>
    <d v="2023-10-06T15:22:00"/>
    <n v="52"/>
    <s v="Résolu"/>
    <x v="2"/>
    <s v="Non trouvé"/>
    <s v="Non trouvé"/>
    <x v="1"/>
    <s v="Non trouvé"/>
    <s v="Antenne inconnue"/>
    <n v="4"/>
    <n v="208"/>
  </r>
  <r>
    <s v="ANT-0729"/>
    <d v="2023-10-12T22:12:00"/>
    <n v="40"/>
    <s v="En Cours"/>
    <x v="2"/>
    <s v="Non trouvé"/>
    <s v="Non trouvé"/>
    <x v="1"/>
    <s v="Non trouvé"/>
    <s v="Antenne inconnue"/>
    <n v="4"/>
    <n v="208"/>
  </r>
  <r>
    <s v="ANT-0730"/>
    <d v="2023-10-22T23:44:00"/>
    <n v="72"/>
    <s v="Non Résolu"/>
    <x v="2"/>
    <s v="Non trouvé"/>
    <s v="Non trouvé"/>
    <x v="1"/>
    <s v="Non trouvé"/>
    <s v="Antenne inconnue"/>
    <n v="2"/>
    <n v="170"/>
  </r>
  <r>
    <s v="ANT-0730"/>
    <d v="2023-10-02T10:15:00"/>
    <n v="98"/>
    <s v="Non Résolu"/>
    <x v="2"/>
    <s v="Non trouvé"/>
    <s v="Non trouvé"/>
    <x v="1"/>
    <s v="Non trouvé"/>
    <s v="Antenne inconnue"/>
    <n v="2"/>
    <n v="170"/>
  </r>
  <r>
    <s v="ANT-0731"/>
    <d v="2023-10-02T07:30:00"/>
    <n v="90"/>
    <s v="Non Résolu"/>
    <x v="17"/>
    <n v="-12.333232000000001"/>
    <n v="25.229620000000001"/>
    <x v="2"/>
    <s v="Nokia"/>
    <s v="OK"/>
    <n v="1"/>
    <n v="90"/>
  </r>
  <r>
    <s v="ANT-0732"/>
    <d v="2023-10-04T10:13:00"/>
    <n v="62"/>
    <s v="Résolu"/>
    <x v="2"/>
    <s v="Non trouvé"/>
    <s v="Non trouvé"/>
    <x v="1"/>
    <s v="Non trouvé"/>
    <s v="Antenne inconnue"/>
    <n v="1"/>
    <n v="62"/>
  </r>
  <r>
    <s v="ANT-0735"/>
    <d v="2023-10-16T00:23:00"/>
    <n v="74"/>
    <s v="Résolu"/>
    <x v="15"/>
    <n v="-5.8352820000000003"/>
    <n v="26.603978000000001"/>
    <x v="0"/>
    <s v="Huawei"/>
    <s v="OK"/>
    <n v="1"/>
    <n v="74"/>
  </r>
  <r>
    <s v="ANT-0737"/>
    <d v="2023-10-14T01:01:00"/>
    <n v="119"/>
    <s v="Non Résolu"/>
    <x v="8"/>
    <n v="-2.8211520000000001"/>
    <n v="20.651419000000001"/>
    <x v="2"/>
    <s v="Ericsson"/>
    <s v="OK"/>
    <n v="5"/>
    <n v="389"/>
  </r>
  <r>
    <s v="ANT-0737"/>
    <d v="2023-10-14T00:33:00"/>
    <n v="56"/>
    <s v="En Cours"/>
    <x v="8"/>
    <n v="-2.8211520000000001"/>
    <n v="20.651419000000001"/>
    <x v="2"/>
    <s v="Ericsson"/>
    <s v="OK"/>
    <n v="5"/>
    <n v="389"/>
  </r>
  <r>
    <s v="ANT-0737"/>
    <d v="2023-10-20T11:26:00"/>
    <n v="57"/>
    <s v="Résolu"/>
    <x v="8"/>
    <n v="-2.8211520000000001"/>
    <n v="20.651419000000001"/>
    <x v="2"/>
    <s v="Ericsson"/>
    <s v="OK"/>
    <n v="5"/>
    <n v="389"/>
  </r>
  <r>
    <s v="ANT-0737"/>
    <d v="2023-10-01T22:13:00"/>
    <n v="76"/>
    <s v="En Cours"/>
    <x v="8"/>
    <n v="-2.8211520000000001"/>
    <n v="20.651419000000001"/>
    <x v="2"/>
    <s v="Ericsson"/>
    <s v="OK"/>
    <n v="5"/>
    <n v="389"/>
  </r>
  <r>
    <s v="ANT-0737"/>
    <d v="2023-10-19T09:10:00"/>
    <n v="81"/>
    <s v="Non Résolu"/>
    <x v="8"/>
    <n v="-2.8211520000000001"/>
    <n v="20.651419000000001"/>
    <x v="2"/>
    <s v="Ericsson"/>
    <s v="OK"/>
    <n v="5"/>
    <n v="389"/>
  </r>
  <r>
    <s v="ANT-0738"/>
    <d v="2023-10-25T13:16:00"/>
    <n v="60"/>
    <s v="Non Résolu"/>
    <x v="25"/>
    <n v="-10.439686999999999"/>
    <n v="20.714210000000001"/>
    <x v="0"/>
    <s v="ZTE"/>
    <s v="OK"/>
    <n v="1"/>
    <n v="60"/>
  </r>
  <r>
    <s v="ANT-0739"/>
    <d v="2023-10-13T14:59:00"/>
    <n v="113"/>
    <s v="En Cours"/>
    <x v="2"/>
    <s v="Non trouvé"/>
    <s v="Non trouvé"/>
    <x v="1"/>
    <s v="Non trouvé"/>
    <s v="Antenne inconnue"/>
    <n v="3"/>
    <n v="268"/>
  </r>
  <r>
    <s v="ANT-0739"/>
    <d v="2023-10-19T05:49:00"/>
    <n v="64"/>
    <s v="Résolu"/>
    <x v="2"/>
    <s v="Non trouvé"/>
    <s v="Non trouvé"/>
    <x v="1"/>
    <s v="Non trouvé"/>
    <s v="Antenne inconnue"/>
    <n v="3"/>
    <n v="268"/>
  </r>
  <r>
    <s v="ANT-0739"/>
    <d v="2023-10-03T20:50:00"/>
    <n v="91"/>
    <s v="Non Résolu"/>
    <x v="2"/>
    <s v="Non trouvé"/>
    <s v="Non trouvé"/>
    <x v="1"/>
    <s v="Non trouvé"/>
    <s v="Antenne inconnue"/>
    <n v="3"/>
    <n v="268"/>
  </r>
  <r>
    <s v="ANT-0740"/>
    <d v="2023-10-22T23:57:00"/>
    <n v="79"/>
    <s v="En Cours"/>
    <x v="2"/>
    <s v="Non trouvé"/>
    <s v="Non trouvé"/>
    <x v="1"/>
    <s v="Non trouvé"/>
    <s v="Antenne inconnue"/>
    <n v="2"/>
    <n v="129"/>
  </r>
  <r>
    <s v="ANT-0740"/>
    <d v="2023-10-08T07:19:00"/>
    <n v="50"/>
    <s v="Non Résolu"/>
    <x v="2"/>
    <s v="Non trouvé"/>
    <s v="Non trouvé"/>
    <x v="1"/>
    <s v="Non trouvé"/>
    <s v="Antenne inconnue"/>
    <n v="2"/>
    <n v="129"/>
  </r>
  <r>
    <s v="ANT-0743"/>
    <d v="2023-10-03T16:28:00"/>
    <n v="53"/>
    <s v="Résolu"/>
    <x v="2"/>
    <s v="Non trouvé"/>
    <s v="Non trouvé"/>
    <x v="1"/>
    <s v="Non trouvé"/>
    <s v="Antenne inconnue"/>
    <n v="1"/>
    <n v="53"/>
  </r>
  <r>
    <s v="ANT-0744"/>
    <d v="2023-10-02T22:54:00"/>
    <n v="32"/>
    <s v="Non Résolu"/>
    <x v="2"/>
    <s v="Non trouvé"/>
    <s v="Non trouvé"/>
    <x v="1"/>
    <s v="Non trouvé"/>
    <s v="Antenne inconnue"/>
    <n v="1"/>
    <n v="32"/>
  </r>
  <r>
    <s v="ant-0745"/>
    <d v="2023-10-29T15:38:00"/>
    <n v="119"/>
    <s v="Résolu"/>
    <x v="22"/>
    <n v="2.453036"/>
    <n v="20.555484"/>
    <x v="2"/>
    <s v="Ericsson"/>
    <s v="OK"/>
    <n v="2"/>
    <n v="229"/>
  </r>
  <r>
    <s v="ANT-0745"/>
    <d v="2023-10-12T03:05:00"/>
    <n v="110"/>
    <s v="Non Résolu"/>
    <x v="22"/>
    <n v="2.453036"/>
    <n v="20.555484"/>
    <x v="2"/>
    <s v="Ericsson"/>
    <s v="OK"/>
    <n v="2"/>
    <n v="229"/>
  </r>
  <r>
    <s v="ANT-0746"/>
    <d v="2023-10-08T01:42:00"/>
    <n v="94"/>
    <s v="Non Résolu"/>
    <x v="3"/>
    <n v="-1.1284540000000001"/>
    <n v="23.000360000000001"/>
    <x v="2"/>
    <s v="Ericsson"/>
    <s v="OK"/>
    <n v="1"/>
    <n v="94"/>
  </r>
  <r>
    <s v="ANT-0750"/>
    <d v="2023-10-22T17:24:00"/>
    <n v="55"/>
    <s v="Non Résolu"/>
    <x v="17"/>
    <n v="-1.3976519999999999"/>
    <n v="14.098819000000001"/>
    <x v="3"/>
    <s v="Ericsson"/>
    <s v="OK"/>
    <n v="1"/>
    <n v="55"/>
  </r>
  <r>
    <s v="ANT-0753"/>
    <d v="2023-10-04T14:29:00"/>
    <n v="106"/>
    <s v="Non Résolu"/>
    <x v="7"/>
    <n v="-5.1507670000000001"/>
    <n v="28.075324999999999"/>
    <x v="2"/>
    <s v="Huawei"/>
    <s v="OK"/>
    <n v="1"/>
    <n v="106"/>
  </r>
  <r>
    <s v="ANT-0754"/>
    <d v="2023-10-22T15:33:00"/>
    <n v="67"/>
    <s v="Résolu"/>
    <x v="24"/>
    <n v="-11.924048000000001"/>
    <n v="24.177174999999998"/>
    <x v="3"/>
    <s v="Nokia"/>
    <s v="OK"/>
    <n v="1"/>
    <n v="67"/>
  </r>
  <r>
    <s v="ANT-0756"/>
    <d v="2023-10-18T07:06:00"/>
    <n v="119"/>
    <s v="Résolu"/>
    <x v="2"/>
    <s v="Non trouvé"/>
    <s v="Non trouvé"/>
    <x v="1"/>
    <s v="Non trouvé"/>
    <s v="Antenne inconnue"/>
    <n v="1"/>
    <n v="119"/>
  </r>
  <r>
    <s v="ANT-0757"/>
    <d v="2023-10-23T22:31:00"/>
    <n v="36"/>
    <s v="Résolu"/>
    <x v="2"/>
    <s v="Non trouvé"/>
    <s v="Non trouvé"/>
    <x v="1"/>
    <s v="Non trouvé"/>
    <s v="Antenne inconnue"/>
    <n v="1"/>
    <n v="36"/>
  </r>
  <r>
    <s v="ANT-0760"/>
    <d v="2023-10-14T22:46:00"/>
    <n v="72"/>
    <s v="Non Résolu"/>
    <x v="9"/>
    <n v="-2.7140689999999998"/>
    <n v="22.222104000000002"/>
    <x v="0"/>
    <s v="Nokia"/>
    <s v="OK"/>
    <n v="1"/>
    <n v="72"/>
  </r>
  <r>
    <s v="ANT-0761"/>
    <d v="2023-10-12T09:21:00"/>
    <n v="76"/>
    <s v="Non Résolu"/>
    <x v="2"/>
    <s v="Non trouvé"/>
    <s v="Non trouvé"/>
    <x v="1"/>
    <s v="Non trouvé"/>
    <s v="Antenne inconnue"/>
    <n v="1"/>
    <n v="76"/>
  </r>
  <r>
    <s v="ANT-0762"/>
    <d v="2023-10-13T22:18:00"/>
    <n v="118"/>
    <s v="En Cours"/>
    <x v="2"/>
    <s v="Non trouvé"/>
    <s v="Non trouvé"/>
    <x v="1"/>
    <s v="Non trouvé"/>
    <s v="Antenne inconnue"/>
    <n v="1"/>
    <n v="118"/>
  </r>
  <r>
    <s v="ANT-0764"/>
    <d v="2023-10-16T03:27:00"/>
    <n v="107"/>
    <s v="Non Résolu"/>
    <x v="2"/>
    <s v="Non trouvé"/>
    <s v="Non trouvé"/>
    <x v="1"/>
    <s v="Non trouvé"/>
    <s v="Antenne inconnue"/>
    <n v="2"/>
    <n v="114"/>
  </r>
  <r>
    <s v="ANT-0764"/>
    <d v="2023-10-16T19:28:00"/>
    <n v="7"/>
    <s v="En Cours"/>
    <x v="2"/>
    <s v="Non trouvé"/>
    <s v="Non trouvé"/>
    <x v="1"/>
    <s v="Non trouvé"/>
    <s v="Antenne inconnue"/>
    <n v="2"/>
    <n v="114"/>
  </r>
  <r>
    <s v="ANT-0766"/>
    <d v="2023-10-24T02:27:00"/>
    <n v="104"/>
    <s v="Non Résolu"/>
    <x v="2"/>
    <s v="Non trouvé"/>
    <s v="Non trouvé"/>
    <x v="1"/>
    <s v="Non trouvé"/>
    <s v="Antenne inconnue"/>
    <n v="3"/>
    <n v="195"/>
  </r>
  <r>
    <s v="ANT-0766"/>
    <d v="2023-10-02T01:06:00"/>
    <n v="83"/>
    <s v="Non Résolu"/>
    <x v="2"/>
    <s v="Non trouvé"/>
    <s v="Non trouvé"/>
    <x v="1"/>
    <s v="Non trouvé"/>
    <s v="Antenne inconnue"/>
    <n v="3"/>
    <n v="195"/>
  </r>
  <r>
    <s v="ANT-0766"/>
    <d v="2023-10-19T21:46:00"/>
    <n v="8"/>
    <s v="En Cours"/>
    <x v="2"/>
    <s v="Non trouvé"/>
    <s v="Non trouvé"/>
    <x v="1"/>
    <s v="Non trouvé"/>
    <s v="Antenne inconnue"/>
    <n v="3"/>
    <n v="195"/>
  </r>
  <r>
    <s v="ANT-0768"/>
    <d v="2023-10-11T04:02:00"/>
    <n v="110"/>
    <s v="Résolu"/>
    <x v="25"/>
    <n v="-9.9565739999999998"/>
    <n v="21.017202000000001"/>
    <x v="0"/>
    <s v="Huawei"/>
    <s v="OK"/>
    <n v="1"/>
    <n v="110"/>
  </r>
  <r>
    <s v="ANT-0770"/>
    <d v="2023-10-10T12:35:00"/>
    <n v="27"/>
    <s v="En Cours"/>
    <x v="21"/>
    <n v="2.4741019999999998"/>
    <n v="29.297391000000001"/>
    <x v="0"/>
    <s v="Ericsson"/>
    <s v="OK"/>
    <n v="3"/>
    <n v="217"/>
  </r>
  <r>
    <s v="ANT-0770"/>
    <d v="2023-10-13T18:07:00"/>
    <n v="112"/>
    <s v="En Cours"/>
    <x v="21"/>
    <n v="2.4741019999999998"/>
    <n v="29.297391000000001"/>
    <x v="0"/>
    <s v="Ericsson"/>
    <s v="OK"/>
    <n v="3"/>
    <n v="217"/>
  </r>
  <r>
    <s v="ANT-0770"/>
    <d v="2023-10-22T04:01:00"/>
    <n v="78"/>
    <s v="Non Résolu"/>
    <x v="21"/>
    <n v="2.4741019999999998"/>
    <n v="29.297391000000001"/>
    <x v="0"/>
    <s v="Ericsson"/>
    <s v="OK"/>
    <n v="3"/>
    <n v="217"/>
  </r>
  <r>
    <s v="ANT-0771"/>
    <d v="2023-10-31T18:25:00"/>
    <n v="16"/>
    <s v="En Cours"/>
    <x v="2"/>
    <s v="Non trouvé"/>
    <s v="Non trouvé"/>
    <x v="1"/>
    <s v="Non trouvé"/>
    <s v="Antenne inconnue"/>
    <n v="1"/>
    <n v="16"/>
  </r>
  <r>
    <s v="ANT-0774"/>
    <d v="2023-10-12T23:50:00"/>
    <n v="29"/>
    <s v="Non Résolu"/>
    <x v="2"/>
    <s v="Non trouvé"/>
    <s v="Non trouvé"/>
    <x v="1"/>
    <s v="Non trouvé"/>
    <s v="Antenne inconnue"/>
    <n v="1"/>
    <n v="29"/>
  </r>
  <r>
    <s v="ANT-0775"/>
    <d v="2023-10-06T00:26:00"/>
    <n v="67"/>
    <s v="En Cours"/>
    <x v="4"/>
    <n v="1.5278670000000001"/>
    <n v="13.899388999999999"/>
    <x v="3"/>
    <s v="Huawei"/>
    <s v="OK"/>
    <n v="5"/>
    <n v="273"/>
  </r>
  <r>
    <s v="ANT-0775"/>
    <d v="2023-10-02T22:08:00"/>
    <n v="32"/>
    <s v="Résolu"/>
    <x v="4"/>
    <n v="1.5278670000000001"/>
    <n v="13.899388999999999"/>
    <x v="3"/>
    <s v="Huawei"/>
    <s v="OK"/>
    <n v="5"/>
    <n v="273"/>
  </r>
  <r>
    <s v="ANT-0775"/>
    <d v="2023-10-10T22:07:00"/>
    <n v="119"/>
    <s v="Résolu"/>
    <x v="4"/>
    <n v="1.5278670000000001"/>
    <n v="13.899388999999999"/>
    <x v="3"/>
    <s v="Huawei"/>
    <s v="OK"/>
    <n v="5"/>
    <n v="273"/>
  </r>
  <r>
    <s v="ANT-0775"/>
    <d v="2023-10-01T23:39:00"/>
    <n v="29"/>
    <s v="En Cours"/>
    <x v="4"/>
    <n v="1.5278670000000001"/>
    <n v="13.899388999999999"/>
    <x v="3"/>
    <s v="Huawei"/>
    <s v="OK"/>
    <n v="5"/>
    <n v="273"/>
  </r>
  <r>
    <s v="ANT-0775"/>
    <d v="2023-10-24T10:28:00"/>
    <n v="26"/>
    <s v="Résolu"/>
    <x v="4"/>
    <n v="1.5278670000000001"/>
    <n v="13.899388999999999"/>
    <x v="3"/>
    <s v="Huawei"/>
    <s v="OK"/>
    <n v="5"/>
    <n v="273"/>
  </r>
  <r>
    <s v="ANT-0777"/>
    <d v="2023-10-21T02:49:00"/>
    <n v="39"/>
    <s v="Résolu"/>
    <x v="2"/>
    <s v="Non trouvé"/>
    <s v="Non trouvé"/>
    <x v="1"/>
    <s v="Non trouvé"/>
    <s v="Antenne inconnue"/>
    <n v="1"/>
    <n v="39"/>
  </r>
  <r>
    <s v="ANT-0779"/>
    <d v="2023-10-10T22:55:00"/>
    <n v="57"/>
    <s v="Résolu"/>
    <x v="2"/>
    <s v="Non trouvé"/>
    <s v="Non trouvé"/>
    <x v="1"/>
    <s v="Non trouvé"/>
    <s v="Antenne inconnue"/>
    <n v="2"/>
    <n v="111"/>
  </r>
  <r>
    <s v="ANT-0779"/>
    <d v="2023-10-19T13:24:00"/>
    <n v="54"/>
    <s v="En Cours"/>
    <x v="2"/>
    <s v="Non trouvé"/>
    <s v="Non trouvé"/>
    <x v="1"/>
    <s v="Non trouvé"/>
    <s v="Antenne inconnue"/>
    <n v="2"/>
    <n v="111"/>
  </r>
  <r>
    <s v="ANT-0781"/>
    <d v="2023-10-21T22:34:00"/>
    <n v="33"/>
    <s v="En Cours"/>
    <x v="2"/>
    <s v="Non trouvé"/>
    <s v="Non trouvé"/>
    <x v="1"/>
    <s v="Non trouvé"/>
    <s v="Antenne inconnue"/>
    <n v="2"/>
    <n v="114"/>
  </r>
  <r>
    <s v="ANT-0781"/>
    <d v="2023-10-28T11:36:00"/>
    <n v="81"/>
    <s v="Non Résolu"/>
    <x v="2"/>
    <s v="Non trouvé"/>
    <s v="Non trouvé"/>
    <x v="1"/>
    <s v="Non trouvé"/>
    <s v="Antenne inconnue"/>
    <n v="2"/>
    <n v="114"/>
  </r>
  <r>
    <s v="ANT-0782"/>
    <d v="2023-10-04T16:09:00"/>
    <n v="82"/>
    <s v="Résolu"/>
    <x v="2"/>
    <s v="Non trouvé"/>
    <s v="Non trouvé"/>
    <x v="1"/>
    <s v="Non trouvé"/>
    <s v="Antenne inconnue"/>
    <n v="1"/>
    <n v="82"/>
  </r>
  <r>
    <s v="ANT-0784"/>
    <d v="2023-10-26T01:29:00"/>
    <n v="15"/>
    <s v="En Cours"/>
    <x v="2"/>
    <s v="Non trouvé"/>
    <s v="Non trouvé"/>
    <x v="1"/>
    <s v="Non trouvé"/>
    <s v="Antenne inconnue"/>
    <n v="2"/>
    <n v="47"/>
  </r>
  <r>
    <s v="ANT-0784"/>
    <d v="2023-10-06T08:47:00"/>
    <n v="32"/>
    <s v="Résolu"/>
    <x v="2"/>
    <s v="Non trouvé"/>
    <s v="Non trouvé"/>
    <x v="1"/>
    <s v="Non trouvé"/>
    <s v="Antenne inconnue"/>
    <n v="2"/>
    <n v="47"/>
  </r>
  <r>
    <s v="ANT-0785"/>
    <d v="2023-10-15T14:43:00"/>
    <n v="11"/>
    <s v="En Cours"/>
    <x v="2"/>
    <s v="Non trouvé"/>
    <s v="Non trouvé"/>
    <x v="1"/>
    <s v="Non trouvé"/>
    <s v="Antenne inconnue"/>
    <n v="2"/>
    <n v="78"/>
  </r>
  <r>
    <s v="ANT-0785"/>
    <d v="2023-10-16T11:30:00"/>
    <n v="67"/>
    <s v="En Cours"/>
    <x v="2"/>
    <s v="Non trouvé"/>
    <s v="Non trouvé"/>
    <x v="1"/>
    <s v="Non trouvé"/>
    <s v="Antenne inconnue"/>
    <n v="2"/>
    <n v="78"/>
  </r>
  <r>
    <s v="ANT-0786"/>
    <d v="2023-10-11T06:44:00"/>
    <n v="43"/>
    <s v="Non Résolu"/>
    <x v="18"/>
    <n v="-12.342053999999999"/>
    <n v="18.756862000000002"/>
    <x v="3"/>
    <s v="Ericsson"/>
    <s v="OK"/>
    <n v="2"/>
    <n v="88"/>
  </r>
  <r>
    <s v="ANT-0786"/>
    <d v="2023-10-12T21:43:00"/>
    <n v="45"/>
    <s v="En Cours"/>
    <x v="18"/>
    <n v="-12.342053999999999"/>
    <n v="18.756862000000002"/>
    <x v="3"/>
    <s v="Ericsson"/>
    <s v="OK"/>
    <n v="2"/>
    <n v="88"/>
  </r>
  <r>
    <s v="ANT-0787"/>
    <d v="2023-10-03T02:17:00"/>
    <n v="61"/>
    <s v="Non Résolu"/>
    <x v="2"/>
    <s v="Non trouvé"/>
    <s v="Non trouvé"/>
    <x v="1"/>
    <s v="Non trouvé"/>
    <s v="Antenne inconnue"/>
    <n v="1"/>
    <n v="61"/>
  </r>
  <r>
    <s v="ANT-0788"/>
    <d v="2023-10-06T01:15:00"/>
    <n v="81"/>
    <s v="En Cours"/>
    <x v="10"/>
    <n v="1.5802860000000001"/>
    <n v="20.99053"/>
    <x v="0"/>
    <s v="ZTE"/>
    <s v="OK"/>
    <n v="2"/>
    <n v="103"/>
  </r>
  <r>
    <s v="ANT-0788"/>
    <d v="2023-10-21T22:16:00"/>
    <n v="22"/>
    <s v="Non Résolu"/>
    <x v="10"/>
    <n v="1.5802860000000001"/>
    <n v="20.99053"/>
    <x v="0"/>
    <s v="ZTE"/>
    <s v="OK"/>
    <n v="2"/>
    <n v="103"/>
  </r>
  <r>
    <s v="ANT-0790"/>
    <d v="2023-10-14T15:30:00"/>
    <n v="95"/>
    <s v="Résolu"/>
    <x v="7"/>
    <n v="-2.9417719999999998"/>
    <n v="18.587305000000001"/>
    <x v="2"/>
    <s v="Ericsson"/>
    <s v="OK"/>
    <n v="2"/>
    <n v="204"/>
  </r>
  <r>
    <s v="ANT-0790"/>
    <d v="2023-10-23T20:01:00"/>
    <n v="109"/>
    <s v="Non Résolu"/>
    <x v="7"/>
    <n v="-2.9417719999999998"/>
    <n v="18.587305000000001"/>
    <x v="2"/>
    <s v="Ericsson"/>
    <s v="OK"/>
    <n v="2"/>
    <n v="204"/>
  </r>
  <r>
    <s v="ANT-0792"/>
    <d v="2023-10-16T02:36:00"/>
    <n v="39"/>
    <s v="En Cours"/>
    <x v="2"/>
    <s v="Non trouvé"/>
    <s v="Non trouvé"/>
    <x v="1"/>
    <s v="Non trouvé"/>
    <s v="Antenne inconnue"/>
    <n v="2"/>
    <n v="65"/>
  </r>
  <r>
    <s v="ANT-0792"/>
    <d v="2023-10-15T06:33:00"/>
    <n v="26"/>
    <s v="Non Résolu"/>
    <x v="2"/>
    <s v="Non trouvé"/>
    <s v="Non trouvé"/>
    <x v="1"/>
    <s v="Non trouvé"/>
    <s v="Antenne inconnue"/>
    <n v="2"/>
    <n v="65"/>
  </r>
  <r>
    <s v="ANT-0793"/>
    <d v="2023-10-18T22:40:00"/>
    <n v="33"/>
    <s v="Résolu"/>
    <x v="2"/>
    <s v="Non trouvé"/>
    <s v="Non trouvé"/>
    <x v="1"/>
    <s v="Non trouvé"/>
    <s v="Antenne inconnue"/>
    <n v="1"/>
    <n v="33"/>
  </r>
  <r>
    <s v="ANT-0794"/>
    <d v="2023-10-17T05:35:00"/>
    <n v="11"/>
    <s v="En Cours"/>
    <x v="10"/>
    <n v="-3.8119990000000001"/>
    <n v="20.420048000000001"/>
    <x v="3"/>
    <s v="ZTE"/>
    <s v="OK"/>
    <n v="1"/>
    <n v="11"/>
  </r>
  <r>
    <s v="ANT-0797"/>
    <d v="2023-10-07T16:30:00"/>
    <n v="76"/>
    <s v="En Cours"/>
    <x v="24"/>
    <n v="-12.100756000000001"/>
    <n v="21.938649999999999"/>
    <x v="0"/>
    <s v="Huawei"/>
    <s v="OK"/>
    <n v="2"/>
    <n v="100"/>
  </r>
  <r>
    <s v="ANT-0797"/>
    <d v="2023-10-17T16:39:00"/>
    <n v="24"/>
    <s v="En Cours"/>
    <x v="24"/>
    <n v="-12.100756000000001"/>
    <n v="21.938649999999999"/>
    <x v="0"/>
    <s v="Huawei"/>
    <s v="OK"/>
    <n v="2"/>
    <n v="100"/>
  </r>
  <r>
    <s v="ANT-0798"/>
    <d v="2023-10-28T07:55:00"/>
    <n v="81"/>
    <s v="Non Résolu"/>
    <x v="2"/>
    <s v="Non trouvé"/>
    <s v="Non trouvé"/>
    <x v="1"/>
    <s v="Non trouvé"/>
    <s v="Antenne inconnue"/>
    <n v="4"/>
    <n v="224"/>
  </r>
  <r>
    <s v="ANT-0798"/>
    <d v="2023-10-10T21:43:00"/>
    <n v="45"/>
    <s v="En Cours"/>
    <x v="2"/>
    <s v="Non trouvé"/>
    <s v="Non trouvé"/>
    <x v="1"/>
    <s v="Non trouvé"/>
    <s v="Antenne inconnue"/>
    <n v="4"/>
    <n v="224"/>
  </r>
  <r>
    <s v="ANT-0798"/>
    <d v="2023-10-21T10:17:00"/>
    <n v="26"/>
    <s v="En Cours"/>
    <x v="2"/>
    <s v="Non trouvé"/>
    <s v="Non trouvé"/>
    <x v="1"/>
    <s v="Non trouvé"/>
    <s v="Antenne inconnue"/>
    <n v="4"/>
    <n v="224"/>
  </r>
  <r>
    <s v="ANT-0798"/>
    <d v="2023-10-23T11:29:00"/>
    <n v="72"/>
    <s v="Non Résolu"/>
    <x v="2"/>
    <s v="Non trouvé"/>
    <s v="Non trouvé"/>
    <x v="1"/>
    <s v="Non trouvé"/>
    <s v="Antenne inconnue"/>
    <n v="4"/>
    <n v="224"/>
  </r>
  <r>
    <s v="ANT-0800"/>
    <d v="2023-10-10T13:58:00"/>
    <n v="93"/>
    <s v="Non Résolu"/>
    <x v="2"/>
    <s v="Non trouvé"/>
    <s v="Non trouvé"/>
    <x v="1"/>
    <s v="Non trouvé"/>
    <s v="Antenne inconnue"/>
    <n v="1"/>
    <n v="93"/>
  </r>
  <r>
    <s v="ANT-0801"/>
    <d v="2023-10-02T10:59:00"/>
    <n v="42"/>
    <s v="En Cours"/>
    <x v="2"/>
    <s v="Non trouvé"/>
    <s v="Non trouvé"/>
    <x v="1"/>
    <s v="Non trouvé"/>
    <s v="Antenne inconnue"/>
    <n v="1"/>
    <n v="42"/>
  </r>
  <r>
    <s v="ANT-0803"/>
    <d v="2023-10-05T20:19:00"/>
    <n v="16"/>
    <s v="En Cours"/>
    <x v="2"/>
    <s v="Non trouvé"/>
    <s v="Non trouvé"/>
    <x v="1"/>
    <s v="Non trouvé"/>
    <s v="Antenne inconnue"/>
    <n v="2"/>
    <n v="113"/>
  </r>
  <r>
    <s v="ANT-0803"/>
    <d v="2023-10-22T08:09:00"/>
    <n v="97"/>
    <s v="Non Résolu"/>
    <x v="2"/>
    <s v="Non trouvé"/>
    <s v="Non trouvé"/>
    <x v="1"/>
    <s v="Non trouvé"/>
    <s v="Antenne inconnue"/>
    <n v="2"/>
    <n v="113"/>
  </r>
  <r>
    <s v="ANT-0804"/>
    <d v="2023-10-21T02:39:00"/>
    <n v="111"/>
    <s v="En Cours"/>
    <x v="13"/>
    <n v="-4.1250960000000001"/>
    <n v="27.799897999999999"/>
    <x v="3"/>
    <s v="Nokia"/>
    <s v="OK"/>
    <n v="2"/>
    <n v="223"/>
  </r>
  <r>
    <s v="ANT-0804"/>
    <d v="2023-10-29T21:08:00"/>
    <n v="112"/>
    <s v="En Cours"/>
    <x v="13"/>
    <n v="-4.1250960000000001"/>
    <n v="27.799897999999999"/>
    <x v="3"/>
    <s v="Nokia"/>
    <s v="OK"/>
    <n v="2"/>
    <n v="223"/>
  </r>
  <r>
    <s v="ANT-0805"/>
    <d v="2023-10-14T07:53:00"/>
    <n v="22"/>
    <s v="En Cours"/>
    <x v="2"/>
    <s v="Non trouvé"/>
    <s v="Non trouvé"/>
    <x v="1"/>
    <s v="Non trouvé"/>
    <s v="Antenne inconnue"/>
    <n v="1"/>
    <n v="22"/>
  </r>
  <r>
    <s v="ANT-0806"/>
    <d v="2023-10-11T01:18:00"/>
    <n v="68"/>
    <s v="En Cours"/>
    <x v="2"/>
    <s v="Non trouvé"/>
    <s v="Non trouvé"/>
    <x v="1"/>
    <s v="Non trouvé"/>
    <s v="Antenne inconnue"/>
    <n v="1"/>
    <n v="68"/>
  </r>
  <r>
    <s v="ANT-0808"/>
    <d v="2023-10-28T20:09:00"/>
    <n v="94"/>
    <s v="En Cours"/>
    <x v="2"/>
    <s v="Non trouvé"/>
    <s v="Non trouvé"/>
    <x v="1"/>
    <s v="Non trouvé"/>
    <s v="Antenne inconnue"/>
    <n v="1"/>
    <n v="94"/>
  </r>
  <r>
    <s v="ANT-0809"/>
    <d v="2023-10-01T16:06:00"/>
    <n v="74"/>
    <s v="En Cours"/>
    <x v="13"/>
    <n v="-4.6426759999999998"/>
    <n v="22.124254000000001"/>
    <x v="0"/>
    <s v="ZTE"/>
    <s v="OK"/>
    <n v="1"/>
    <n v="74"/>
  </r>
  <r>
    <s v="ANT-0811"/>
    <d v="2023-10-12T02:33:00"/>
    <n v="107"/>
    <s v="Résolu"/>
    <x v="10"/>
    <n v="-5.125"/>
    <n v="23.513119"/>
    <x v="2"/>
    <s v="Huawei"/>
    <s v="OK"/>
    <n v="2"/>
    <n v="174"/>
  </r>
  <r>
    <s v="ANT-0811"/>
    <d v="2023-10-28T15:51:00"/>
    <n v="67"/>
    <s v="En Cours"/>
    <x v="10"/>
    <n v="-5.125"/>
    <n v="23.513119"/>
    <x v="2"/>
    <s v="Huawei"/>
    <s v="OK"/>
    <n v="2"/>
    <n v="174"/>
  </r>
  <r>
    <s v="ANT-0812"/>
    <d v="2023-10-12T05:38:00"/>
    <n v="62"/>
    <s v="En Cours"/>
    <x v="16"/>
    <n v="-2.3102109999999998"/>
    <n v="12.362488000000001"/>
    <x v="2"/>
    <s v="Nokia"/>
    <s v="OK"/>
    <n v="1"/>
    <n v="62"/>
  </r>
  <r>
    <s v="ANT-0813"/>
    <d v="2023-10-01T11:50:00"/>
    <n v="113"/>
    <s v="Résolu"/>
    <x v="22"/>
    <n v="-1.5419050000000001"/>
    <n v="14.730632999999999"/>
    <x v="3"/>
    <s v="ZTE"/>
    <s v="OK"/>
    <n v="2"/>
    <n v="130"/>
  </r>
  <r>
    <s v="ANT-0813"/>
    <d v="2023-10-21T11:16:00"/>
    <n v="17"/>
    <s v="Non Résolu"/>
    <x v="22"/>
    <n v="-1.5419050000000001"/>
    <n v="14.730632999999999"/>
    <x v="3"/>
    <s v="ZTE"/>
    <s v="OK"/>
    <n v="2"/>
    <n v="130"/>
  </r>
  <r>
    <s v="ANT-0815"/>
    <d v="2023-10-12T16:56:00"/>
    <n v="95"/>
    <s v="Non Résolu"/>
    <x v="2"/>
    <s v="Non trouvé"/>
    <s v="Non trouvé"/>
    <x v="1"/>
    <s v="Non trouvé"/>
    <s v="Antenne inconnue"/>
    <n v="3"/>
    <n v="195"/>
  </r>
  <r>
    <s v="ANT-0815"/>
    <d v="2023-10-08T18:33:00"/>
    <n v="55"/>
    <s v="Non Résolu"/>
    <x v="2"/>
    <s v="Non trouvé"/>
    <s v="Non trouvé"/>
    <x v="1"/>
    <s v="Non trouvé"/>
    <s v="Antenne inconnue"/>
    <n v="3"/>
    <n v="195"/>
  </r>
  <r>
    <s v="ANT-0815"/>
    <d v="2023-10-06T21:24:00"/>
    <n v="45"/>
    <s v="Non Résolu"/>
    <x v="2"/>
    <s v="Non trouvé"/>
    <s v="Non trouvé"/>
    <x v="1"/>
    <s v="Non trouvé"/>
    <s v="Antenne inconnue"/>
    <n v="3"/>
    <n v="195"/>
  </r>
  <r>
    <s v="ANT-0817"/>
    <d v="2023-10-04T00:05:00"/>
    <n v="46"/>
    <s v="Non Résolu"/>
    <x v="2"/>
    <s v="Non trouvé"/>
    <s v="Non trouvé"/>
    <x v="1"/>
    <s v="Non trouvé"/>
    <s v="Antenne inconnue"/>
    <n v="1"/>
    <n v="46"/>
  </r>
  <r>
    <s v="ANT-0819"/>
    <d v="2023-10-11T19:16:00"/>
    <n v="9"/>
    <s v="Non Résolu"/>
    <x v="2"/>
    <s v="Non trouvé"/>
    <s v="Non trouvé"/>
    <x v="1"/>
    <s v="Non trouvé"/>
    <s v="Antenne inconnue"/>
    <n v="2"/>
    <n v="85"/>
  </r>
  <r>
    <s v="ANT-0819"/>
    <d v="2023-10-22T13:53:00"/>
    <n v="76"/>
    <s v="En Cours"/>
    <x v="2"/>
    <s v="Non trouvé"/>
    <s v="Non trouvé"/>
    <x v="1"/>
    <s v="Non trouvé"/>
    <s v="Antenne inconnue"/>
    <n v="2"/>
    <n v="85"/>
  </r>
  <r>
    <s v="ANT-0820"/>
    <d v="2023-10-13T18:35:00"/>
    <n v="33"/>
    <s v="Résolu"/>
    <x v="2"/>
    <s v="Non trouvé"/>
    <s v="Non trouvé"/>
    <x v="1"/>
    <s v="Non trouvé"/>
    <s v="Antenne inconnue"/>
    <n v="1"/>
    <n v="33"/>
  </r>
  <r>
    <s v="ANT-0821"/>
    <d v="2023-10-08T13:54:00"/>
    <n v="68"/>
    <s v="Résolu"/>
    <x v="13"/>
    <n v="-3.7720639999999999"/>
    <n v="16.006277999999998"/>
    <x v="2"/>
    <s v="ZTE"/>
    <s v="OK"/>
    <n v="3"/>
    <n v="176"/>
  </r>
  <r>
    <s v="ANT-0821"/>
    <d v="2023-10-28T21:58:00"/>
    <n v="26"/>
    <s v="Non Résolu"/>
    <x v="13"/>
    <n v="-3.7720639999999999"/>
    <n v="16.006277999999998"/>
    <x v="2"/>
    <s v="ZTE"/>
    <s v="OK"/>
    <n v="3"/>
    <n v="176"/>
  </r>
  <r>
    <s v="ANT-0821"/>
    <d v="2023-10-19T23:48:00"/>
    <n v="82"/>
    <s v="Résolu"/>
    <x v="13"/>
    <n v="-3.7720639999999999"/>
    <n v="16.006277999999998"/>
    <x v="2"/>
    <s v="ZTE"/>
    <s v="OK"/>
    <n v="3"/>
    <n v="176"/>
  </r>
  <r>
    <s v="ANT-0825"/>
    <d v="2023-10-19T06:54:00"/>
    <n v="71"/>
    <s v="En Cours"/>
    <x v="2"/>
    <s v="Non trouvé"/>
    <s v="Non trouvé"/>
    <x v="1"/>
    <s v="Non trouvé"/>
    <s v="Antenne inconnue"/>
    <n v="1"/>
    <n v="71"/>
  </r>
  <r>
    <s v="ANT-0826"/>
    <d v="2023-10-23T08:29:00"/>
    <n v="101"/>
    <s v="Non Résolu"/>
    <x v="16"/>
    <n v="-10.846306999999999"/>
    <n v="19.201827999999999"/>
    <x v="0"/>
    <s v="Ericsson"/>
    <s v="OK"/>
    <n v="3"/>
    <n v="121"/>
  </r>
  <r>
    <s v="ANT-0826"/>
    <d v="2023-10-24T06:03:00"/>
    <n v="12"/>
    <s v="Non Résolu"/>
    <x v="16"/>
    <n v="-10.846306999999999"/>
    <n v="19.201827999999999"/>
    <x v="0"/>
    <s v="Ericsson"/>
    <s v="OK"/>
    <n v="3"/>
    <n v="121"/>
  </r>
  <r>
    <s v="ANT-0826"/>
    <d v="2023-10-15T17:47:00"/>
    <n v="8"/>
    <s v="Résolu"/>
    <x v="16"/>
    <n v="-10.846306999999999"/>
    <n v="19.201827999999999"/>
    <x v="0"/>
    <s v="Ericsson"/>
    <s v="OK"/>
    <n v="3"/>
    <n v="121"/>
  </r>
  <r>
    <s v="ANT-0828"/>
    <d v="2023-10-08T11:20:00"/>
    <n v="30"/>
    <s v="En Cours"/>
    <x v="2"/>
    <s v="Non trouvé"/>
    <s v="Non trouvé"/>
    <x v="1"/>
    <s v="Non trouvé"/>
    <s v="Antenne inconnue"/>
    <n v="1"/>
    <n v="30"/>
  </r>
  <r>
    <s v="ANT-0829"/>
    <d v="2023-10-27T09:04:00"/>
    <n v="74"/>
    <s v="En Cours"/>
    <x v="14"/>
    <n v="4.6809229999999999"/>
    <n v="28.934242000000001"/>
    <x v="2"/>
    <s v="Nokia"/>
    <s v="OK"/>
    <n v="1"/>
    <n v="74"/>
  </r>
  <r>
    <s v="ANT-0830"/>
    <d v="2023-10-22T13:11:00"/>
    <n v="39"/>
    <s v="Non Résolu"/>
    <x v="2"/>
    <s v="Non trouvé"/>
    <s v="Non trouvé"/>
    <x v="1"/>
    <s v="Non trouvé"/>
    <s v="Antenne inconnue"/>
    <n v="1"/>
    <n v="39"/>
  </r>
  <r>
    <s v="ANT-0833"/>
    <d v="2023-10-08T08:13:00"/>
    <n v="28"/>
    <s v="Résolu"/>
    <x v="4"/>
    <n v="0.40267799999999998"/>
    <n v="16.000858000000001"/>
    <x v="3"/>
    <s v="Nokia"/>
    <s v="OK"/>
    <n v="1"/>
    <n v="28"/>
  </r>
  <r>
    <s v="ANT-0834"/>
    <d v="2023-10-11T20:04:00"/>
    <n v="25"/>
    <s v="En Cours"/>
    <x v="2"/>
    <s v="Non trouvé"/>
    <s v="Non trouvé"/>
    <x v="1"/>
    <s v="Non trouvé"/>
    <s v="Antenne inconnue"/>
    <n v="1"/>
    <n v="25"/>
  </r>
  <r>
    <s v="ANT-0835"/>
    <d v="2023-10-09T01:45:00"/>
    <n v="68"/>
    <s v="Résolu"/>
    <x v="16"/>
    <n v="1.017161"/>
    <n v="16.519689"/>
    <x v="3"/>
    <s v="Nokia"/>
    <s v="OK"/>
    <n v="2"/>
    <n v="153"/>
  </r>
  <r>
    <s v="ANT-0835"/>
    <d v="2023-10-11T09:24:00"/>
    <n v="85"/>
    <s v="Non Résolu"/>
    <x v="16"/>
    <n v="1.017161"/>
    <n v="16.519689"/>
    <x v="3"/>
    <s v="Nokia"/>
    <s v="OK"/>
    <n v="2"/>
    <n v="153"/>
  </r>
  <r>
    <s v="ANT-0837"/>
    <d v="2023-10-18T21:24:00"/>
    <n v="108"/>
    <s v="En Cours"/>
    <x v="14"/>
    <n v="-5.3762689999999997"/>
    <n v="28.189575999999999"/>
    <x v="2"/>
    <s v="Huawei"/>
    <s v="OK"/>
    <n v="4"/>
    <n v="237"/>
  </r>
  <r>
    <s v="ANT-0837"/>
    <d v="2023-10-12T01:06:00"/>
    <n v="18"/>
    <s v="En Cours"/>
    <x v="14"/>
    <n v="-5.3762689999999997"/>
    <n v="28.189575999999999"/>
    <x v="2"/>
    <s v="Huawei"/>
    <s v="OK"/>
    <n v="4"/>
    <n v="237"/>
  </r>
  <r>
    <s v="ANT-0837"/>
    <d v="2023-10-23T04:32:00"/>
    <n v="33"/>
    <s v="Résolu"/>
    <x v="14"/>
    <n v="-5.3762689999999997"/>
    <n v="28.189575999999999"/>
    <x v="2"/>
    <s v="Huawei"/>
    <s v="OK"/>
    <n v="4"/>
    <n v="237"/>
  </r>
  <r>
    <s v="ANT-0837"/>
    <d v="2023-10-24T18:14:00"/>
    <n v="78"/>
    <s v="Non Résolu"/>
    <x v="14"/>
    <n v="-5.3762689999999997"/>
    <n v="28.189575999999999"/>
    <x v="2"/>
    <s v="Huawei"/>
    <s v="OK"/>
    <n v="4"/>
    <n v="237"/>
  </r>
  <r>
    <s v="ANT-0839"/>
    <d v="2023-10-25T02:46:00"/>
    <n v="45"/>
    <s v="Non Résolu"/>
    <x v="5"/>
    <n v="-11.265995"/>
    <n v="28.935514999999999"/>
    <x v="0"/>
    <s v="Ericsson"/>
    <s v="OK"/>
    <n v="2"/>
    <n v="89"/>
  </r>
  <r>
    <s v="ANT-0839"/>
    <d v="2023-10-29T13:31:00"/>
    <n v="44"/>
    <s v="Résolu"/>
    <x v="5"/>
    <n v="-11.265995"/>
    <n v="28.935514999999999"/>
    <x v="0"/>
    <s v="Ericsson"/>
    <s v="OK"/>
    <n v="2"/>
    <n v="89"/>
  </r>
  <r>
    <s v="ANT-0840"/>
    <d v="2023-10-26T22:47:00"/>
    <n v="117"/>
    <s v="Résolu"/>
    <x v="2"/>
    <s v="Non trouvé"/>
    <s v="Non trouvé"/>
    <x v="1"/>
    <s v="Non trouvé"/>
    <s v="Antenne inconnue"/>
    <n v="1"/>
    <n v="117"/>
  </r>
  <r>
    <s v="ANT-0843"/>
    <d v="2023-10-22T13:25:00"/>
    <n v="22"/>
    <s v="Résolu"/>
    <x v="26"/>
    <n v="0.65288900000000005"/>
    <n v="24.243953999999999"/>
    <x v="2"/>
    <s v="Ericsson"/>
    <s v="OK"/>
    <n v="1"/>
    <n v="22"/>
  </r>
  <r>
    <s v="ANT-0844"/>
    <d v="2023-10-20T02:33:00"/>
    <n v="87"/>
    <s v="Non Résolu"/>
    <x v="2"/>
    <s v="Non trouvé"/>
    <s v="Non trouvé"/>
    <x v="1"/>
    <s v="Non trouvé"/>
    <s v="Antenne inconnue"/>
    <n v="2"/>
    <n v="137"/>
  </r>
  <r>
    <s v="ANT-0844"/>
    <d v="2023-10-14T14:14:00"/>
    <n v="50"/>
    <s v="En Cours"/>
    <x v="2"/>
    <s v="Non trouvé"/>
    <s v="Non trouvé"/>
    <x v="1"/>
    <s v="Non trouvé"/>
    <s v="Antenne inconnue"/>
    <n v="2"/>
    <n v="137"/>
  </r>
  <r>
    <s v="ANT-0845"/>
    <d v="2023-10-08T03:35:00"/>
    <n v="101"/>
    <s v="En Cours"/>
    <x v="23"/>
    <n v="-10.872631999999999"/>
    <n v="12.773279"/>
    <x v="3"/>
    <s v="ZTE"/>
    <s v="OK"/>
    <n v="3"/>
    <n v="163"/>
  </r>
  <r>
    <s v="ANT-0845"/>
    <d v="2023-10-10T21:34:00"/>
    <n v="29"/>
    <s v="Non Résolu"/>
    <x v="23"/>
    <n v="-10.872631999999999"/>
    <n v="12.773279"/>
    <x v="3"/>
    <s v="ZTE"/>
    <s v="OK"/>
    <n v="3"/>
    <n v="163"/>
  </r>
  <r>
    <s v="ANT-0845"/>
    <d v="2023-10-09T12:41:00"/>
    <n v="33"/>
    <s v="Non Résolu"/>
    <x v="23"/>
    <n v="-10.872631999999999"/>
    <n v="12.773279"/>
    <x v="3"/>
    <s v="ZTE"/>
    <s v="OK"/>
    <n v="3"/>
    <n v="163"/>
  </r>
  <r>
    <s v="ANT-0846"/>
    <d v="2023-10-31T14:17:00"/>
    <n v="14"/>
    <s v="Résolu"/>
    <x v="11"/>
    <n v="-7.1079169999999996"/>
    <n v="13.636272"/>
    <x v="2"/>
    <s v="Nokia"/>
    <s v="OK"/>
    <n v="2"/>
    <n v="75"/>
  </r>
  <r>
    <s v="ANT-0846"/>
    <d v="2023-10-28T21:33:00"/>
    <n v="61"/>
    <s v="Résolu"/>
    <x v="11"/>
    <n v="-7.1079169999999996"/>
    <n v="13.636272"/>
    <x v="2"/>
    <s v="Nokia"/>
    <s v="OK"/>
    <n v="2"/>
    <n v="75"/>
  </r>
  <r>
    <s v="ANT-0848"/>
    <d v="2023-10-18T20:43:00"/>
    <n v="89"/>
    <s v="Résolu"/>
    <x v="2"/>
    <s v="Non trouvé"/>
    <s v="Non trouvé"/>
    <x v="1"/>
    <s v="Non trouvé"/>
    <s v="Antenne inconnue"/>
    <n v="1"/>
    <n v="89"/>
  </r>
  <r>
    <s v="ANT-0850"/>
    <d v="2023-10-08T02:28:00"/>
    <n v="41"/>
    <s v="Résolu"/>
    <x v="21"/>
    <n v="-5.9021970000000001"/>
    <n v="20.551169999999999"/>
    <x v="3"/>
    <s v="Huawei"/>
    <s v="OK"/>
    <n v="2"/>
    <n v="99"/>
  </r>
  <r>
    <s v="ANT-0850"/>
    <d v="2023-10-31T20:20:00"/>
    <n v="58"/>
    <s v="En Cours"/>
    <x v="21"/>
    <n v="-5.9021970000000001"/>
    <n v="20.551169999999999"/>
    <x v="3"/>
    <s v="Huawei"/>
    <s v="OK"/>
    <n v="2"/>
    <n v="99"/>
  </r>
  <r>
    <s v="ANT-0851"/>
    <d v="2023-10-14T02:42:00"/>
    <n v="93"/>
    <s v="Résolu"/>
    <x v="2"/>
    <s v="Non trouvé"/>
    <s v="Non trouvé"/>
    <x v="1"/>
    <s v="Non trouvé"/>
    <s v="Antenne inconnue"/>
    <n v="3"/>
    <n v="303"/>
  </r>
  <r>
    <s v="ANT-0851"/>
    <d v="2023-10-08T14:40:00"/>
    <n v="107"/>
    <s v="Non Résolu"/>
    <x v="2"/>
    <s v="Non trouvé"/>
    <s v="Non trouvé"/>
    <x v="1"/>
    <s v="Non trouvé"/>
    <s v="Antenne inconnue"/>
    <n v="3"/>
    <n v="303"/>
  </r>
  <r>
    <s v="ANT-0851"/>
    <d v="2023-10-21T23:15:00"/>
    <n v="103"/>
    <s v="Résolu"/>
    <x v="2"/>
    <s v="Non trouvé"/>
    <s v="Non trouvé"/>
    <x v="1"/>
    <s v="Non trouvé"/>
    <s v="Antenne inconnue"/>
    <n v="3"/>
    <n v="303"/>
  </r>
  <r>
    <s v="ANT-0852"/>
    <d v="2023-10-27T01:51:00"/>
    <n v="101"/>
    <s v="Résolu"/>
    <x v="22"/>
    <n v="4.2493650000000001"/>
    <n v="28.355039999999999"/>
    <x v="3"/>
    <s v="ZTE"/>
    <s v="OK"/>
    <n v="3"/>
    <n v="215"/>
  </r>
  <r>
    <s v="ANT-0852"/>
    <d v="2023-10-22T22:17:00"/>
    <n v="21"/>
    <s v="Résolu"/>
    <x v="22"/>
    <n v="4.2493650000000001"/>
    <n v="28.355039999999999"/>
    <x v="3"/>
    <s v="ZTE"/>
    <s v="OK"/>
    <n v="3"/>
    <n v="215"/>
  </r>
  <r>
    <s v="ANT-0852"/>
    <d v="2023-10-20T19:50:00"/>
    <n v="93"/>
    <s v="En Cours"/>
    <x v="22"/>
    <n v="4.2493650000000001"/>
    <n v="28.355039999999999"/>
    <x v="3"/>
    <s v="ZTE"/>
    <s v="OK"/>
    <n v="3"/>
    <n v="215"/>
  </r>
  <r>
    <s v="ANT-0855"/>
    <d v="2023-10-22T18:36:00"/>
    <n v="24"/>
    <s v="Résolu"/>
    <x v="14"/>
    <n v="-11.514188000000001"/>
    <n v="15.971181"/>
    <x v="2"/>
    <s v="Ericsson"/>
    <s v="OK"/>
    <n v="2"/>
    <n v="98"/>
  </r>
  <r>
    <s v="ANT-0855"/>
    <d v="2023-10-06T12:43:00"/>
    <n v="74"/>
    <s v="Non Résolu"/>
    <x v="14"/>
    <n v="-11.514188000000001"/>
    <n v="15.971181"/>
    <x v="2"/>
    <s v="Ericsson"/>
    <s v="OK"/>
    <n v="2"/>
    <n v="98"/>
  </r>
  <r>
    <s v="ANT-0856"/>
    <d v="2023-10-31T23:57:00"/>
    <n v="72"/>
    <s v="En Cours"/>
    <x v="13"/>
    <n v="-1.9120569999999999"/>
    <n v="15.236072999999999"/>
    <x v="2"/>
    <s v="Huawei"/>
    <s v="OK"/>
    <n v="1"/>
    <n v="72"/>
  </r>
  <r>
    <s v="ANT-0857"/>
    <d v="2023-10-16T00:24:00"/>
    <n v="35"/>
    <s v="Non Résolu"/>
    <x v="2"/>
    <s v="Non trouvé"/>
    <s v="Non trouvé"/>
    <x v="1"/>
    <s v="Non trouvé"/>
    <s v="Antenne inconnue"/>
    <n v="1"/>
    <n v="35"/>
  </r>
  <r>
    <s v="ANT-0859"/>
    <d v="2023-10-11T23:30:00"/>
    <n v="114"/>
    <s v="En Cours"/>
    <x v="2"/>
    <s v="Non trouvé"/>
    <s v="Non trouvé"/>
    <x v="1"/>
    <s v="Non trouvé"/>
    <s v="Antenne inconnue"/>
    <n v="1"/>
    <n v="114"/>
  </r>
  <r>
    <s v="ANT-0860"/>
    <d v="2023-10-27T09:19:00"/>
    <n v="115"/>
    <s v="En Cours"/>
    <x v="2"/>
    <s v="Non trouvé"/>
    <s v="Non trouvé"/>
    <x v="1"/>
    <s v="Non trouvé"/>
    <s v="Antenne inconnue"/>
    <n v="1"/>
    <n v="115"/>
  </r>
  <r>
    <s v="ANT-0861"/>
    <d v="2023-10-10T06:27:00"/>
    <n v="94"/>
    <s v="Non Résolu"/>
    <x v="2"/>
    <s v="Non trouvé"/>
    <s v="Non trouvé"/>
    <x v="1"/>
    <s v="Non trouvé"/>
    <s v="Antenne inconnue"/>
    <n v="2"/>
    <n v="207"/>
  </r>
  <r>
    <s v="ANT-0861"/>
    <d v="2023-10-02T12:28:00"/>
    <n v="113"/>
    <s v="En Cours"/>
    <x v="2"/>
    <s v="Non trouvé"/>
    <s v="Non trouvé"/>
    <x v="1"/>
    <s v="Non trouvé"/>
    <s v="Antenne inconnue"/>
    <n v="2"/>
    <n v="207"/>
  </r>
  <r>
    <s v="ANT-0862"/>
    <d v="2023-10-13T03:22:00"/>
    <n v="19"/>
    <s v="Non Résolu"/>
    <x v="25"/>
    <n v="-9.4708620000000003"/>
    <n v="29.234387999999999"/>
    <x v="3"/>
    <s v="ZTE"/>
    <s v="OK"/>
    <n v="1"/>
    <n v="19"/>
  </r>
  <r>
    <s v="ANT-0864"/>
    <d v="2023-10-12T00:21:00"/>
    <n v="7"/>
    <s v="En Cours"/>
    <x v="2"/>
    <s v="Non trouvé"/>
    <s v="Non trouvé"/>
    <x v="1"/>
    <s v="Non trouvé"/>
    <s v="Antenne inconnue"/>
    <n v="2"/>
    <n v="94"/>
  </r>
  <r>
    <s v="ANT-0864"/>
    <d v="2023-10-31T21:45:00"/>
    <n v="87"/>
    <s v="Résolu"/>
    <x v="2"/>
    <s v="Non trouvé"/>
    <s v="Non trouvé"/>
    <x v="1"/>
    <s v="Non trouvé"/>
    <s v="Antenne inconnue"/>
    <n v="2"/>
    <n v="94"/>
  </r>
  <r>
    <s v="ANT-0865"/>
    <d v="2023-10-05T23:40:00"/>
    <n v="76"/>
    <s v="Non Résolu"/>
    <x v="24"/>
    <n v="-4.869434"/>
    <n v="22.326522000000001"/>
    <x v="2"/>
    <s v="Ericsson"/>
    <s v="OK"/>
    <n v="2"/>
    <n v="92"/>
  </r>
  <r>
    <s v="ANT-0865"/>
    <d v="2023-10-11T16:33:00"/>
    <n v="16"/>
    <s v="Résolu"/>
    <x v="24"/>
    <n v="-4.869434"/>
    <n v="22.326522000000001"/>
    <x v="2"/>
    <s v="Ericsson"/>
    <s v="OK"/>
    <n v="2"/>
    <n v="92"/>
  </r>
  <r>
    <s v="ANT-0866"/>
    <d v="2023-10-26T13:17:00"/>
    <n v="120"/>
    <s v="Résolu"/>
    <x v="2"/>
    <s v="Non trouvé"/>
    <s v="Non trouvé"/>
    <x v="1"/>
    <s v="Non trouvé"/>
    <s v="Antenne inconnue"/>
    <n v="1"/>
    <n v="120"/>
  </r>
  <r>
    <s v="ANT-0867"/>
    <d v="2023-10-24T10:51:00"/>
    <n v="117"/>
    <s v="En Cours"/>
    <x v="2"/>
    <s v="Non trouvé"/>
    <s v="Non trouvé"/>
    <x v="1"/>
    <s v="Non trouvé"/>
    <s v="Antenne inconnue"/>
    <n v="3"/>
    <n v="267"/>
  </r>
  <r>
    <s v="ANT-0867"/>
    <d v="2023-10-12T09:11:00"/>
    <n v="105"/>
    <s v="Résolu"/>
    <x v="2"/>
    <s v="Non trouvé"/>
    <s v="Non trouvé"/>
    <x v="1"/>
    <s v="Non trouvé"/>
    <s v="Antenne inconnue"/>
    <n v="3"/>
    <n v="267"/>
  </r>
  <r>
    <s v="ANT-0867"/>
    <d v="2023-10-20T22:48:00"/>
    <n v="45"/>
    <s v="En Cours"/>
    <x v="2"/>
    <s v="Non trouvé"/>
    <s v="Non trouvé"/>
    <x v="1"/>
    <s v="Non trouvé"/>
    <s v="Antenne inconnue"/>
    <n v="3"/>
    <n v="267"/>
  </r>
  <r>
    <s v="ANT-0868"/>
    <d v="2023-10-22T22:22:00"/>
    <n v="26"/>
    <s v="Résolu"/>
    <x v="2"/>
    <s v="Non trouvé"/>
    <s v="Non trouvé"/>
    <x v="1"/>
    <s v="Non trouvé"/>
    <s v="Antenne inconnue"/>
    <n v="1"/>
    <n v="26"/>
  </r>
  <r>
    <s v="ANT-0869"/>
    <d v="2023-10-11T08:48:00"/>
    <n v="67"/>
    <s v="Non Résolu"/>
    <x v="23"/>
    <n v="-8.0301989999999996"/>
    <n v="24.122495000000001"/>
    <x v="2"/>
    <s v="ZTE"/>
    <s v="OK"/>
    <n v="3"/>
    <n v="182"/>
  </r>
  <r>
    <s v="ANT-0869"/>
    <d v="2023-10-29T17:57:00"/>
    <n v="27"/>
    <s v="Résolu"/>
    <x v="23"/>
    <n v="-8.0301989999999996"/>
    <n v="24.122495000000001"/>
    <x v="2"/>
    <s v="ZTE"/>
    <s v="OK"/>
    <n v="3"/>
    <n v="182"/>
  </r>
  <r>
    <s v="ANT-0869"/>
    <d v="2023-10-24T14:40:00"/>
    <n v="88"/>
    <s v="Résolu"/>
    <x v="23"/>
    <n v="-8.0301989999999996"/>
    <n v="24.122495000000001"/>
    <x v="2"/>
    <s v="ZTE"/>
    <s v="OK"/>
    <n v="3"/>
    <n v="182"/>
  </r>
  <r>
    <s v="ANT-0870"/>
    <d v="2023-10-23T14:02:00"/>
    <n v="15"/>
    <s v="En Cours"/>
    <x v="3"/>
    <n v="-9.1215879999999991"/>
    <n v="16.457916999999998"/>
    <x v="0"/>
    <s v="Nokia"/>
    <s v="OK"/>
    <n v="1"/>
    <n v="15"/>
  </r>
  <r>
    <s v="ANT-0872"/>
    <d v="2023-10-31T15:12:00"/>
    <n v="34"/>
    <s v="Résolu"/>
    <x v="17"/>
    <n v="2.486888"/>
    <n v="23.798074"/>
    <x v="2"/>
    <s v="ZTE"/>
    <s v="OK"/>
    <n v="2"/>
    <n v="39"/>
  </r>
  <r>
    <m/>
    <n v="45200.875"/>
    <n v="37"/>
    <s v="Résolu"/>
    <x v="2"/>
    <s v="Non trouvé"/>
    <s v="Non trouvé"/>
    <x v="1"/>
    <s v="Non trouvé"/>
    <s v="Antenne inconnue"/>
    <n v="0"/>
    <n v="0"/>
  </r>
  <r>
    <s v="ANT-0872"/>
    <d v="2023-10-27T02:47:00"/>
    <n v="5"/>
    <s v="En Cours"/>
    <x v="17"/>
    <n v="2.486888"/>
    <n v="23.798074"/>
    <x v="2"/>
    <s v="ZTE"/>
    <s v="OK"/>
    <n v="2"/>
    <n v="39"/>
  </r>
  <r>
    <s v="ANT-0873"/>
    <d v="2023-10-27T22:56:00"/>
    <n v="20"/>
    <s v="Non Résolu"/>
    <x v="2"/>
    <s v="Non trouvé"/>
    <s v="Non trouvé"/>
    <x v="1"/>
    <s v="Non trouvé"/>
    <s v="Antenne inconnue"/>
    <n v="1"/>
    <n v="20"/>
  </r>
  <r>
    <s v="ANT-0874"/>
    <d v="2023-10-26T15:51:00"/>
    <n v="14"/>
    <s v="Résolu"/>
    <x v="2"/>
    <s v="Non trouvé"/>
    <s v="Non trouvé"/>
    <x v="1"/>
    <s v="Non trouvé"/>
    <s v="Antenne inconnue"/>
    <n v="2"/>
    <n v="106"/>
  </r>
  <r>
    <s v="ANT-0874"/>
    <d v="2023-10-09T01:08:00"/>
    <n v="92"/>
    <s v="En Cours"/>
    <x v="2"/>
    <s v="Non trouvé"/>
    <s v="Non trouvé"/>
    <x v="1"/>
    <s v="Non trouvé"/>
    <s v="Antenne inconnue"/>
    <n v="2"/>
    <n v="106"/>
  </r>
  <r>
    <s v="ANT-0875"/>
    <d v="2023-10-14T05:03:00"/>
    <n v="28"/>
    <s v="En Cours"/>
    <x v="6"/>
    <n v="-3.1608390000000002"/>
    <n v="13.244503999999999"/>
    <x v="3"/>
    <s v="Huawei"/>
    <s v="OK"/>
    <n v="1"/>
    <n v="28"/>
  </r>
  <r>
    <s v="ANT-0881"/>
    <d v="2023-10-04T05:08:00"/>
    <n v="5"/>
    <s v="Résolu"/>
    <x v="16"/>
    <n v="-6.5332999999999997"/>
    <n v="20.098018"/>
    <x v="0"/>
    <s v="Huawei"/>
    <s v="OK"/>
    <n v="1"/>
    <n v="5"/>
  </r>
  <r>
    <s v="ANT-0882"/>
    <d v="2023-10-25T04:41:00"/>
    <n v="81"/>
    <s v="Non Résolu"/>
    <x v="4"/>
    <n v="-1.500685"/>
    <n v="26.563376000000002"/>
    <x v="2"/>
    <s v="Nokia"/>
    <s v="OK"/>
    <n v="1"/>
    <n v="81"/>
  </r>
  <r>
    <s v="ANT-0883"/>
    <d v="2023-10-18T04:12:00"/>
    <n v="18"/>
    <s v="En Cours"/>
    <x v="22"/>
    <n v="-9.4702129999999993"/>
    <n v="12.826158"/>
    <x v="3"/>
    <s v="Ericsson"/>
    <s v="OK"/>
    <n v="3"/>
    <n v="164"/>
  </r>
  <r>
    <s v="ANT-0883"/>
    <d v="2023-10-04T05:23:00"/>
    <n v="102"/>
    <s v="En Cours"/>
    <x v="22"/>
    <n v="-9.4702129999999993"/>
    <n v="12.826158"/>
    <x v="3"/>
    <s v="Ericsson"/>
    <s v="OK"/>
    <n v="3"/>
    <n v="164"/>
  </r>
  <r>
    <s v="ANT-0883"/>
    <d v="2023-10-19T00:11:00"/>
    <n v="44"/>
    <s v="Non Résolu"/>
    <x v="22"/>
    <n v="-9.4702129999999993"/>
    <n v="12.826158"/>
    <x v="3"/>
    <s v="Ericsson"/>
    <s v="OK"/>
    <n v="3"/>
    <n v="164"/>
  </r>
  <r>
    <s v="ANT-0885"/>
    <d v="2023-10-12T17:36:00"/>
    <n v="108"/>
    <s v="Non Résolu"/>
    <x v="2"/>
    <s v="Non trouvé"/>
    <s v="Non trouvé"/>
    <x v="1"/>
    <s v="Non trouvé"/>
    <s v="Antenne inconnue"/>
    <n v="1"/>
    <n v="108"/>
  </r>
  <r>
    <s v="ANT-0886"/>
    <d v="2023-10-05T04:51:00"/>
    <n v="10"/>
    <s v="Résolu"/>
    <x v="2"/>
    <s v="Non trouvé"/>
    <s v="Non trouvé"/>
    <x v="1"/>
    <s v="Non trouvé"/>
    <s v="Antenne inconnue"/>
    <n v="1"/>
    <n v="10"/>
  </r>
  <r>
    <s v="ANT-0887"/>
    <d v="2023-10-24T15:33:00"/>
    <n v="14"/>
    <s v="En Cours"/>
    <x v="2"/>
    <s v="Non trouvé"/>
    <s v="Non trouvé"/>
    <x v="1"/>
    <s v="Non trouvé"/>
    <s v="Antenne inconnue"/>
    <n v="1"/>
    <n v="14"/>
  </r>
  <r>
    <s v="ANT-0888"/>
    <d v="2023-10-06T14:04:00"/>
    <n v="89"/>
    <s v="En Cours"/>
    <x v="2"/>
    <s v="Non trouvé"/>
    <s v="Non trouvé"/>
    <x v="1"/>
    <s v="Non trouvé"/>
    <s v="Antenne inconnue"/>
    <n v="1"/>
    <n v="89"/>
  </r>
  <r>
    <s v="ANT-0891"/>
    <d v="2023-10-25T16:24:00"/>
    <n v="71"/>
    <s v="Résolu"/>
    <x v="2"/>
    <s v="Non trouvé"/>
    <s v="Non trouvé"/>
    <x v="1"/>
    <s v="Non trouvé"/>
    <s v="Antenne inconnue"/>
    <n v="2"/>
    <n v="125"/>
  </r>
  <r>
    <s v="ANT-0891"/>
    <d v="2023-10-18T00:40:00"/>
    <n v="54"/>
    <s v="Non Résolu"/>
    <x v="2"/>
    <s v="Non trouvé"/>
    <s v="Non trouvé"/>
    <x v="1"/>
    <s v="Non trouvé"/>
    <s v="Antenne inconnue"/>
    <n v="2"/>
    <n v="125"/>
  </r>
  <r>
    <s v="ANT-0892"/>
    <d v="2023-10-14T10:17:00"/>
    <n v="101"/>
    <s v="Non Résolu"/>
    <x v="2"/>
    <s v="Non trouvé"/>
    <s v="Non trouvé"/>
    <x v="1"/>
    <s v="Non trouvé"/>
    <s v="Antenne inconnue"/>
    <n v="2"/>
    <n v="111"/>
  </r>
  <r>
    <s v="ANT-0892"/>
    <s v="22/10/2023 02:17"/>
    <n v="10"/>
    <s v="Non Résolu"/>
    <x v="2"/>
    <s v="Non trouvé"/>
    <s v="Non trouvé"/>
    <x v="1"/>
    <s v="Non trouvé"/>
    <s v="Antenne inconnue"/>
    <n v="2"/>
    <n v="111"/>
  </r>
  <r>
    <s v="ANT-0894"/>
    <d v="2023-10-05T11:19:00"/>
    <n v="10"/>
    <s v="Résolu"/>
    <x v="16"/>
    <n v="4.9455159999999996"/>
    <n v="23.647746000000001"/>
    <x v="2"/>
    <s v="Huawei"/>
    <s v="OK"/>
    <n v="1"/>
    <n v="10"/>
  </r>
  <r>
    <s v="ANT-0896"/>
    <d v="2023-10-21T10:52:00"/>
    <n v="35"/>
    <s v="Non Résolu"/>
    <x v="2"/>
    <s v="Non trouvé"/>
    <s v="Non trouvé"/>
    <x v="1"/>
    <s v="Non trouvé"/>
    <s v="Antenne inconnue"/>
    <n v="2"/>
    <n v="61"/>
  </r>
  <r>
    <s v="ANT-0896"/>
    <d v="2023-10-27T21:45:00"/>
    <n v="26"/>
    <s v="Non Résolu"/>
    <x v="2"/>
    <s v="Non trouvé"/>
    <s v="Non trouvé"/>
    <x v="1"/>
    <s v="Non trouvé"/>
    <s v="Antenne inconnue"/>
    <n v="2"/>
    <n v="61"/>
  </r>
  <r>
    <s v="ANT-0897"/>
    <d v="2023-10-18T02:37:00"/>
    <n v="59"/>
    <s v="Résolu"/>
    <x v="2"/>
    <s v="Non trouvé"/>
    <s v="Non trouvé"/>
    <x v="1"/>
    <s v="Non trouvé"/>
    <s v="Antenne inconnue"/>
    <n v="3"/>
    <n v="161"/>
  </r>
  <r>
    <s v="ANT-0897"/>
    <d v="2023-10-23T18:31:00"/>
    <n v="53"/>
    <s v="En Cours"/>
    <x v="2"/>
    <s v="Non trouvé"/>
    <s v="Non trouvé"/>
    <x v="1"/>
    <s v="Non trouvé"/>
    <s v="Antenne inconnue"/>
    <n v="3"/>
    <n v="161"/>
  </r>
  <r>
    <s v="ANT-0897"/>
    <d v="2023-10-18T12:13:00"/>
    <n v="49"/>
    <s v="Résolu"/>
    <x v="2"/>
    <s v="Non trouvé"/>
    <s v="Non trouvé"/>
    <x v="1"/>
    <s v="Non trouvé"/>
    <s v="Antenne inconnue"/>
    <n v="3"/>
    <n v="161"/>
  </r>
  <r>
    <s v="ANT-0898"/>
    <d v="2023-10-05T07:33:00"/>
    <n v="120"/>
    <s v="Non Résolu"/>
    <x v="2"/>
    <s v="Non trouvé"/>
    <s v="Non trouvé"/>
    <x v="1"/>
    <s v="Non trouvé"/>
    <s v="Antenne inconnue"/>
    <n v="1"/>
    <n v="120"/>
  </r>
  <r>
    <s v="ANT-0900"/>
    <d v="2023-10-11T01:14:00"/>
    <n v="73"/>
    <s v="Résolu"/>
    <x v="25"/>
    <n v="-10.776204"/>
    <n v="24.672934000000001"/>
    <x v="0"/>
    <s v="Ericsson"/>
    <s v="OK"/>
    <n v="3"/>
    <n v="176"/>
  </r>
  <r>
    <s v="ANT-0900"/>
    <d v="2023-10-29T20:29:00"/>
    <n v="42"/>
    <s v="Résolu"/>
    <x v="25"/>
    <n v="-10.776204"/>
    <n v="24.672934000000001"/>
    <x v="0"/>
    <s v="Ericsson"/>
    <s v="OK"/>
    <n v="3"/>
    <n v="176"/>
  </r>
  <r>
    <s v="ANT-0900"/>
    <d v="2023-10-15T10:26:00"/>
    <n v="61"/>
    <s v="En Cours"/>
    <x v="25"/>
    <n v="-10.776204"/>
    <n v="24.672934000000001"/>
    <x v="0"/>
    <s v="Ericsson"/>
    <s v="OK"/>
    <n v="3"/>
    <n v="176"/>
  </r>
  <r>
    <s v="ANT-0901"/>
    <d v="2023-10-09T04:40:00"/>
    <n v="98"/>
    <s v="Non Résolu"/>
    <x v="2"/>
    <s v="Non trouvé"/>
    <s v="Non trouvé"/>
    <x v="1"/>
    <s v="Non trouvé"/>
    <s v="Antenne inconnue"/>
    <n v="1"/>
    <n v="98"/>
  </r>
  <r>
    <s v="ANT-0902"/>
    <d v="2023-10-22T21:51:00"/>
    <n v="60"/>
    <s v="Non Résolu"/>
    <x v="15"/>
    <n v="-10.414493"/>
    <n v="12.333356999999999"/>
    <x v="3"/>
    <s v="Ericsson"/>
    <s v="OK"/>
    <n v="4"/>
    <n v="273"/>
  </r>
  <r>
    <s v="ANT-0902"/>
    <d v="2023-10-05T19:34:00"/>
    <n v="71"/>
    <s v="En Cours"/>
    <x v="15"/>
    <n v="-10.414493"/>
    <n v="12.333356999999999"/>
    <x v="3"/>
    <s v="Ericsson"/>
    <s v="OK"/>
    <n v="4"/>
    <n v="273"/>
  </r>
  <r>
    <s v="ANT-0902"/>
    <d v="2023-10-10T19:47:00"/>
    <n v="93"/>
    <s v="En Cours"/>
    <x v="15"/>
    <n v="-10.414493"/>
    <n v="12.333356999999999"/>
    <x v="3"/>
    <s v="Ericsson"/>
    <s v="OK"/>
    <n v="4"/>
    <n v="273"/>
  </r>
  <r>
    <s v="ANT-0902"/>
    <d v="2023-10-04T06:01:00"/>
    <n v="49"/>
    <s v="Non Résolu"/>
    <x v="15"/>
    <n v="-10.414493"/>
    <n v="12.333356999999999"/>
    <x v="3"/>
    <s v="Ericsson"/>
    <s v="OK"/>
    <n v="4"/>
    <n v="273"/>
  </r>
  <r>
    <s v="ANT-0903"/>
    <d v="2023-10-12T06:58:00"/>
    <n v="73"/>
    <s v="En Cours"/>
    <x v="2"/>
    <s v="Non trouvé"/>
    <s v="Non trouvé"/>
    <x v="1"/>
    <s v="Non trouvé"/>
    <s v="Antenne inconnue"/>
    <n v="2"/>
    <n v="147"/>
  </r>
  <r>
    <s v="ANT-0903"/>
    <d v="2023-10-11T05:56:00"/>
    <n v="74"/>
    <s v="Résolu"/>
    <x v="2"/>
    <s v="Non trouvé"/>
    <s v="Non trouvé"/>
    <x v="1"/>
    <s v="Non trouvé"/>
    <s v="Antenne inconnue"/>
    <n v="2"/>
    <n v="147"/>
  </r>
  <r>
    <s v="ANT-0905"/>
    <d v="2023-10-28T05:04:00"/>
    <n v="38"/>
    <s v="Résolu"/>
    <x v="2"/>
    <s v="Non trouvé"/>
    <s v="Non trouvé"/>
    <x v="1"/>
    <s v="Non trouvé"/>
    <s v="Antenne inconnue"/>
    <n v="1"/>
    <n v="38"/>
  </r>
  <r>
    <s v="ANT-0911"/>
    <d v="2023-10-27T03:55:00"/>
    <n v="36"/>
    <s v="Non Résolu"/>
    <x v="2"/>
    <s v="Non trouvé"/>
    <s v="Non trouvé"/>
    <x v="1"/>
    <s v="Non trouvé"/>
    <s v="Antenne inconnue"/>
    <n v="1"/>
    <n v="36"/>
  </r>
  <r>
    <s v="ANT-0912"/>
    <d v="2023-10-26T18:43:00"/>
    <n v="69"/>
    <s v="Non Résolu"/>
    <x v="2"/>
    <s v="Non trouvé"/>
    <s v="Non trouvé"/>
    <x v="1"/>
    <s v="Non trouvé"/>
    <s v="Antenne inconnue"/>
    <n v="1"/>
    <n v="69"/>
  </r>
  <r>
    <s v="ANT-0913"/>
    <d v="2023-10-11T13:38:00"/>
    <n v="96"/>
    <s v="Résolu"/>
    <x v="11"/>
    <n v="-5.4126279999999998"/>
    <n v="25.498235999999999"/>
    <x v="2"/>
    <s v="ZTE"/>
    <s v="OK"/>
    <n v="1"/>
    <n v="96"/>
  </r>
  <r>
    <s v="ANT-0914"/>
    <d v="2023-10-30T17:43:00"/>
    <n v="36"/>
    <s v="Non Résolu"/>
    <x v="12"/>
    <n v="-11.218453999999999"/>
    <n v="28.230025000000001"/>
    <x v="2"/>
    <s v="ZTE"/>
    <s v="OK"/>
    <n v="2"/>
    <n v="155"/>
  </r>
  <r>
    <s v="ANT-0914"/>
    <d v="2023-10-15T16:25:00"/>
    <n v="119"/>
    <s v="En Cours"/>
    <x v="12"/>
    <n v="-11.218453999999999"/>
    <n v="28.230025000000001"/>
    <x v="2"/>
    <s v="ZTE"/>
    <s v="OK"/>
    <n v="2"/>
    <n v="155"/>
  </r>
  <r>
    <s v="ANT-0918"/>
    <d v="2023-10-17T11:03:00"/>
    <n v="36"/>
    <s v="En Cours"/>
    <x v="16"/>
    <n v="-11.231472"/>
    <n v="25.388874000000001"/>
    <x v="0"/>
    <s v="Huawei"/>
    <s v="OK"/>
    <n v="1"/>
    <n v="36"/>
  </r>
  <r>
    <s v="ANT-0919"/>
    <d v="2023-10-10T16:19:00"/>
    <n v="115"/>
    <s v="En Cours"/>
    <x v="2"/>
    <s v="Non trouvé"/>
    <s v="Non trouvé"/>
    <x v="1"/>
    <s v="Non trouvé"/>
    <s v="Antenne inconnue"/>
    <n v="2"/>
    <n v="213"/>
  </r>
  <r>
    <s v="ANT-0919"/>
    <d v="2023-10-29T00:21:00"/>
    <n v="98"/>
    <s v="Résolu"/>
    <x v="2"/>
    <s v="Non trouvé"/>
    <s v="Non trouvé"/>
    <x v="1"/>
    <s v="Non trouvé"/>
    <s v="Antenne inconnue"/>
    <n v="2"/>
    <n v="213"/>
  </r>
  <r>
    <s v="ANT-0920"/>
    <d v="2023-10-06T08:05:00"/>
    <n v="119"/>
    <s v="En Cours"/>
    <x v="2"/>
    <s v="Non trouvé"/>
    <s v="Non trouvé"/>
    <x v="1"/>
    <s v="Non trouvé"/>
    <s v="Antenne inconnue"/>
    <n v="1"/>
    <n v="119"/>
  </r>
  <r>
    <s v="ANT-0921"/>
    <d v="2023-10-04T15:39:00"/>
    <n v="65"/>
    <s v="En Cours"/>
    <x v="7"/>
    <n v="2.016505"/>
    <n v="14.294164"/>
    <x v="2"/>
    <s v="Huawei"/>
    <s v="OK"/>
    <n v="2"/>
    <n v="138"/>
  </r>
  <r>
    <s v="ANT-0921"/>
    <d v="2023-10-08T22:56:00"/>
    <n v="73"/>
    <s v="Non Résolu"/>
    <x v="7"/>
    <n v="2.016505"/>
    <n v="14.294164"/>
    <x v="2"/>
    <s v="Huawei"/>
    <s v="OK"/>
    <n v="2"/>
    <n v="138"/>
  </r>
  <r>
    <s v="ANT-0922"/>
    <d v="2023-10-10T00:24:00"/>
    <n v="43"/>
    <s v="Résolu"/>
    <x v="2"/>
    <s v="Non trouvé"/>
    <s v="Non trouvé"/>
    <x v="1"/>
    <s v="Non trouvé"/>
    <s v="Antenne inconnue"/>
    <n v="1"/>
    <n v="43"/>
  </r>
  <r>
    <s v="ANT-0923"/>
    <d v="2023-10-22T09:19:00"/>
    <n v="64"/>
    <s v="Non Résolu"/>
    <x v="5"/>
    <n v="-12.070842000000001"/>
    <n v="14.757847"/>
    <x v="0"/>
    <s v="ZTE"/>
    <s v="OK"/>
    <n v="1"/>
    <n v="64"/>
  </r>
  <r>
    <s v="ANT-0924"/>
    <d v="2023-10-14T13:52:00"/>
    <n v="93"/>
    <s v="Non Résolu"/>
    <x v="2"/>
    <s v="Non trouvé"/>
    <s v="Non trouvé"/>
    <x v="1"/>
    <s v="Non trouvé"/>
    <s v="Antenne inconnue"/>
    <n v="1"/>
    <n v="93"/>
  </r>
  <r>
    <s v="ANT-0925"/>
    <d v="2023-10-06T19:56:00"/>
    <n v="52"/>
    <s v="Résolu"/>
    <x v="24"/>
    <n v="-2.2199559999999998"/>
    <n v="22.614449"/>
    <x v="3"/>
    <s v="Nokia"/>
    <s v="OK"/>
    <n v="1"/>
    <n v="52"/>
  </r>
  <r>
    <s v="ANT-0926"/>
    <d v="2023-10-28T07:25:00"/>
    <n v="118"/>
    <s v="En Cours"/>
    <x v="18"/>
    <n v="-10.914952"/>
    <n v="26.409648000000001"/>
    <x v="0"/>
    <s v="Huawei"/>
    <s v="OK"/>
    <n v="3"/>
    <n v="289"/>
  </r>
  <r>
    <s v="ANT-0926"/>
    <d v="2023-10-17T18:21:00"/>
    <n v="53"/>
    <s v="Non Résolu"/>
    <x v="18"/>
    <n v="-10.914952"/>
    <n v="26.409648000000001"/>
    <x v="0"/>
    <s v="Huawei"/>
    <s v="OK"/>
    <n v="3"/>
    <n v="289"/>
  </r>
  <r>
    <s v="ANT-0926"/>
    <d v="2023-10-15T18:35:00"/>
    <n v="118"/>
    <s v="Résolu"/>
    <x v="18"/>
    <n v="-10.914952"/>
    <n v="26.409648000000001"/>
    <x v="0"/>
    <s v="Huawei"/>
    <s v="OK"/>
    <n v="3"/>
    <n v="289"/>
  </r>
  <r>
    <s v="ANT-0927"/>
    <d v="2023-10-26T15:33:00"/>
    <n v="49"/>
    <s v="Résolu"/>
    <x v="2"/>
    <s v="Non trouvé"/>
    <s v="Non trouvé"/>
    <x v="1"/>
    <s v="Non trouvé"/>
    <s v="Antenne inconnue"/>
    <n v="1"/>
    <n v="49"/>
  </r>
  <r>
    <s v="ANT-0928"/>
    <d v="2023-10-22T20:41:00"/>
    <n v="21"/>
    <s v="Non Résolu"/>
    <x v="25"/>
    <n v="-1.864393"/>
    <n v="21.453434000000001"/>
    <x v="2"/>
    <s v="Ericsson"/>
    <s v="OK"/>
    <n v="1"/>
    <n v="21"/>
  </r>
  <r>
    <s v="ANT-0929"/>
    <d v="2023-10-30T10:39:00"/>
    <n v="5"/>
    <s v="Résolu"/>
    <x v="15"/>
    <n v="-6.6803710000000001"/>
    <n v="21.955673000000001"/>
    <x v="0"/>
    <s v="Nokia"/>
    <s v="OK"/>
    <n v="1"/>
    <n v="5"/>
  </r>
  <r>
    <s v="ANT-0930"/>
    <d v="2023-10-04T01:25:00"/>
    <n v="49"/>
    <s v="Résolu"/>
    <x v="2"/>
    <s v="Non trouvé"/>
    <s v="Non trouvé"/>
    <x v="1"/>
    <s v="Non trouvé"/>
    <s v="Antenne inconnue"/>
    <n v="2"/>
    <n v="88"/>
  </r>
  <r>
    <s v="ANT-0930"/>
    <d v="2023-10-25T23:43:00"/>
    <n v="39"/>
    <s v="Résolu"/>
    <x v="2"/>
    <s v="Non trouvé"/>
    <s v="Non trouvé"/>
    <x v="1"/>
    <s v="Non trouvé"/>
    <s v="Antenne inconnue"/>
    <n v="2"/>
    <n v="88"/>
  </r>
  <r>
    <s v="ANT-0932"/>
    <d v="2023-10-18T01:39:00"/>
    <n v="77"/>
    <s v="En Cours"/>
    <x v="2"/>
    <s v="Non trouvé"/>
    <s v="Non trouvé"/>
    <x v="1"/>
    <s v="Non trouvé"/>
    <s v="Antenne inconnue"/>
    <n v="3"/>
    <n v="105"/>
  </r>
  <r>
    <s v="ANT-0932"/>
    <d v="2023-10-31T17:26:00"/>
    <n v="19"/>
    <s v="Non Résolu"/>
    <x v="2"/>
    <s v="Non trouvé"/>
    <s v="Non trouvé"/>
    <x v="1"/>
    <s v="Non trouvé"/>
    <s v="Antenne inconnue"/>
    <n v="3"/>
    <n v="105"/>
  </r>
  <r>
    <s v="ANT-0932"/>
    <d v="2023-10-20T19:02:00"/>
    <n v="9"/>
    <s v="Non Résolu"/>
    <x v="2"/>
    <s v="Non trouvé"/>
    <s v="Non trouvé"/>
    <x v="1"/>
    <s v="Non trouvé"/>
    <s v="Antenne inconnue"/>
    <n v="3"/>
    <n v="105"/>
  </r>
  <r>
    <s v="ANT-0934"/>
    <d v="2023-10-17T18:15:00"/>
    <n v="48"/>
    <s v="Résolu"/>
    <x v="13"/>
    <n v="-11.002602"/>
    <n v="23.918247999999998"/>
    <x v="2"/>
    <s v="ZTE"/>
    <s v="OK"/>
    <n v="1"/>
    <n v="48"/>
  </r>
  <r>
    <s v="ANT-0935"/>
    <d v="2023-10-28T00:48:00"/>
    <n v="68"/>
    <s v="En Cours"/>
    <x v="0"/>
    <n v="-10.375266999999999"/>
    <n v="17.993663000000002"/>
    <x v="2"/>
    <s v="ZTE"/>
    <s v="OK"/>
    <n v="1"/>
    <n v="68"/>
  </r>
  <r>
    <s v="ANT-0936"/>
    <d v="2023-10-22T07:31:00"/>
    <n v="34"/>
    <s v="Non Résolu"/>
    <x v="10"/>
    <n v="-10.165072"/>
    <n v="29.428024000000001"/>
    <x v="2"/>
    <s v="Huawei"/>
    <s v="OK"/>
    <n v="3"/>
    <n v="160"/>
  </r>
  <r>
    <s v="ANT-0936"/>
    <d v="2023-10-26T14:57:00"/>
    <n v="86"/>
    <s v="Résolu"/>
    <x v="10"/>
    <n v="-10.165072"/>
    <n v="29.428024000000001"/>
    <x v="2"/>
    <s v="Huawei"/>
    <s v="OK"/>
    <n v="3"/>
    <n v="160"/>
  </r>
  <r>
    <s v="ANT-0936"/>
    <d v="2023-10-01T01:53:00"/>
    <n v="40"/>
    <s v="Résolu"/>
    <x v="10"/>
    <n v="-10.165072"/>
    <n v="29.428024000000001"/>
    <x v="2"/>
    <s v="Huawei"/>
    <s v="OK"/>
    <n v="3"/>
    <n v="160"/>
  </r>
  <r>
    <s v="ANT-0941"/>
    <d v="2023-10-12T05:23:00"/>
    <n v="37"/>
    <s v="Résolu"/>
    <x v="25"/>
    <n v="-2.4662510000000002"/>
    <n v="18.007998000000001"/>
    <x v="2"/>
    <s v="Ericsson"/>
    <s v="OK"/>
    <n v="2"/>
    <n v="51"/>
  </r>
  <r>
    <s v="ANT-0941"/>
    <d v="2023-10-22T17:13:00"/>
    <n v="14"/>
    <s v="Résolu"/>
    <x v="25"/>
    <n v="-2.4662510000000002"/>
    <n v="18.007998000000001"/>
    <x v="2"/>
    <s v="Ericsson"/>
    <s v="OK"/>
    <n v="2"/>
    <n v="51"/>
  </r>
  <r>
    <s v="ANT-0942"/>
    <d v="2023-10-23T09:58:00"/>
    <n v="73"/>
    <s v="Résolu"/>
    <x v="0"/>
    <n v="-4.8128659999999996"/>
    <n v="18.559304999999998"/>
    <x v="2"/>
    <s v="ZTE"/>
    <s v="OK"/>
    <n v="1"/>
    <n v="73"/>
  </r>
  <r>
    <s v="ANT-0944"/>
    <d v="2023-10-24T08:46:00"/>
    <n v="104"/>
    <s v="Non Résolu"/>
    <x v="2"/>
    <s v="Non trouvé"/>
    <s v="Non trouvé"/>
    <x v="1"/>
    <s v="Non trouvé"/>
    <s v="Antenne inconnue"/>
    <n v="1"/>
    <n v="104"/>
  </r>
  <r>
    <s v="ANT-0945"/>
    <d v="2023-10-04T12:17:00"/>
    <n v="64"/>
    <s v="En Cours"/>
    <x v="5"/>
    <n v="0.23583499999999999"/>
    <n v="24.889558999999998"/>
    <x v="3"/>
    <s v="ZTE"/>
    <s v="OK"/>
    <n v="1"/>
    <n v="64"/>
  </r>
  <r>
    <s v="ANT-0950"/>
    <d v="2023-10-21T04:58:00"/>
    <n v="25"/>
    <s v="Résolu"/>
    <x v="3"/>
    <n v="3.3289240000000002"/>
    <n v="24.412261000000001"/>
    <x v="2"/>
    <s v="Nokia"/>
    <s v="OK"/>
    <n v="1"/>
    <n v="25"/>
  </r>
  <r>
    <s v="ANT-0951"/>
    <d v="2023-10-20T22:18:00"/>
    <n v="115"/>
    <s v="Résolu"/>
    <x v="2"/>
    <s v="Non trouvé"/>
    <s v="Non trouvé"/>
    <x v="1"/>
    <s v="Non trouvé"/>
    <s v="Antenne inconnue"/>
    <n v="1"/>
    <n v="115"/>
  </r>
  <r>
    <s v="ANT-0952"/>
    <d v="2023-10-09T20:44:00"/>
    <n v="92"/>
    <s v="Résolu"/>
    <x v="21"/>
    <n v="-0.77432100000000004"/>
    <n v="18.628658999999999"/>
    <x v="0"/>
    <s v="Huawei"/>
    <s v="OK"/>
    <n v="2"/>
    <n v="134"/>
  </r>
  <r>
    <s v="ANT-0952"/>
    <d v="2023-10-19T15:10:00"/>
    <n v="42"/>
    <s v="Non Résolu"/>
    <x v="21"/>
    <n v="-0.77432100000000004"/>
    <n v="18.628658999999999"/>
    <x v="0"/>
    <s v="Huawei"/>
    <s v="OK"/>
    <n v="2"/>
    <n v="134"/>
  </r>
  <r>
    <s v="ANT-0955"/>
    <d v="2023-10-21T08:50:00"/>
    <n v="47"/>
    <s v="En Cours"/>
    <x v="2"/>
    <s v="Non trouvé"/>
    <s v="Non trouvé"/>
    <x v="1"/>
    <s v="Non trouvé"/>
    <s v="Antenne inconnue"/>
    <n v="3"/>
    <n v="214"/>
  </r>
  <r>
    <s v="ANT-0955"/>
    <d v="2023-10-11T22:07:00"/>
    <n v="86"/>
    <s v="Non Résolu"/>
    <x v="2"/>
    <s v="Non trouvé"/>
    <s v="Non trouvé"/>
    <x v="1"/>
    <s v="Non trouvé"/>
    <s v="Antenne inconnue"/>
    <n v="3"/>
    <n v="214"/>
  </r>
  <r>
    <s v="ANT-0955"/>
    <d v="2023-10-15T22:21:00"/>
    <n v="81"/>
    <s v="Non Résolu"/>
    <x v="2"/>
    <s v="Non trouvé"/>
    <s v="Non trouvé"/>
    <x v="1"/>
    <s v="Non trouvé"/>
    <s v="Antenne inconnue"/>
    <n v="3"/>
    <n v="214"/>
  </r>
  <r>
    <s v="ANT-0957"/>
    <d v="2023-10-30T16:05:00"/>
    <n v="41"/>
    <s v="En Cours"/>
    <x v="6"/>
    <n v="-7.1785899999999998"/>
    <n v="24.4404"/>
    <x v="0"/>
    <s v="Nokia"/>
    <s v="OK"/>
    <n v="3"/>
    <n v="114"/>
  </r>
  <r>
    <s v="ANT-0957"/>
    <d v="2023-10-17T11:08:00"/>
    <n v="58"/>
    <s v="Résolu"/>
    <x v="6"/>
    <n v="-7.1785899999999998"/>
    <n v="24.4404"/>
    <x v="0"/>
    <s v="Nokia"/>
    <s v="OK"/>
    <n v="3"/>
    <n v="114"/>
  </r>
  <r>
    <s v="ANT-0957"/>
    <d v="2023-10-13T02:46:00"/>
    <n v="15"/>
    <s v="Non Résolu"/>
    <x v="6"/>
    <n v="-7.1785899999999998"/>
    <n v="24.4404"/>
    <x v="0"/>
    <s v="Nokia"/>
    <s v="OK"/>
    <n v="3"/>
    <n v="114"/>
  </r>
  <r>
    <s v="ANT-0958"/>
    <d v="2023-10-02T18:44:00"/>
    <n v="15"/>
    <s v="Résolu"/>
    <x v="2"/>
    <s v="Non trouvé"/>
    <s v="Non trouvé"/>
    <x v="1"/>
    <s v="Non trouvé"/>
    <s v="Antenne inconnue"/>
    <n v="1"/>
    <n v="15"/>
  </r>
  <r>
    <s v="ANT-0959"/>
    <d v="2023-10-26T01:18:00"/>
    <n v="38"/>
    <s v="En Cours"/>
    <x v="23"/>
    <n v="-4.2184999999999997"/>
    <n v="23.077093999999999"/>
    <x v="0"/>
    <s v="Ericsson"/>
    <s v="OK"/>
    <n v="1"/>
    <n v="38"/>
  </r>
  <r>
    <s v="ANT-0960"/>
    <d v="2023-10-04T21:13:00"/>
    <n v="116"/>
    <s v="Non Résolu"/>
    <x v="2"/>
    <s v="Non trouvé"/>
    <s v="Non trouvé"/>
    <x v="1"/>
    <s v="Non trouvé"/>
    <s v="Antenne inconnue"/>
    <n v="2"/>
    <n v="146"/>
  </r>
  <r>
    <s v="ANT-0960"/>
    <d v="2023-10-10T22:35:00"/>
    <n v="30"/>
    <s v="En Cours"/>
    <x v="2"/>
    <s v="Non trouvé"/>
    <s v="Non trouvé"/>
    <x v="1"/>
    <s v="Non trouvé"/>
    <s v="Antenne inconnue"/>
    <n v="2"/>
    <n v="146"/>
  </r>
  <r>
    <s v="ANT-0963"/>
    <d v="2023-10-09T12:43:00"/>
    <n v="72"/>
    <s v="En Cours"/>
    <x v="2"/>
    <s v="Non trouvé"/>
    <s v="Non trouvé"/>
    <x v="1"/>
    <s v="Non trouvé"/>
    <s v="Antenne inconnue"/>
    <n v="1"/>
    <n v="72"/>
  </r>
  <r>
    <s v="ANT-0964"/>
    <d v="2023-10-31T15:20:00"/>
    <n v="77"/>
    <s v="Non Résolu"/>
    <x v="11"/>
    <n v="-0.57104900000000003"/>
    <n v="15.317663"/>
    <x v="2"/>
    <s v="Nokia"/>
    <s v="OK"/>
    <n v="1"/>
    <n v="77"/>
  </r>
  <r>
    <s v="ANT-0966"/>
    <d v="2023-10-12T08:06:00"/>
    <n v="88"/>
    <s v="Non Résolu"/>
    <x v="13"/>
    <n v="-12.364127999999999"/>
    <n v="19.576150999999999"/>
    <x v="3"/>
    <s v="Nokia"/>
    <s v="OK"/>
    <n v="1"/>
    <n v="88"/>
  </r>
  <r>
    <s v="ANT-0967"/>
    <d v="2023-10-06T02:28:00"/>
    <n v="84"/>
    <s v="En Cours"/>
    <x v="2"/>
    <s v="Non trouvé"/>
    <s v="Non trouvé"/>
    <x v="1"/>
    <s v="Non trouvé"/>
    <s v="Antenne inconnue"/>
    <n v="1"/>
    <n v="84"/>
  </r>
  <r>
    <s v="ANT-0968"/>
    <d v="2023-10-02T16:05:00"/>
    <n v="22"/>
    <s v="En Cours"/>
    <x v="2"/>
    <s v="Non trouvé"/>
    <s v="Non trouvé"/>
    <x v="1"/>
    <s v="Non trouvé"/>
    <s v="Antenne inconnue"/>
    <n v="2"/>
    <n v="124"/>
  </r>
  <r>
    <s v="ANT-0968"/>
    <d v="2023-10-20T23:57:00"/>
    <n v="102"/>
    <s v="Non Résolu"/>
    <x v="2"/>
    <s v="Non trouvé"/>
    <s v="Non trouvé"/>
    <x v="1"/>
    <s v="Non trouvé"/>
    <s v="Antenne inconnue"/>
    <n v="2"/>
    <n v="124"/>
  </r>
  <r>
    <s v="ANT-0969"/>
    <d v="2023-10-26T04:15:00"/>
    <n v="36"/>
    <s v="En Cours"/>
    <x v="2"/>
    <s v="Non trouvé"/>
    <s v="Non trouvé"/>
    <x v="1"/>
    <s v="Non trouvé"/>
    <s v="Antenne inconnue"/>
    <n v="1"/>
    <n v="36"/>
  </r>
  <r>
    <s v="ANT-0970"/>
    <d v="2023-10-08T23:35:00"/>
    <n v="25"/>
    <s v="En Cours"/>
    <x v="16"/>
    <n v="-11.866133"/>
    <n v="27.068932"/>
    <x v="3"/>
    <s v="Huawei"/>
    <s v="OK"/>
    <n v="2"/>
    <n v="142"/>
  </r>
  <r>
    <s v="ANT-0970"/>
    <d v="2023-10-16T16:09:00"/>
    <n v="117"/>
    <s v="En Cours"/>
    <x v="16"/>
    <n v="-11.866133"/>
    <n v="27.068932"/>
    <x v="3"/>
    <s v="Huawei"/>
    <s v="OK"/>
    <n v="2"/>
    <n v="142"/>
  </r>
  <r>
    <s v="ANT-0971"/>
    <d v="2023-10-02T08:24:00"/>
    <n v="73"/>
    <s v="Résolu"/>
    <x v="2"/>
    <s v="Non trouvé"/>
    <s v="Non trouvé"/>
    <x v="1"/>
    <s v="Non trouvé"/>
    <s v="Antenne inconnue"/>
    <n v="4"/>
    <n v="347"/>
  </r>
  <r>
    <s v="ANT-0971"/>
    <d v="2023-10-18T19:39:00"/>
    <n v="100"/>
    <s v="Résolu"/>
    <x v="2"/>
    <s v="Non trouvé"/>
    <s v="Non trouvé"/>
    <x v="1"/>
    <s v="Non trouvé"/>
    <s v="Antenne inconnue"/>
    <n v="4"/>
    <n v="347"/>
  </r>
  <r>
    <s v="ANT-0971"/>
    <d v="2023-10-18T16:50:00"/>
    <n v="71"/>
    <s v="Non Résolu"/>
    <x v="2"/>
    <s v="Non trouvé"/>
    <s v="Non trouvé"/>
    <x v="1"/>
    <s v="Non trouvé"/>
    <s v="Antenne inconnue"/>
    <n v="4"/>
    <n v="347"/>
  </r>
  <r>
    <s v="ANT-0971"/>
    <d v="2023-10-03T06:57:00"/>
    <n v="103"/>
    <s v="Non Résolu"/>
    <x v="2"/>
    <s v="Non trouvé"/>
    <s v="Non trouvé"/>
    <x v="1"/>
    <s v="Non trouvé"/>
    <s v="Antenne inconnue"/>
    <n v="4"/>
    <n v="347"/>
  </r>
  <r>
    <s v="ANT-0972"/>
    <d v="2023-10-06T18:27:00"/>
    <n v="36"/>
    <s v="Résolu"/>
    <x v="8"/>
    <n v="-0.469945"/>
    <n v="21.038527999999999"/>
    <x v="3"/>
    <s v="Ericsson"/>
    <s v="OK"/>
    <n v="1"/>
    <n v="36"/>
  </r>
  <r>
    <s v="ANT-0973"/>
    <d v="2023-10-04T19:27:00"/>
    <n v="78"/>
    <s v="En Cours"/>
    <x v="2"/>
    <s v="Non trouvé"/>
    <s v="Non trouvé"/>
    <x v="1"/>
    <s v="Non trouvé"/>
    <s v="Antenne inconnue"/>
    <n v="1"/>
    <n v="78"/>
  </r>
  <r>
    <s v="ANT-0974"/>
    <d v="2023-10-14T14:02:00"/>
    <n v="35"/>
    <s v="Non Résolu"/>
    <x v="2"/>
    <s v="Non trouvé"/>
    <s v="Non trouvé"/>
    <x v="1"/>
    <s v="Non trouvé"/>
    <s v="Antenne inconnue"/>
    <n v="1"/>
    <n v="35"/>
  </r>
  <r>
    <s v="ANT-0975"/>
    <d v="2023-10-26T21:19:00"/>
    <n v="87"/>
    <s v="En Cours"/>
    <x v="6"/>
    <n v="-5.8145569999999998"/>
    <n v="21.942052"/>
    <x v="2"/>
    <s v="Huawei"/>
    <s v="OK"/>
    <n v="1"/>
    <n v="87"/>
  </r>
  <r>
    <s v="ANT-0976"/>
    <d v="2023-10-27T21:29:00"/>
    <n v="42"/>
    <s v="Résolu"/>
    <x v="2"/>
    <s v="Non trouvé"/>
    <s v="Non trouvé"/>
    <x v="1"/>
    <s v="Non trouvé"/>
    <s v="Antenne inconnue"/>
    <n v="3"/>
    <n v="210"/>
  </r>
  <r>
    <s v="ANT-0976"/>
    <d v="2023-10-24T12:20:00"/>
    <n v="109"/>
    <s v="Non Résolu"/>
    <x v="2"/>
    <s v="Non trouvé"/>
    <s v="Non trouvé"/>
    <x v="1"/>
    <s v="Non trouvé"/>
    <s v="Antenne inconnue"/>
    <n v="3"/>
    <n v="210"/>
  </r>
  <r>
    <s v="ANT-0976"/>
    <d v="2023-10-09T11:52:00"/>
    <n v="59"/>
    <s v="Non Résolu"/>
    <x v="2"/>
    <s v="Non trouvé"/>
    <s v="Non trouvé"/>
    <x v="1"/>
    <s v="Non trouvé"/>
    <s v="Antenne inconnue"/>
    <n v="3"/>
    <n v="210"/>
  </r>
  <r>
    <s v="ANT-0977"/>
    <d v="2023-10-05T23:06:00"/>
    <n v="100"/>
    <s v="Non Résolu"/>
    <x v="2"/>
    <s v="Non trouvé"/>
    <s v="Non trouvé"/>
    <x v="1"/>
    <s v="Non trouvé"/>
    <s v="Antenne inconnue"/>
    <n v="2"/>
    <n v="153"/>
  </r>
  <r>
    <s v="ANT-0977"/>
    <d v="2023-10-25T09:05:00"/>
    <n v="53"/>
    <s v="En Cours"/>
    <x v="2"/>
    <s v="Non trouvé"/>
    <s v="Non trouvé"/>
    <x v="1"/>
    <s v="Non trouvé"/>
    <s v="Antenne inconnue"/>
    <n v="2"/>
    <n v="153"/>
  </r>
  <r>
    <s v="ANT-0978"/>
    <d v="2023-10-03T11:42:00"/>
    <n v="22"/>
    <s v="En Cours"/>
    <x v="2"/>
    <s v="Non trouvé"/>
    <s v="Non trouvé"/>
    <x v="1"/>
    <s v="Non trouvé"/>
    <s v="Antenne inconnue"/>
    <n v="1"/>
    <n v="22"/>
  </r>
  <r>
    <s v="ANT-0980"/>
    <d v="2023-10-20T21:47:00"/>
    <n v="92"/>
    <s v="Non Résolu"/>
    <x v="2"/>
    <s v="Non trouvé"/>
    <s v="Non trouvé"/>
    <x v="1"/>
    <s v="Non trouvé"/>
    <s v="Antenne inconnue"/>
    <n v="1"/>
    <n v="92"/>
  </r>
  <r>
    <s v="ANT-0983"/>
    <d v="2023-10-07T11:20:00"/>
    <n v="69"/>
    <s v="En Cours"/>
    <x v="2"/>
    <s v="Non trouvé"/>
    <s v="Non trouvé"/>
    <x v="1"/>
    <s v="Non trouvé"/>
    <s v="Antenne inconnue"/>
    <n v="1"/>
    <n v="69"/>
  </r>
  <r>
    <s v="ANT-0985"/>
    <d v="2023-10-10T21:47:00"/>
    <n v="99"/>
    <s v="En Cours"/>
    <x v="10"/>
    <n v="-7.6757720000000003"/>
    <n v="30.222971000000001"/>
    <x v="2"/>
    <s v="Ericsson"/>
    <s v="OK"/>
    <n v="1"/>
    <n v="99"/>
  </r>
  <r>
    <s v="ANT-0986"/>
    <d v="2023-10-10T12:45:00"/>
    <n v="63"/>
    <s v="Résolu"/>
    <x v="19"/>
    <n v="1.727095"/>
    <n v="22.099651999999999"/>
    <x v="0"/>
    <s v="Huawei"/>
    <s v="OK"/>
    <n v="1"/>
    <n v="63"/>
  </r>
  <r>
    <s v="ANT-0987"/>
    <d v="2023-10-26T05:07:00"/>
    <n v="35"/>
    <s v="En Cours"/>
    <x v="2"/>
    <s v="Non trouvé"/>
    <s v="Non trouvé"/>
    <x v="1"/>
    <s v="Non trouvé"/>
    <s v="Antenne inconnue"/>
    <n v="1"/>
    <n v="35"/>
  </r>
  <r>
    <s v="ANT-0988"/>
    <d v="2023-10-25T18:36:00"/>
    <n v="107"/>
    <s v="En Cours"/>
    <x v="3"/>
    <n v="-5.7200150000000001"/>
    <n v="25.022109"/>
    <x v="2"/>
    <s v="ZTE"/>
    <s v="OK"/>
    <n v="3"/>
    <n v="236"/>
  </r>
  <r>
    <s v="ANT-0988"/>
    <d v="2023-10-17T06:35:00"/>
    <n v="30"/>
    <s v="Non Résolu"/>
    <x v="3"/>
    <n v="-5.7200150000000001"/>
    <n v="25.022109"/>
    <x v="2"/>
    <s v="ZTE"/>
    <s v="OK"/>
    <n v="3"/>
    <n v="236"/>
  </r>
  <r>
    <s v="ANT-0988"/>
    <d v="2023-10-31T12:04:00"/>
    <n v="99"/>
    <s v="Résolu"/>
    <x v="3"/>
    <n v="-5.7200150000000001"/>
    <n v="25.022109"/>
    <x v="2"/>
    <s v="ZTE"/>
    <s v="OK"/>
    <n v="3"/>
    <n v="236"/>
  </r>
  <r>
    <s v="ANT-0989"/>
    <d v="2023-10-02T01:23:00"/>
    <n v="103"/>
    <s v="Résolu"/>
    <x v="7"/>
    <n v="-11.594525000000001"/>
    <n v="29.744895"/>
    <x v="3"/>
    <s v="ZTE"/>
    <s v="OK"/>
    <n v="2"/>
    <n v="168"/>
  </r>
  <r>
    <s v="ANT-0989"/>
    <d v="2023-10-27T15:50:00"/>
    <n v="65"/>
    <s v="Non Résolu"/>
    <x v="7"/>
    <n v="-11.594525000000001"/>
    <n v="29.744895"/>
    <x v="3"/>
    <s v="ZTE"/>
    <s v="OK"/>
    <n v="2"/>
    <n v="168"/>
  </r>
  <r>
    <s v="ANT-0990"/>
    <d v="2023-10-08T03:22:00"/>
    <n v="46"/>
    <s v="Non Résolu"/>
    <x v="8"/>
    <n v="-12.112399999999999"/>
    <n v="15.872226"/>
    <x v="0"/>
    <s v="Nokia"/>
    <s v="OK"/>
    <n v="4"/>
    <n v="237"/>
  </r>
  <r>
    <s v="ANT-0990"/>
    <d v="2023-10-21T20:21:00"/>
    <n v="103"/>
    <s v="Résolu"/>
    <x v="8"/>
    <n v="-12.112399999999999"/>
    <n v="15.872226"/>
    <x v="0"/>
    <s v="Nokia"/>
    <s v="OK"/>
    <n v="4"/>
    <n v="237"/>
  </r>
  <r>
    <s v="ANT-0990"/>
    <d v="2023-10-02T20:49:00"/>
    <n v="18"/>
    <s v="Résolu"/>
    <x v="8"/>
    <n v="-12.112399999999999"/>
    <n v="15.872226"/>
    <x v="0"/>
    <s v="Nokia"/>
    <s v="OK"/>
    <n v="4"/>
    <n v="237"/>
  </r>
  <r>
    <s v="ANT-0990"/>
    <d v="2023-10-16T08:57:00"/>
    <n v="70"/>
    <s v="Non Résolu"/>
    <x v="8"/>
    <n v="-12.112399999999999"/>
    <n v="15.872226"/>
    <x v="0"/>
    <s v="Nokia"/>
    <s v="OK"/>
    <n v="4"/>
    <n v="237"/>
  </r>
  <r>
    <s v="ANT-0991"/>
    <d v="2023-10-10T20:27:00"/>
    <n v="91"/>
    <s v="En Cours"/>
    <x v="26"/>
    <n v="-12.431227"/>
    <n v="18.414290999999999"/>
    <x v="2"/>
    <s v="Huawei"/>
    <s v="OK"/>
    <n v="1"/>
    <n v="91"/>
  </r>
  <r>
    <s v="ANT-0994"/>
    <d v="2023-10-27T02:25:00"/>
    <n v="110"/>
    <s v="Non Résolu"/>
    <x v="12"/>
    <n v="-2.2681789999999999"/>
    <n v="25.699068"/>
    <x v="3"/>
    <s v="ZTE"/>
    <s v="OK"/>
    <n v="2"/>
    <n v="219"/>
  </r>
  <r>
    <s v="ANT-0994"/>
    <d v="2023-10-06T08:17:00"/>
    <n v="109"/>
    <s v="Non Résolu"/>
    <x v="12"/>
    <n v="-2.2681789999999999"/>
    <n v="25.699068"/>
    <x v="3"/>
    <s v="ZTE"/>
    <s v="OK"/>
    <n v="2"/>
    <n v="219"/>
  </r>
  <r>
    <s v="ANT-0995"/>
    <d v="2023-10-14T18:43:00"/>
    <n v="120"/>
    <s v="Résolu"/>
    <x v="9"/>
    <n v="-7.5969509999999998"/>
    <n v="22.153986"/>
    <x v="3"/>
    <s v="Ericsson"/>
    <s v="OK"/>
    <n v="2"/>
    <n v="151"/>
  </r>
  <r>
    <s v="ANT-0995"/>
    <d v="2023-10-23T21:40:00"/>
    <n v="31"/>
    <s v="En Cours"/>
    <x v="9"/>
    <n v="-7.5969509999999998"/>
    <n v="22.153986"/>
    <x v="3"/>
    <s v="Ericsson"/>
    <s v="OK"/>
    <n v="2"/>
    <n v="151"/>
  </r>
  <r>
    <s v="ANT-0996"/>
    <d v="2023-10-17T19:01:00"/>
    <n v="56"/>
    <s v="Résolu"/>
    <x v="2"/>
    <s v="Non trouvé"/>
    <s v="Non trouvé"/>
    <x v="1"/>
    <s v="Non trouvé"/>
    <s v="Antenne inconnue"/>
    <n v="2"/>
    <n v="92"/>
  </r>
  <r>
    <s v="ANT-0996"/>
    <d v="2023-10-04T00:45:00"/>
    <n v="36"/>
    <s v="En Cours"/>
    <x v="2"/>
    <s v="Non trouvé"/>
    <s v="Non trouvé"/>
    <x v="1"/>
    <s v="Non trouvé"/>
    <s v="Antenne inconnue"/>
    <n v="2"/>
    <n v="92"/>
  </r>
  <r>
    <s v="ANT-0997"/>
    <d v="2023-10-17T17:31:00"/>
    <n v="109"/>
    <s v="En Cours"/>
    <x v="17"/>
    <n v="0.639208"/>
    <n v="20.701739"/>
    <x v="0"/>
    <s v="Huawei"/>
    <s v="OK"/>
    <n v="1"/>
    <n v="109"/>
  </r>
  <r>
    <s v="ANT-0998"/>
    <d v="2023-10-25T03:57:00"/>
    <n v="57"/>
    <s v="Non Résolu"/>
    <x v="2"/>
    <s v="Non trouvé"/>
    <s v="Non trouvé"/>
    <x v="1"/>
    <s v="Non trouvé"/>
    <s v="Antenne inconnue"/>
    <n v="1"/>
    <n v="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50">
  <r>
    <s v="CLI-00007"/>
    <x v="0"/>
    <n v="110"/>
    <s v="Bloqué 5Go"/>
    <n v="112"/>
    <n v="98.95"/>
    <n v="5"/>
    <s v="0"/>
    <n v="0"/>
    <n v="1"/>
  </r>
  <r>
    <s v="CLI-00009"/>
    <x v="1"/>
    <n v="105"/>
    <s v="Pro Monde"/>
    <n v="297"/>
    <n v="84.66"/>
    <n v="2"/>
    <s v="45%"/>
    <n v="38.097000000000001"/>
    <n v="1"/>
  </r>
  <r>
    <s v="CLI-00011"/>
    <x v="2"/>
    <n v="49"/>
    <s v="Illimité 50Go"/>
    <n v="86"/>
    <n v="65.400000000000006"/>
    <n v="2"/>
    <s v="0"/>
    <n v="0"/>
    <n v="1"/>
  </r>
  <r>
    <s v="CLI-00012"/>
    <x v="3"/>
    <n v="105"/>
    <s v="Illimité 50Go"/>
    <n v="172"/>
    <n v="15.88"/>
    <n v="5"/>
    <s v="0"/>
    <n v="0"/>
    <n v="1"/>
  </r>
  <r>
    <s v="CLI-00017"/>
    <x v="0"/>
    <n v="29"/>
    <s v="Illimité 50Go"/>
    <n v="124"/>
    <n v="43.83"/>
    <n v="5"/>
    <s v="0"/>
    <n v="0"/>
    <n v="1"/>
  </r>
  <r>
    <s v="CLI-00022"/>
    <x v="4"/>
    <n v="77"/>
    <s v="Premium 5G 150Go"/>
    <n v="488"/>
    <n v="21.17"/>
    <n v="0"/>
    <s v="45%"/>
    <n v="9.5265000000000004"/>
    <n v="1"/>
  </r>
  <r>
    <s v="CLI-00028"/>
    <x v="1"/>
    <n v="18"/>
    <s v="Pro Monde"/>
    <n v="216"/>
    <n v="33.74"/>
    <n v="5"/>
    <s v="10%"/>
    <n v="3.3740000000000006"/>
    <n v="1"/>
  </r>
  <r>
    <s v="CLI-00029"/>
    <x v="5"/>
    <n v="119"/>
    <s v="Pro Monde"/>
    <n v="344"/>
    <n v="10.28"/>
    <n v="0"/>
    <s v="45%"/>
    <n v="4.6259999999999994"/>
    <n v="1"/>
  </r>
  <r>
    <s v="CLI-00033"/>
    <x v="6"/>
    <n v="2"/>
    <s v="Premium 5G 150Go"/>
    <n v="201"/>
    <n v="71.900000000000006"/>
    <n v="2"/>
    <s v="0"/>
    <n v="0"/>
    <n v="1"/>
  </r>
  <r>
    <s v="CLI-00034"/>
    <x v="3"/>
    <n v="25"/>
    <s v="Bloqué 5Go"/>
    <n v="95"/>
    <n v="15.93"/>
    <n v="4"/>
    <s v="0"/>
    <n v="0"/>
    <n v="1"/>
  </r>
  <r>
    <s v="CLI-00037"/>
    <x v="0"/>
    <n v="35"/>
    <s v="Premium 5G 150Go"/>
    <n v="332"/>
    <n v="11.15"/>
    <n v="0"/>
    <s v="45%"/>
    <n v="5.0175000000000001"/>
    <n v="1"/>
  </r>
  <r>
    <s v="CLI-00039"/>
    <x v="7"/>
    <n v="119"/>
    <s v="Pro Monde"/>
    <n v="31"/>
    <n v="21.27"/>
    <n v="5"/>
    <s v="10%"/>
    <n v="2.1270000000000002"/>
    <n v="1"/>
  </r>
  <r>
    <s v="CLI-00041"/>
    <x v="8"/>
    <n v="103"/>
    <s v="Pro Monde"/>
    <n v="105"/>
    <n v="61.52"/>
    <n v="3"/>
    <s v="10%"/>
    <n v="6.152000000000001"/>
    <n v="1"/>
  </r>
  <r>
    <s v="CLI-00043"/>
    <x v="9"/>
    <n v="118"/>
    <s v="Pro Monde"/>
    <n v="132"/>
    <n v="40.880000000000003"/>
    <n v="4"/>
    <s v="10%"/>
    <n v="4.0880000000000001"/>
    <n v="1"/>
  </r>
  <r>
    <s v="CLI-00044"/>
    <x v="10"/>
    <n v="53"/>
    <s v="Illimité 50Go"/>
    <n v="345"/>
    <n v="83.73"/>
    <n v="0"/>
    <s v="45%"/>
    <n v="37.6785"/>
    <n v="1"/>
  </r>
  <r>
    <s v="CLI-00045"/>
    <x v="0"/>
    <n v="33"/>
    <s v="Bloqué 5Go"/>
    <n v="54"/>
    <n v="71.319999999999993"/>
    <n v="4"/>
    <s v="0"/>
    <n v="0"/>
    <n v="1"/>
  </r>
  <r>
    <s v="CLI-00048"/>
    <x v="8"/>
    <n v="16"/>
    <s v="Bloqué 5Go"/>
    <n v="461"/>
    <n v="38.369999999999997"/>
    <n v="4"/>
    <s v="45%"/>
    <n v="17.266500000000001"/>
    <n v="1"/>
  </r>
  <r>
    <s v="CLI-00054"/>
    <x v="11"/>
    <n v="34"/>
    <s v="Bloqué 5Go"/>
    <n v="40"/>
    <n v="65.709999999999994"/>
    <n v="5"/>
    <s v="0"/>
    <n v="0"/>
    <n v="1"/>
  </r>
  <r>
    <s v="CLI-00055"/>
    <x v="12"/>
    <n v="6"/>
    <s v="Pro Monde"/>
    <n v="206"/>
    <n v="10"/>
    <n v="5"/>
    <s v="10%"/>
    <n v="1"/>
    <n v="1"/>
  </r>
  <r>
    <s v="CLI-00057"/>
    <x v="13"/>
    <n v="4"/>
    <s v="Bloqué 5Go"/>
    <n v="182"/>
    <n v="89.56"/>
    <n v="4"/>
    <s v="0"/>
    <n v="0"/>
    <n v="1"/>
  </r>
  <r>
    <s v="CLI-00059"/>
    <x v="14"/>
    <n v="69"/>
    <s v="Pro Monde"/>
    <n v="76"/>
    <n v="91.8"/>
    <n v="5"/>
    <s v="10%"/>
    <n v="9.18"/>
    <n v="1"/>
  </r>
  <r>
    <s v="CLI-00060"/>
    <x v="15"/>
    <n v="72"/>
    <s v="Pro Monde"/>
    <n v="160"/>
    <n v="90.13"/>
    <n v="2"/>
    <s v="10%"/>
    <n v="9.0129999999999999"/>
    <n v="1"/>
  </r>
  <r>
    <s v="CLI-00070"/>
    <x v="16"/>
    <n v="52"/>
    <s v="Illimité 50Go"/>
    <n v="119"/>
    <n v="64.709999999999994"/>
    <n v="4"/>
    <s v="0"/>
    <n v="0"/>
    <n v="1"/>
  </r>
  <r>
    <s v="CLI-00072"/>
    <x v="13"/>
    <n v="67"/>
    <s v="Illimité 50Go"/>
    <n v="264"/>
    <n v="97.89"/>
    <n v="1"/>
    <s v="45%"/>
    <n v="44.0505"/>
    <n v="1"/>
  </r>
  <r>
    <s v="CLI-00074"/>
    <x v="3"/>
    <n v="78"/>
    <s v="Premium 5G 150Go"/>
    <n v="60"/>
    <n v="33.159999999999997"/>
    <n v="5"/>
    <s v="0"/>
    <n v="0"/>
    <n v="1"/>
  </r>
  <r>
    <s v="CLI-00076"/>
    <x v="14"/>
    <n v="46"/>
    <s v="Premium 5G 150Go"/>
    <n v="283"/>
    <n v="56.05"/>
    <n v="1"/>
    <s v="45%"/>
    <n v="25.2225"/>
    <n v="1"/>
  </r>
  <r>
    <s v="CLI-00083"/>
    <x v="12"/>
    <n v="17"/>
    <s v="Premium 5G 150Go"/>
    <n v="499"/>
    <n v="27.81"/>
    <n v="2"/>
    <s v="45%"/>
    <n v="12.5145"/>
    <n v="1"/>
  </r>
  <r>
    <s v="CLI-00084"/>
    <x v="3"/>
    <n v="15"/>
    <s v="Premium 5G 150Go"/>
    <n v="75"/>
    <n v="45.59"/>
    <n v="0"/>
    <s v="0"/>
    <n v="0"/>
    <n v="1"/>
  </r>
  <r>
    <s v="CLI-00085"/>
    <x v="2"/>
    <n v="106"/>
    <s v="Pro Monde"/>
    <n v="429"/>
    <n v="23.83"/>
    <n v="1"/>
    <s v="45%"/>
    <n v="10.7235"/>
    <n v="1"/>
  </r>
  <r>
    <s v="CLI-00087"/>
    <x v="13"/>
    <n v="14"/>
    <s v="Premium 5G 150Go"/>
    <n v="75"/>
    <n v="55.67"/>
    <n v="3"/>
    <s v="0"/>
    <n v="0"/>
    <n v="1"/>
  </r>
  <r>
    <s v="CLI-00090"/>
    <x v="17"/>
    <n v="15"/>
    <s v="Bloqué 5Go"/>
    <n v="400"/>
    <n v="78.09"/>
    <n v="0"/>
    <s v="45%"/>
    <n v="35.140500000000003"/>
    <n v="1"/>
  </r>
  <r>
    <s v="CLI-00091"/>
    <x v="18"/>
    <n v="50"/>
    <s v="Bloqué 5Go"/>
    <n v="435"/>
    <n v="27.86"/>
    <n v="3"/>
    <s v="45%"/>
    <n v="12.537000000000001"/>
    <n v="1"/>
  </r>
  <r>
    <s v="CLI-00093"/>
    <x v="7"/>
    <n v="12"/>
    <s v="Pro Monde"/>
    <n v="42"/>
    <n v="48.64"/>
    <n v="0"/>
    <s v="10%"/>
    <n v="4.8640000000000008"/>
    <n v="1"/>
  </r>
  <r>
    <s v="CLI-00094"/>
    <x v="19"/>
    <n v="29"/>
    <s v="Pro Monde"/>
    <n v="493"/>
    <n v="42.02"/>
    <n v="1"/>
    <s v="45%"/>
    <n v="18.909000000000002"/>
    <n v="1"/>
  </r>
  <r>
    <s v="CLI-00098"/>
    <x v="4"/>
    <n v="42"/>
    <s v="Pro Monde"/>
    <n v="167"/>
    <n v="45.85"/>
    <n v="2"/>
    <s v="10%"/>
    <n v="4.585"/>
    <n v="1"/>
  </r>
  <r>
    <s v="CLI-00100"/>
    <x v="20"/>
    <n v="74"/>
    <s v="Bloqué 5Go"/>
    <n v="388"/>
    <n v="10.89"/>
    <n v="4"/>
    <s v="45%"/>
    <n v="4.9005000000000001"/>
    <n v="1"/>
  </r>
  <r>
    <s v="CLI-00102"/>
    <x v="12"/>
    <n v="93"/>
    <s v="Premium 5G 150Go"/>
    <n v="150"/>
    <n v="93.25"/>
    <n v="3"/>
    <s v="0"/>
    <n v="0"/>
    <n v="1"/>
  </r>
  <r>
    <s v="CLI-00105"/>
    <x v="6"/>
    <n v="19"/>
    <s v="Bloqué 5Go"/>
    <n v="345"/>
    <n v="54.37"/>
    <n v="2"/>
    <s v="45%"/>
    <n v="24.4665"/>
    <n v="1"/>
  </r>
  <r>
    <s v="CLI-00107"/>
    <x v="21"/>
    <n v="82"/>
    <s v="Premium 5G 150Go"/>
    <n v="88"/>
    <n v="86.64"/>
    <n v="1"/>
    <s v="0"/>
    <n v="0"/>
    <n v="1"/>
  </r>
  <r>
    <s v="CLI-00109"/>
    <x v="2"/>
    <n v="42"/>
    <s v="Bloqué 5Go"/>
    <n v="436"/>
    <n v="88.12"/>
    <n v="0"/>
    <s v="45%"/>
    <n v="39.654000000000003"/>
    <n v="1"/>
  </r>
  <r>
    <s v="CLI-00112"/>
    <x v="22"/>
    <n v="98"/>
    <s v="Bloqué 5Go"/>
    <n v="52"/>
    <n v="52.82"/>
    <n v="2"/>
    <s v="0"/>
    <n v="0"/>
    <n v="1"/>
  </r>
  <r>
    <s v="CLI-00114"/>
    <x v="5"/>
    <n v="59"/>
    <s v="Illimité 50Go"/>
    <n v="454"/>
    <n v="10.47"/>
    <n v="5"/>
    <s v="45%"/>
    <n v="4.7115"/>
    <n v="1"/>
  </r>
  <r>
    <s v="CLI-00115"/>
    <x v="17"/>
    <n v="25"/>
    <s v="Premium 5G 150Go"/>
    <n v="64"/>
    <n v="38.950000000000003"/>
    <n v="5"/>
    <s v="0"/>
    <n v="0"/>
    <n v="1"/>
  </r>
  <r>
    <s v="CLI-00121"/>
    <x v="13"/>
    <n v="43"/>
    <s v="Premium 5G 150Go"/>
    <n v="486"/>
    <n v="76.42"/>
    <n v="1"/>
    <s v="45%"/>
    <n v="34.389000000000003"/>
    <n v="1"/>
  </r>
  <r>
    <s v="CLI-00125"/>
    <x v="17"/>
    <n v="108"/>
    <s v="Bloqué 5Go"/>
    <n v="467"/>
    <n v="44.84"/>
    <n v="4"/>
    <s v="45%"/>
    <n v="20.178000000000001"/>
    <n v="1"/>
  </r>
  <r>
    <s v="CLI-00131"/>
    <x v="10"/>
    <n v="101"/>
    <s v="Pro Monde"/>
    <n v="176"/>
    <n v="86"/>
    <n v="3"/>
    <s v="10%"/>
    <n v="8.6"/>
    <n v="1"/>
  </r>
  <r>
    <s v="CLI-00136"/>
    <x v="14"/>
    <n v="120"/>
    <s v="Illimité 50Go"/>
    <n v="224"/>
    <n v="69.36"/>
    <n v="0"/>
    <s v="0"/>
    <n v="0"/>
    <n v="1"/>
  </r>
  <r>
    <s v="CLI-00145"/>
    <x v="20"/>
    <n v="23"/>
    <s v="Bloqué 5Go"/>
    <n v="325"/>
    <n v="65.489999999999995"/>
    <n v="1"/>
    <s v="45%"/>
    <n v="29.470499999999998"/>
    <n v="1"/>
  </r>
  <r>
    <s v="CLI-00150"/>
    <x v="10"/>
    <n v="12"/>
    <s v="Pro Monde"/>
    <n v="125"/>
    <n v="36.93"/>
    <n v="0"/>
    <s v="10%"/>
    <n v="3.6930000000000001"/>
    <n v="1"/>
  </r>
  <r>
    <s v="CLI-00157"/>
    <x v="7"/>
    <n v="12"/>
    <s v="Illimité 50Go"/>
    <n v="112"/>
    <n v="82.81"/>
    <n v="0"/>
    <s v="0"/>
    <n v="0"/>
    <n v="1"/>
  </r>
  <r>
    <s v="CLI-00158"/>
    <x v="21"/>
    <n v="35"/>
    <s v="Pro Monde"/>
    <n v="445"/>
    <n v="24.11"/>
    <n v="2"/>
    <s v="45%"/>
    <n v="10.849500000000001"/>
    <n v="1"/>
  </r>
  <r>
    <s v="CLI-00161"/>
    <x v="7"/>
    <n v="43"/>
    <s v="Premium 5G 150Go"/>
    <n v="27"/>
    <n v="31.48"/>
    <n v="5"/>
    <s v="0"/>
    <n v="0"/>
    <n v="1"/>
  </r>
  <r>
    <s v="CLI-00163"/>
    <x v="8"/>
    <n v="81"/>
    <s v="Illimité 50Go"/>
    <n v="11"/>
    <n v="41.76"/>
    <n v="5"/>
    <s v="0"/>
    <n v="0"/>
    <n v="1"/>
  </r>
  <r>
    <s v="CLI-00165"/>
    <x v="18"/>
    <n v="102"/>
    <s v="Premium 5G 150Go"/>
    <n v="402"/>
    <n v="28.38"/>
    <n v="5"/>
    <s v="45%"/>
    <n v="12.770999999999999"/>
    <n v="1"/>
  </r>
  <r>
    <s v="CLI-00167"/>
    <x v="21"/>
    <n v="84"/>
    <s v="Bloqué 5Go"/>
    <n v="380"/>
    <n v="82.3"/>
    <n v="1"/>
    <s v="45%"/>
    <n v="37.034999999999997"/>
    <n v="1"/>
  </r>
  <r>
    <s v="CLI-00168"/>
    <x v="17"/>
    <n v="22"/>
    <s v="Pro Monde"/>
    <n v="457"/>
    <n v="13.21"/>
    <n v="1"/>
    <s v="45%"/>
    <n v="5.9445000000000006"/>
    <n v="1"/>
  </r>
  <r>
    <s v="CLI-00169"/>
    <x v="13"/>
    <n v="91"/>
    <s v="Bloqué 5Go"/>
    <n v="188"/>
    <n v="65.78"/>
    <n v="4"/>
    <s v="0"/>
    <n v="0"/>
    <n v="1"/>
  </r>
  <r>
    <s v="CLI-00171"/>
    <x v="5"/>
    <n v="1"/>
    <s v="Bloqué 5Go"/>
    <n v="135"/>
    <n v="89.16"/>
    <n v="3"/>
    <s v="0"/>
    <n v="0"/>
    <n v="1"/>
  </r>
  <r>
    <s v="CLI-00172"/>
    <x v="15"/>
    <n v="15"/>
    <s v="Pro Monde"/>
    <n v="403"/>
    <n v="77.12"/>
    <n v="1"/>
    <s v="45%"/>
    <n v="34.704000000000001"/>
    <n v="1"/>
  </r>
  <r>
    <s v="CLI-00173"/>
    <x v="16"/>
    <n v="50"/>
    <s v="Pro Monde"/>
    <n v="108"/>
    <n v="43.81"/>
    <n v="5"/>
    <s v="10%"/>
    <n v="4.3810000000000002"/>
    <n v="1"/>
  </r>
  <r>
    <s v="CLI-00176"/>
    <x v="7"/>
    <n v="19"/>
    <s v="Bloqué 5Go"/>
    <n v="305"/>
    <n v="81.11"/>
    <n v="1"/>
    <s v="45%"/>
    <n v="36.499499999999998"/>
    <n v="1"/>
  </r>
  <r>
    <s v="CLI-00177"/>
    <x v="10"/>
    <n v="56"/>
    <s v="Bloqué 5Go"/>
    <n v="27"/>
    <n v="46.41"/>
    <n v="3"/>
    <s v="0"/>
    <n v="0"/>
    <n v="1"/>
  </r>
  <r>
    <s v="CLI-00180"/>
    <x v="15"/>
    <n v="39"/>
    <s v="Pro Monde"/>
    <n v="289"/>
    <n v="86.7"/>
    <n v="3"/>
    <s v="45%"/>
    <n v="39.015000000000001"/>
    <n v="1"/>
  </r>
  <r>
    <s v="CLI-00183"/>
    <x v="17"/>
    <n v="98"/>
    <s v="Premium 5G 150Go"/>
    <n v="319"/>
    <n v="88.58"/>
    <n v="0"/>
    <s v="45%"/>
    <n v="39.860999999999997"/>
    <n v="1"/>
  </r>
  <r>
    <s v="CLI-00184"/>
    <x v="23"/>
    <n v="71"/>
    <s v="Premium 5G 150Go"/>
    <n v="191"/>
    <n v="83.04"/>
    <n v="4"/>
    <s v="0"/>
    <n v="0"/>
    <n v="1"/>
  </r>
  <r>
    <s v="CLI-00185"/>
    <x v="7"/>
    <n v="81"/>
    <s v="Pro Monde"/>
    <n v="154"/>
    <n v="19.47"/>
    <n v="3"/>
    <s v="10%"/>
    <n v="1.9470000000000001"/>
    <n v="1"/>
  </r>
  <r>
    <s v="CLI-00190"/>
    <x v="14"/>
    <n v="34"/>
    <s v="Bloqué 5Go"/>
    <n v="35"/>
    <n v="76.86"/>
    <n v="1"/>
    <s v="0"/>
    <n v="0"/>
    <n v="1"/>
  </r>
  <r>
    <s v="CLI-00191"/>
    <x v="14"/>
    <n v="55"/>
    <s v="Illimité 50Go"/>
    <n v="60"/>
    <n v="32.51"/>
    <n v="4"/>
    <s v="0"/>
    <n v="0"/>
    <n v="1"/>
  </r>
  <r>
    <s v="CLI-00192"/>
    <x v="20"/>
    <n v="47"/>
    <s v="Pro Monde"/>
    <n v="107"/>
    <n v="35.380000000000003"/>
    <n v="1"/>
    <s v="10%"/>
    <n v="3.5380000000000003"/>
    <n v="1"/>
  </r>
  <r>
    <s v="CLI-00194"/>
    <x v="9"/>
    <n v="48"/>
    <s v="Illimité 50Go"/>
    <n v="187"/>
    <n v="21.26"/>
    <n v="2"/>
    <s v="0"/>
    <n v="0"/>
    <n v="1"/>
  </r>
  <r>
    <s v="CLI-00196"/>
    <x v="9"/>
    <n v="47"/>
    <s v="Pro Monde"/>
    <n v="378"/>
    <n v="36.42"/>
    <n v="1"/>
    <s v="45%"/>
    <n v="16.389000000000003"/>
    <n v="1"/>
  </r>
  <r>
    <s v="CLI-00197"/>
    <x v="24"/>
    <n v="109"/>
    <s v="Illimité 50Go"/>
    <n v="84"/>
    <n v="97.46"/>
    <n v="5"/>
    <s v="0"/>
    <n v="0"/>
    <n v="1"/>
  </r>
  <r>
    <s v="CLI-00206"/>
    <x v="5"/>
    <n v="40"/>
    <s v="Illimité 50Go"/>
    <n v="219"/>
    <n v="53.98"/>
    <n v="2"/>
    <s v="0"/>
    <n v="0"/>
    <n v="1"/>
  </r>
  <r>
    <s v="CLI-00211"/>
    <x v="6"/>
    <n v="56"/>
    <s v="Illimité 50Go"/>
    <n v="367"/>
    <n v="72.790000000000006"/>
    <n v="1"/>
    <s v="45%"/>
    <n v="32.755500000000005"/>
    <n v="1"/>
  </r>
  <r>
    <s v="CLI-00218"/>
    <x v="1"/>
    <n v="111"/>
    <s v="Bloqué 5Go"/>
    <n v="76"/>
    <n v="38.19"/>
    <n v="5"/>
    <s v="0"/>
    <n v="0"/>
    <n v="1"/>
  </r>
  <r>
    <s v="CLI-00219"/>
    <x v="24"/>
    <n v="99"/>
    <s v="Illimité 50Go"/>
    <n v="493"/>
    <n v="55.43"/>
    <n v="2"/>
    <s v="45%"/>
    <n v="24.9435"/>
    <n v="1"/>
  </r>
  <r>
    <s v="CLI-00221"/>
    <x v="22"/>
    <n v="56"/>
    <s v="Premium 5G 150Go"/>
    <n v="354"/>
    <n v="32.08"/>
    <n v="1"/>
    <s v="45%"/>
    <n v="14.436"/>
    <n v="1"/>
  </r>
  <r>
    <s v="CLI-00227"/>
    <x v="10"/>
    <n v="118"/>
    <s v="Pro Monde"/>
    <n v="22"/>
    <n v="15.39"/>
    <n v="1"/>
    <s v="10%"/>
    <n v="1.5390000000000001"/>
    <n v="1"/>
  </r>
  <r>
    <s v="CLI-00230"/>
    <x v="11"/>
    <n v="59"/>
    <s v="Illimité 50Go"/>
    <n v="192"/>
    <n v="86.17"/>
    <n v="1"/>
    <s v="0"/>
    <n v="0"/>
    <n v="1"/>
  </r>
  <r>
    <s v="CLI-00231"/>
    <x v="21"/>
    <n v="17"/>
    <s v="Bloqué 5Go"/>
    <n v="404"/>
    <n v="83.4"/>
    <n v="1"/>
    <s v="45%"/>
    <n v="37.53"/>
    <n v="1"/>
  </r>
  <r>
    <s v="CLI-00232"/>
    <x v="0"/>
    <n v="69"/>
    <s v="Bloqué 5Go"/>
    <n v="306"/>
    <n v="13.97"/>
    <n v="1"/>
    <s v="45%"/>
    <n v="6.2865000000000002"/>
    <n v="1"/>
  </r>
  <r>
    <s v="CLI-00234"/>
    <x v="18"/>
    <n v="93"/>
    <s v="Premium 5G 150Go"/>
    <n v="136"/>
    <n v="19.09"/>
    <n v="1"/>
    <s v="0"/>
    <n v="0"/>
    <n v="1"/>
  </r>
  <r>
    <s v="CLI-00238"/>
    <x v="15"/>
    <n v="43"/>
    <s v="Bloqué 5Go"/>
    <n v="20"/>
    <n v="66.680000000000007"/>
    <n v="5"/>
    <s v="0"/>
    <n v="0"/>
    <n v="1"/>
  </r>
  <r>
    <s v="CLI-00239"/>
    <x v="2"/>
    <n v="119"/>
    <s v="Illimité 50Go"/>
    <n v="475"/>
    <n v="25.98"/>
    <n v="4"/>
    <s v="45%"/>
    <n v="11.691000000000001"/>
    <n v="1"/>
  </r>
  <r>
    <s v="CLI-00240"/>
    <x v="1"/>
    <n v="41"/>
    <s v="Bloqué 5Go"/>
    <n v="425"/>
    <n v="42.33"/>
    <n v="3"/>
    <s v="45%"/>
    <n v="19.048500000000001"/>
    <n v="1"/>
  </r>
  <r>
    <s v="CLI-00241"/>
    <x v="0"/>
    <n v="50"/>
    <s v="Bloqué 5Go"/>
    <n v="248"/>
    <n v="69.42"/>
    <n v="0"/>
    <s v="45%"/>
    <n v="31.239000000000001"/>
    <n v="1"/>
  </r>
  <r>
    <s v="CLI-00243"/>
    <x v="11"/>
    <n v="47"/>
    <s v="Illimité 50Go"/>
    <n v="340"/>
    <n v="31.02"/>
    <n v="5"/>
    <s v="45%"/>
    <n v="13.959"/>
    <n v="1"/>
  </r>
  <r>
    <s v="CLI-00247"/>
    <x v="19"/>
    <n v="52"/>
    <s v="Premium 5G 150Go"/>
    <n v="425"/>
    <n v="97.25"/>
    <n v="0"/>
    <s v="45%"/>
    <n v="43.762500000000003"/>
    <n v="1"/>
  </r>
  <r>
    <s v="CLI-00248"/>
    <x v="17"/>
    <n v="20"/>
    <s v="Bloqué 5Go"/>
    <n v="26"/>
    <n v="25.14"/>
    <n v="0"/>
    <s v="0"/>
    <n v="0"/>
    <n v="1"/>
  </r>
  <r>
    <s v="CLI-00250"/>
    <x v="20"/>
    <n v="43"/>
    <s v="Bloqué 5Go"/>
    <n v="181"/>
    <n v="72.39"/>
    <n v="2"/>
    <s v="0"/>
    <n v="0"/>
    <n v="1"/>
  </r>
  <r>
    <s v="CLI-00251"/>
    <x v="8"/>
    <n v="44"/>
    <s v="Pro Monde"/>
    <n v="137"/>
    <n v="32.58"/>
    <n v="0"/>
    <s v="10%"/>
    <n v="3.258"/>
    <n v="1"/>
  </r>
  <r>
    <s v="CLI-00254"/>
    <x v="5"/>
    <n v="95"/>
    <s v="Pro Monde"/>
    <n v="127"/>
    <n v="94.9"/>
    <n v="4"/>
    <s v="10%"/>
    <n v="9.49"/>
    <n v="1"/>
  </r>
  <r>
    <s v="CLI-00257"/>
    <x v="9"/>
    <n v="63"/>
    <s v="Pro Monde"/>
    <n v="449"/>
    <n v="37.08"/>
    <n v="0"/>
    <s v="45%"/>
    <n v="16.686"/>
    <n v="1"/>
  </r>
  <r>
    <s v="CLI-00262"/>
    <x v="8"/>
    <n v="24"/>
    <s v="Illimité 50Go"/>
    <n v="392"/>
    <n v="27.06"/>
    <n v="1"/>
    <s v="45%"/>
    <n v="12.177"/>
    <n v="1"/>
  </r>
  <r>
    <s v="CLI-00265"/>
    <x v="0"/>
    <n v="9"/>
    <s v="Bloqué 5Go"/>
    <n v="11"/>
    <n v="72.36"/>
    <n v="2"/>
    <s v="0"/>
    <n v="0"/>
    <n v="1"/>
  </r>
  <r>
    <s v="CLI-00267"/>
    <x v="15"/>
    <n v="11"/>
    <s v="Bloqué 5Go"/>
    <n v="52"/>
    <n v="76.53"/>
    <n v="5"/>
    <s v="0"/>
    <n v="0"/>
    <n v="1"/>
  </r>
  <r>
    <s v="CLI-00269"/>
    <x v="23"/>
    <n v="57"/>
    <s v="Bloqué 5Go"/>
    <n v="493"/>
    <n v="43.98"/>
    <n v="3"/>
    <s v="45%"/>
    <n v="19.791"/>
    <n v="1"/>
  </r>
  <r>
    <s v="CLI-00271"/>
    <x v="22"/>
    <n v="40"/>
    <s v="Bloqué 5Go"/>
    <n v="38"/>
    <n v="17.63"/>
    <n v="0"/>
    <s v="0"/>
    <n v="0"/>
    <n v="1"/>
  </r>
  <r>
    <s v="CLI-00273"/>
    <x v="15"/>
    <n v="19"/>
    <s v="Illimité 50Go"/>
    <n v="334"/>
    <n v="96.91"/>
    <n v="1"/>
    <s v="45%"/>
    <n v="43.609499999999997"/>
    <n v="1"/>
  </r>
  <r>
    <s v="CLI-00274"/>
    <x v="20"/>
    <n v="108"/>
    <s v="Pro Monde"/>
    <n v="48"/>
    <n v="86.22"/>
    <n v="3"/>
    <s v="10%"/>
    <n v="8.6219999999999999"/>
    <n v="1"/>
  </r>
  <r>
    <s v="CLI-00277"/>
    <x v="2"/>
    <n v="37"/>
    <s v="Pro Monde"/>
    <n v="150"/>
    <n v="37.979999999999997"/>
    <n v="4"/>
    <s v="10%"/>
    <n v="3.798"/>
    <n v="1"/>
  </r>
  <r>
    <s v="CLI-00279"/>
    <x v="13"/>
    <n v="52"/>
    <s v="Pro Monde"/>
    <n v="234"/>
    <n v="62.87"/>
    <n v="0"/>
    <s v="10%"/>
    <n v="6.2869999999999999"/>
    <n v="1"/>
  </r>
  <r>
    <s v="CLI-00280"/>
    <x v="16"/>
    <n v="113"/>
    <s v="Illimité 50Go"/>
    <n v="380"/>
    <n v="12.11"/>
    <n v="0"/>
    <s v="45%"/>
    <n v="5.4494999999999996"/>
    <n v="1"/>
  </r>
  <r>
    <s v="CLI-00288"/>
    <x v="18"/>
    <n v="21"/>
    <s v="Premium 5G 150Go"/>
    <n v="371"/>
    <n v="48.31"/>
    <n v="0"/>
    <s v="45%"/>
    <n v="21.739500000000003"/>
    <n v="1"/>
  </r>
  <r>
    <s v="CLI-00291"/>
    <x v="1"/>
    <n v="7"/>
    <s v="Pro Monde"/>
    <n v="347"/>
    <n v="41.84"/>
    <n v="2"/>
    <s v="45%"/>
    <n v="18.828000000000003"/>
    <n v="1"/>
  </r>
  <r>
    <s v="CLI-00296"/>
    <x v="22"/>
    <n v="102"/>
    <s v="Pro Monde"/>
    <n v="283"/>
    <n v="28.98"/>
    <n v="3"/>
    <s v="45%"/>
    <n v="13.041"/>
    <n v="1"/>
  </r>
  <r>
    <s v="CLI-00297"/>
    <x v="16"/>
    <n v="87"/>
    <s v="Pro Monde"/>
    <n v="450"/>
    <n v="64.3"/>
    <n v="2"/>
    <s v="45%"/>
    <n v="28.934999999999999"/>
    <n v="1"/>
  </r>
  <r>
    <s v="CLI-00298"/>
    <x v="6"/>
    <n v="76"/>
    <s v="Premium 5G 150Go"/>
    <n v="413"/>
    <n v="28.39"/>
    <n v="3"/>
    <s v="45%"/>
    <n v="12.775500000000001"/>
    <n v="1"/>
  </r>
  <r>
    <s v="CLI-00299"/>
    <x v="2"/>
    <n v="2"/>
    <s v="Pro Monde"/>
    <n v="496"/>
    <n v="15.71"/>
    <n v="3"/>
    <s v="45%"/>
    <n v="7.0695000000000006"/>
    <n v="1"/>
  </r>
  <r>
    <s v="CLI-00304"/>
    <x v="8"/>
    <n v="47"/>
    <s v="Pro Monde"/>
    <n v="328"/>
    <n v="61.27"/>
    <n v="3"/>
    <s v="45%"/>
    <n v="27.5715"/>
    <n v="1"/>
  </r>
  <r>
    <s v="CLI-00305"/>
    <x v="21"/>
    <n v="37"/>
    <s v="Illimité 50Go"/>
    <n v="151"/>
    <n v="62.49"/>
    <n v="3"/>
    <s v="0"/>
    <n v="0"/>
    <n v="1"/>
  </r>
  <r>
    <s v="CLI-00306"/>
    <x v="16"/>
    <n v="89"/>
    <s v="Bloqué 5Go"/>
    <n v="175"/>
    <n v="32.369999999999997"/>
    <n v="1"/>
    <s v="0"/>
    <n v="0"/>
    <n v="1"/>
  </r>
  <r>
    <s v="CLI-00310"/>
    <x v="16"/>
    <n v="6"/>
    <s v="Premium 5G 150Go"/>
    <n v="362"/>
    <n v="75.739999999999995"/>
    <n v="4"/>
    <s v="45%"/>
    <n v="34.082999999999998"/>
    <n v="1"/>
  </r>
  <r>
    <s v="CLI-00313"/>
    <x v="1"/>
    <n v="113"/>
    <s v="Premium 5G 150Go"/>
    <n v="49"/>
    <n v="48.91"/>
    <n v="5"/>
    <s v="0"/>
    <n v="0"/>
    <n v="1"/>
  </r>
  <r>
    <s v="CLI-00315"/>
    <x v="13"/>
    <n v="20"/>
    <s v="Pro Monde"/>
    <n v="93"/>
    <n v="84.45"/>
    <n v="0"/>
    <s v="10%"/>
    <n v="8.4450000000000003"/>
    <n v="1"/>
  </r>
  <r>
    <s v="CLI-00316"/>
    <x v="16"/>
    <n v="37"/>
    <s v="Premium 5G 150Go"/>
    <n v="94"/>
    <n v="50.44"/>
    <n v="4"/>
    <s v="0"/>
    <n v="0"/>
    <n v="1"/>
  </r>
  <r>
    <s v="CLI-00318"/>
    <x v="11"/>
    <n v="67"/>
    <s v="Illimité 50Go"/>
    <n v="81"/>
    <n v="28.52"/>
    <n v="4"/>
    <s v="0"/>
    <n v="0"/>
    <n v="1"/>
  </r>
  <r>
    <s v="CLI-00324"/>
    <x v="2"/>
    <n v="18"/>
    <s v="Illimité 50Go"/>
    <n v="34"/>
    <n v="43.71"/>
    <n v="1"/>
    <s v="0"/>
    <n v="0"/>
    <n v="1"/>
  </r>
  <r>
    <s v="CLI-00327"/>
    <x v="14"/>
    <n v="6"/>
    <s v="Illimité 50Go"/>
    <n v="155"/>
    <n v="40.659999999999997"/>
    <n v="1"/>
    <s v="0"/>
    <n v="0"/>
    <n v="1"/>
  </r>
  <r>
    <s v="CLI-00329"/>
    <x v="9"/>
    <n v="92"/>
    <s v="Pro Monde"/>
    <n v="487"/>
    <n v="58.38"/>
    <n v="1"/>
    <s v="45%"/>
    <n v="26.271000000000001"/>
    <n v="1"/>
  </r>
  <r>
    <s v="CLI-00331"/>
    <x v="1"/>
    <n v="57"/>
    <s v="Premium 5G 150Go"/>
    <n v="36"/>
    <n v="82.7"/>
    <n v="2"/>
    <s v="0"/>
    <n v="0"/>
    <n v="1"/>
  </r>
  <r>
    <s v="CLI-00334"/>
    <x v="25"/>
    <n v="16"/>
    <s v="Pro Monde"/>
    <n v="214"/>
    <n v="46.57"/>
    <n v="5"/>
    <s v="10%"/>
    <n v="4.657"/>
    <n v="1"/>
  </r>
  <r>
    <s v="CLI-00335"/>
    <x v="17"/>
    <n v="24"/>
    <s v="Pro Monde"/>
    <n v="23"/>
    <n v="28.55"/>
    <n v="1"/>
    <s v="10%"/>
    <n v="2.8550000000000004"/>
    <n v="1"/>
  </r>
  <r>
    <s v="CLI-00338"/>
    <x v="14"/>
    <n v="32"/>
    <s v="Illimité 50Go"/>
    <n v="475"/>
    <n v="36.54"/>
    <n v="3"/>
    <s v="45%"/>
    <n v="16.443000000000001"/>
    <n v="1"/>
  </r>
  <r>
    <s v="CLI-00341"/>
    <x v="16"/>
    <n v="45"/>
    <s v="Pro Monde"/>
    <n v="304"/>
    <n v="65.540000000000006"/>
    <n v="2"/>
    <s v="45%"/>
    <n v="29.493000000000002"/>
    <n v="1"/>
  </r>
  <r>
    <s v="CLI-00345"/>
    <x v="10"/>
    <n v="24"/>
    <s v="Bloqué 5Go"/>
    <n v="13"/>
    <n v="89.3"/>
    <n v="2"/>
    <s v="0"/>
    <n v="0"/>
    <n v="1"/>
  </r>
  <r>
    <s v="CLI-00346"/>
    <x v="9"/>
    <n v="97"/>
    <s v="Bloqué 5Go"/>
    <n v="40"/>
    <n v="85.19"/>
    <n v="1"/>
    <s v="0"/>
    <n v="0"/>
    <n v="1"/>
  </r>
  <r>
    <s v="CLI-00348"/>
    <x v="8"/>
    <n v="68"/>
    <s v="Bloqué 5Go"/>
    <n v="487"/>
    <n v="69.099999999999994"/>
    <n v="5"/>
    <s v="45%"/>
    <n v="31.094999999999999"/>
    <n v="1"/>
  </r>
  <r>
    <s v="CLI-00349"/>
    <x v="7"/>
    <n v="8"/>
    <s v="Bloqué 5Go"/>
    <n v="120"/>
    <n v="88.29"/>
    <n v="5"/>
    <s v="0"/>
    <n v="0"/>
    <n v="1"/>
  </r>
  <r>
    <s v="CLI-00352"/>
    <x v="11"/>
    <n v="75"/>
    <s v="Illimité 50Go"/>
    <n v="99"/>
    <n v="16.93"/>
    <n v="5"/>
    <s v="0"/>
    <n v="0"/>
    <n v="1"/>
  </r>
  <r>
    <s v="CLI-00356"/>
    <x v="25"/>
    <n v="22"/>
    <s v="Premium 5G 150Go"/>
    <n v="166"/>
    <n v="31.8"/>
    <n v="1"/>
    <s v="0"/>
    <n v="0"/>
    <n v="1"/>
  </r>
  <r>
    <s v="CLI-00359"/>
    <x v="22"/>
    <n v="91"/>
    <s v="Bloqué 5Go"/>
    <n v="300"/>
    <n v="82.19"/>
    <n v="1"/>
    <s v="45%"/>
    <n v="36.985500000000002"/>
    <n v="1"/>
  </r>
  <r>
    <s v="CLI-00361"/>
    <x v="17"/>
    <n v="66"/>
    <s v="Illimité 50Go"/>
    <n v="270"/>
    <n v="75.88"/>
    <n v="3"/>
    <s v="45%"/>
    <n v="34.146000000000001"/>
    <n v="1"/>
  </r>
  <r>
    <s v="CLI-00365"/>
    <x v="24"/>
    <n v="98"/>
    <s v="Pro Monde"/>
    <n v="41"/>
    <n v="23.55"/>
    <n v="1"/>
    <s v="10%"/>
    <n v="2.355"/>
    <n v="1"/>
  </r>
  <r>
    <s v="CLI-00368"/>
    <x v="16"/>
    <n v="63"/>
    <s v="Bloqué 5Go"/>
    <n v="263"/>
    <n v="53.87"/>
    <n v="4"/>
    <s v="45%"/>
    <n v="24.241499999999998"/>
    <n v="1"/>
  </r>
  <r>
    <s v="CLI-00370"/>
    <x v="4"/>
    <n v="29"/>
    <s v="Bloqué 5Go"/>
    <n v="173"/>
    <n v="49.03"/>
    <n v="3"/>
    <s v="0"/>
    <n v="0"/>
    <n v="1"/>
  </r>
  <r>
    <s v="CLI-00373"/>
    <x v="25"/>
    <n v="83"/>
    <s v="Illimité 50Go"/>
    <n v="30"/>
    <n v="33.93"/>
    <n v="3"/>
    <s v="0"/>
    <n v="0"/>
    <n v="1"/>
  </r>
  <r>
    <s v="CLI-00374"/>
    <x v="2"/>
    <n v="105"/>
    <s v="Illimité 50Go"/>
    <n v="271"/>
    <n v="45.27"/>
    <n v="2"/>
    <s v="45%"/>
    <n v="20.371500000000001"/>
    <n v="1"/>
  </r>
  <r>
    <s v="CLI-00376"/>
    <x v="9"/>
    <n v="117"/>
    <s v="Premium 5G 150Go"/>
    <n v="282"/>
    <n v="95.11"/>
    <n v="0"/>
    <s v="45%"/>
    <n v="42.799500000000002"/>
    <n v="1"/>
  </r>
  <r>
    <s v="CLI-00377"/>
    <x v="4"/>
    <n v="96"/>
    <s v="Premium 5G 150Go"/>
    <n v="334"/>
    <n v="64.77"/>
    <n v="0"/>
    <s v="45%"/>
    <n v="29.1465"/>
    <n v="1"/>
  </r>
  <r>
    <s v="CLI-00380"/>
    <x v="25"/>
    <n v="34"/>
    <s v="Premium 5G 150Go"/>
    <n v="170"/>
    <n v="91.6"/>
    <n v="2"/>
    <s v="0"/>
    <n v="0"/>
    <n v="1"/>
  </r>
  <r>
    <s v="CLI-00382"/>
    <x v="15"/>
    <n v="7"/>
    <s v="Pro Monde"/>
    <n v="323"/>
    <n v="82.81"/>
    <n v="5"/>
    <s v="45%"/>
    <n v="37.264500000000005"/>
    <n v="1"/>
  </r>
  <r>
    <s v="CLI-00384"/>
    <x v="19"/>
    <n v="39"/>
    <s v="Premium 5G 150Go"/>
    <n v="220"/>
    <n v="52.91"/>
    <n v="0"/>
    <s v="0"/>
    <n v="0"/>
    <n v="1"/>
  </r>
  <r>
    <s v="CLI-00386"/>
    <x v="18"/>
    <n v="59"/>
    <s v="Illimité 50Go"/>
    <n v="64"/>
    <n v="20.32"/>
    <n v="0"/>
    <s v="0"/>
    <n v="0"/>
    <n v="1"/>
  </r>
  <r>
    <s v="CLI-00387"/>
    <x v="17"/>
    <n v="28"/>
    <s v="Illimité 50Go"/>
    <n v="112"/>
    <n v="94.51"/>
    <n v="3"/>
    <s v="0"/>
    <n v="0"/>
    <n v="1"/>
  </r>
  <r>
    <s v="CLI-00388"/>
    <x v="4"/>
    <n v="78"/>
    <s v="Premium 5G 150Go"/>
    <n v="263"/>
    <n v="53.58"/>
    <n v="5"/>
    <s v="45%"/>
    <n v="24.111000000000001"/>
    <n v="1"/>
  </r>
  <r>
    <s v="CLI-00391"/>
    <x v="9"/>
    <n v="4"/>
    <s v="Pro Monde"/>
    <n v="49"/>
    <n v="41.35"/>
    <n v="5"/>
    <s v="10%"/>
    <n v="4.1350000000000007"/>
    <n v="1"/>
  </r>
  <r>
    <s v="CLI-00394"/>
    <x v="6"/>
    <n v="37"/>
    <s v="Premium 5G 150Go"/>
    <n v="213"/>
    <n v="14.12"/>
    <n v="1"/>
    <s v="0"/>
    <n v="0"/>
    <n v="1"/>
  </r>
  <r>
    <s v="CLI-00407"/>
    <x v="20"/>
    <n v="48"/>
    <s v="Premium 5G 150Go"/>
    <n v="416"/>
    <n v="81.260000000000005"/>
    <n v="5"/>
    <s v="45%"/>
    <n v="36.567"/>
    <n v="1"/>
  </r>
  <r>
    <s v="CLI-00410"/>
    <x v="1"/>
    <n v="51"/>
    <s v="Pro Monde"/>
    <n v="336"/>
    <n v="65.47"/>
    <n v="1"/>
    <s v="45%"/>
    <n v="29.461500000000001"/>
    <n v="1"/>
  </r>
  <r>
    <s v="CLI-00413"/>
    <x v="24"/>
    <n v="20"/>
    <s v="Pro Monde"/>
    <n v="31"/>
    <n v="52.85"/>
    <n v="2"/>
    <s v="10%"/>
    <n v="5.2850000000000001"/>
    <n v="1"/>
  </r>
  <r>
    <s v="CLI-00414"/>
    <x v="5"/>
    <n v="99"/>
    <s v="Premium 5G 150Go"/>
    <n v="447"/>
    <n v="38.1"/>
    <n v="3"/>
    <s v="45%"/>
    <n v="17.145"/>
    <n v="1"/>
  </r>
  <r>
    <s v="CLI-00417"/>
    <x v="8"/>
    <n v="87"/>
    <s v="Bloqué 5Go"/>
    <n v="21"/>
    <n v="81.459999999999994"/>
    <n v="3"/>
    <s v="0"/>
    <n v="0"/>
    <n v="1"/>
  </r>
  <r>
    <s v="CLI-00418"/>
    <x v="8"/>
    <n v="96"/>
    <s v="Premium 5G 150Go"/>
    <n v="273"/>
    <n v="37.909999999999997"/>
    <n v="2"/>
    <s v="45%"/>
    <n v="17.0595"/>
    <n v="1"/>
  </r>
  <r>
    <s v="CLI-00424"/>
    <x v="25"/>
    <n v="103"/>
    <s v="Illimité 50Go"/>
    <n v="182"/>
    <n v="12.07"/>
    <n v="5"/>
    <s v="0"/>
    <n v="0"/>
    <n v="1"/>
  </r>
  <r>
    <s v="CLI-00427"/>
    <x v="0"/>
    <n v="18"/>
    <s v="Bloqué 5Go"/>
    <n v="446"/>
    <n v="97.3"/>
    <n v="5"/>
    <s v="45%"/>
    <n v="43.784999999999997"/>
    <n v="1"/>
  </r>
  <r>
    <s v="CLI-00429"/>
    <x v="20"/>
    <n v="28"/>
    <s v="Premium 5G 150Go"/>
    <n v="343"/>
    <n v="64.34"/>
    <n v="5"/>
    <s v="45%"/>
    <n v="28.953000000000003"/>
    <n v="1"/>
  </r>
  <r>
    <s v="CLI-00431"/>
    <x v="15"/>
    <n v="60"/>
    <s v="Pro Monde"/>
    <n v="334"/>
    <n v="71.72"/>
    <n v="3"/>
    <s v="45%"/>
    <n v="32.274000000000001"/>
    <n v="1"/>
  </r>
  <r>
    <s v="CLI-00433"/>
    <x v="13"/>
    <n v="36"/>
    <s v="Illimité 50Go"/>
    <n v="487"/>
    <n v="45.02"/>
    <n v="2"/>
    <s v="45%"/>
    <n v="20.259"/>
    <n v="1"/>
  </r>
  <r>
    <s v="CLI-00435"/>
    <x v="17"/>
    <n v="106"/>
    <s v="Illimité 50Go"/>
    <n v="407"/>
    <n v="59.92"/>
    <n v="4"/>
    <s v="45%"/>
    <n v="26.964000000000002"/>
    <n v="1"/>
  </r>
  <r>
    <s v="CLI-00439"/>
    <x v="12"/>
    <n v="40"/>
    <s v="Premium 5G 150Go"/>
    <n v="345"/>
    <n v="89.55"/>
    <n v="3"/>
    <s v="45%"/>
    <n v="40.297499999999999"/>
    <n v="1"/>
  </r>
  <r>
    <s v="CLI-00442"/>
    <x v="19"/>
    <n v="120"/>
    <s v="Illimité 50Go"/>
    <n v="242"/>
    <n v="61.54"/>
    <n v="1"/>
    <s v="45%"/>
    <n v="27.693000000000001"/>
    <n v="1"/>
  </r>
  <r>
    <s v="CLI-00447"/>
    <x v="5"/>
    <n v="81"/>
    <s v="Premium 5G 150Go"/>
    <n v="137"/>
    <n v="89.05"/>
    <n v="0"/>
    <s v="0"/>
    <n v="0"/>
    <n v="1"/>
  </r>
  <r>
    <s v="CLI-00450"/>
    <x v="14"/>
    <n v="105"/>
    <s v="Premium 5G 150Go"/>
    <n v="454"/>
    <n v="49.47"/>
    <n v="4"/>
    <s v="45%"/>
    <n v="22.261500000000002"/>
    <n v="1"/>
  </r>
  <r>
    <s v="CLI-00460"/>
    <x v="25"/>
    <n v="5"/>
    <s v="Pro Monde"/>
    <n v="98"/>
    <n v="71.37"/>
    <n v="1"/>
    <s v="10%"/>
    <n v="7.1370000000000005"/>
    <n v="1"/>
  </r>
  <r>
    <s v="CLI-00469"/>
    <x v="18"/>
    <n v="25"/>
    <s v="Premium 5G 150Go"/>
    <n v="467"/>
    <n v="97.78"/>
    <n v="3"/>
    <s v="45%"/>
    <n v="44.001000000000005"/>
    <n v="1"/>
  </r>
  <r>
    <s v="CLI-00471"/>
    <x v="17"/>
    <n v="36"/>
    <s v="Premium 5G 150Go"/>
    <n v="137"/>
    <n v="71.930000000000007"/>
    <n v="0"/>
    <s v="0"/>
    <n v="0"/>
    <n v="1"/>
  </r>
  <r>
    <s v="CLI-00475"/>
    <x v="10"/>
    <n v="81"/>
    <s v="Illimité 50Go"/>
    <n v="339"/>
    <n v="53.4"/>
    <n v="2"/>
    <s v="45%"/>
    <n v="24.03"/>
    <n v="1"/>
  </r>
  <r>
    <s v="CLI-00476"/>
    <x v="21"/>
    <n v="21"/>
    <s v="Bloqué 5Go"/>
    <n v="475"/>
    <n v="15.12"/>
    <n v="2"/>
    <s v="45%"/>
    <n v="6.8039999999999994"/>
    <n v="1"/>
  </r>
  <r>
    <s v="CLI-00481"/>
    <x v="19"/>
    <n v="19"/>
    <s v="Illimité 50Go"/>
    <n v="450"/>
    <n v="37.43"/>
    <n v="2"/>
    <s v="45%"/>
    <n v="16.843499999999999"/>
    <n v="1"/>
  </r>
  <r>
    <s v="CLI-00483"/>
    <x v="17"/>
    <n v="64"/>
    <s v="Pro Monde"/>
    <n v="6"/>
    <n v="40.58"/>
    <n v="5"/>
    <s v="10%"/>
    <n v="4.0579999999999998"/>
    <n v="1"/>
  </r>
  <r>
    <s v="CLI-00484"/>
    <x v="1"/>
    <n v="82"/>
    <s v="Bloqué 5Go"/>
    <n v="132"/>
    <n v="50.14"/>
    <n v="5"/>
    <s v="0"/>
    <n v="0"/>
    <n v="1"/>
  </r>
  <r>
    <s v="CLI-00485"/>
    <x v="10"/>
    <n v="74"/>
    <s v="Pro Monde"/>
    <n v="371"/>
    <n v="53.27"/>
    <n v="3"/>
    <s v="45%"/>
    <n v="23.971500000000002"/>
    <n v="1"/>
  </r>
  <r>
    <s v="CLI-00488"/>
    <x v="14"/>
    <n v="116"/>
    <s v="Pro Monde"/>
    <n v="486"/>
    <n v="92.96"/>
    <n v="5"/>
    <s v="45%"/>
    <n v="41.832000000000001"/>
    <n v="1"/>
  </r>
  <r>
    <s v="CLI-00491"/>
    <x v="22"/>
    <n v="29"/>
    <s v="Pro Monde"/>
    <n v="34"/>
    <n v="86.68"/>
    <n v="1"/>
    <s v="10%"/>
    <n v="8.668000000000001"/>
    <n v="1"/>
  </r>
  <r>
    <s v="CLI-00492"/>
    <x v="11"/>
    <n v="113"/>
    <s v="Pro Monde"/>
    <n v="152"/>
    <n v="51.28"/>
    <n v="4"/>
    <s v="10%"/>
    <n v="5.1280000000000001"/>
    <n v="1"/>
  </r>
  <r>
    <s v="CLI-00496"/>
    <x v="11"/>
    <n v="16"/>
    <s v="Illimité 50Go"/>
    <n v="390"/>
    <n v="52.64"/>
    <n v="0"/>
    <s v="45%"/>
    <n v="23.688000000000002"/>
    <n v="1"/>
  </r>
  <r>
    <s v="CLI-00497"/>
    <x v="11"/>
    <n v="72"/>
    <s v="Pro Monde"/>
    <n v="442"/>
    <n v="59.2"/>
    <n v="1"/>
    <s v="45%"/>
    <n v="26.64"/>
    <n v="1"/>
  </r>
  <r>
    <s v="CLI-00505"/>
    <x v="10"/>
    <n v="59"/>
    <s v="Bloqué 5Go"/>
    <n v="196"/>
    <n v="62.53"/>
    <n v="0"/>
    <s v="0"/>
    <n v="0"/>
    <n v="1"/>
  </r>
  <r>
    <s v="CLI-00509"/>
    <x v="10"/>
    <n v="38"/>
    <s v="Premium 5G 150Go"/>
    <n v="60"/>
    <n v="58.28"/>
    <n v="4"/>
    <s v="0"/>
    <n v="0"/>
    <n v="1"/>
  </r>
  <r>
    <s v="CLI-00510"/>
    <x v="23"/>
    <n v="118"/>
    <s v="Bloqué 5Go"/>
    <n v="186"/>
    <n v="46.88"/>
    <n v="1"/>
    <s v="0"/>
    <n v="0"/>
    <n v="1"/>
  </r>
  <r>
    <s v="CLI-00512"/>
    <x v="18"/>
    <n v="42"/>
    <s v="Illimité 50Go"/>
    <n v="453"/>
    <n v="36.700000000000003"/>
    <n v="4"/>
    <s v="45%"/>
    <n v="16.515000000000001"/>
    <n v="1"/>
  </r>
  <r>
    <s v="CLI-00516"/>
    <x v="23"/>
    <n v="80"/>
    <s v="Bloqué 5Go"/>
    <n v="260"/>
    <n v="65.87"/>
    <n v="3"/>
    <s v="45%"/>
    <n v="29.641500000000004"/>
    <n v="1"/>
  </r>
  <r>
    <s v="CLI-00519"/>
    <x v="13"/>
    <n v="7"/>
    <s v="Premium 5G 150Go"/>
    <n v="303"/>
    <n v="60.95"/>
    <n v="0"/>
    <s v="45%"/>
    <n v="27.427500000000002"/>
    <n v="1"/>
  </r>
  <r>
    <s v="CLI-00520"/>
    <x v="4"/>
    <n v="14"/>
    <s v="Pro Monde"/>
    <n v="345"/>
    <n v="39.57"/>
    <n v="3"/>
    <s v="45%"/>
    <n v="17.8065"/>
    <n v="1"/>
  </r>
  <r>
    <s v="CLI-00521"/>
    <x v="5"/>
    <n v="83"/>
    <s v="Premium 5G 150Go"/>
    <n v="284"/>
    <n v="73.7"/>
    <n v="0"/>
    <s v="45%"/>
    <n v="33.164999999999999"/>
    <n v="1"/>
  </r>
  <r>
    <s v="CLI-00522"/>
    <x v="12"/>
    <n v="56"/>
    <s v="Premium 5G 150Go"/>
    <n v="123"/>
    <n v="29.76"/>
    <n v="5"/>
    <s v="0"/>
    <n v="0"/>
    <n v="1"/>
  </r>
  <r>
    <s v="CLI-00523"/>
    <x v="7"/>
    <n v="33"/>
    <s v="Pro Monde"/>
    <n v="207"/>
    <n v="38.49"/>
    <n v="4"/>
    <s v="10%"/>
    <n v="3.8490000000000002"/>
    <n v="1"/>
  </r>
  <r>
    <s v="CLI-00524"/>
    <x v="8"/>
    <n v="113"/>
    <s v="Premium 5G 150Go"/>
    <n v="207"/>
    <n v="21.55"/>
    <n v="0"/>
    <s v="0"/>
    <n v="0"/>
    <n v="1"/>
  </r>
  <r>
    <s v="CLI-00525"/>
    <x v="3"/>
    <n v="89"/>
    <s v="Illimité 50Go"/>
    <n v="418"/>
    <n v="86.63"/>
    <n v="4"/>
    <s v="45%"/>
    <n v="38.983499999999999"/>
    <n v="1"/>
  </r>
  <r>
    <s v="CLI-00530"/>
    <x v="24"/>
    <n v="35"/>
    <s v="Pro Monde"/>
    <n v="465"/>
    <n v="58.59"/>
    <n v="5"/>
    <s v="45%"/>
    <n v="26.365500000000001"/>
    <n v="1"/>
  </r>
  <r>
    <s v="CLI-00532"/>
    <x v="16"/>
    <n v="79"/>
    <s v="Illimité 50Go"/>
    <n v="139"/>
    <n v="16.25"/>
    <n v="4"/>
    <s v="0"/>
    <n v="0"/>
    <n v="1"/>
  </r>
  <r>
    <s v="CLI-00533"/>
    <x v="18"/>
    <n v="82"/>
    <s v="Premium 5G 150Go"/>
    <n v="32"/>
    <n v="77.63"/>
    <n v="1"/>
    <s v="0"/>
    <n v="0"/>
    <n v="1"/>
  </r>
  <r>
    <s v="CLI-00534"/>
    <x v="25"/>
    <n v="21"/>
    <s v="Bloqué 5Go"/>
    <n v="307"/>
    <n v="39.81"/>
    <n v="5"/>
    <s v="45%"/>
    <n v="17.9145"/>
    <n v="1"/>
  </r>
  <r>
    <s v="CLI-00535"/>
    <x v="14"/>
    <n v="74"/>
    <s v="Premium 5G 150Go"/>
    <n v="213"/>
    <n v="35.54"/>
    <n v="3"/>
    <s v="0"/>
    <n v="0"/>
    <n v="1"/>
  </r>
  <r>
    <s v="CLI-00537"/>
    <x v="13"/>
    <n v="99"/>
    <s v="Pro Monde"/>
    <n v="325"/>
    <n v="88.35"/>
    <n v="4"/>
    <s v="45%"/>
    <n v="39.7575"/>
    <n v="1"/>
  </r>
  <r>
    <s v="CLI-00540"/>
    <x v="21"/>
    <n v="15"/>
    <s v="Illimité 50Go"/>
    <n v="81"/>
    <n v="97.5"/>
    <n v="4"/>
    <s v="0"/>
    <n v="0"/>
    <n v="1"/>
  </r>
  <r>
    <s v="CLI-00541"/>
    <x v="15"/>
    <n v="36"/>
    <s v="Bloqué 5Go"/>
    <n v="303"/>
    <n v="89.56"/>
    <n v="1"/>
    <s v="45%"/>
    <n v="40.302"/>
    <n v="1"/>
  </r>
  <r>
    <s v="CLI-00543"/>
    <x v="11"/>
    <n v="15"/>
    <s v="Pro Monde"/>
    <n v="203"/>
    <n v="55.29"/>
    <n v="2"/>
    <s v="10%"/>
    <n v="5.5289999999999999"/>
    <n v="1"/>
  </r>
  <r>
    <s v="CLI-00546"/>
    <x v="5"/>
    <n v="25"/>
    <s v="Pro Monde"/>
    <n v="218"/>
    <n v="68.790000000000006"/>
    <n v="0"/>
    <s v="10%"/>
    <n v="6.8790000000000013"/>
    <n v="1"/>
  </r>
  <r>
    <s v="CLI-00549"/>
    <x v="9"/>
    <n v="49"/>
    <s v="Bloqué 5Go"/>
    <n v="288"/>
    <n v="91.32"/>
    <n v="4"/>
    <s v="45%"/>
    <n v="41.094000000000001"/>
    <n v="1"/>
  </r>
  <r>
    <s v="CLI-00550"/>
    <x v="7"/>
    <n v="58"/>
    <s v="Pro Monde"/>
    <n v="352"/>
    <n v="72.94"/>
    <n v="0"/>
    <s v="45%"/>
    <n v="32.823"/>
    <n v="1"/>
  </r>
  <r>
    <s v="CLI-00552"/>
    <x v="1"/>
    <n v="102"/>
    <s v="Illimité 50Go"/>
    <n v="240"/>
    <n v="12.52"/>
    <n v="2"/>
    <s v="45%"/>
    <n v="5.6340000000000003"/>
    <n v="1"/>
  </r>
  <r>
    <s v="CLI-00559"/>
    <x v="13"/>
    <n v="99"/>
    <s v="Bloqué 5Go"/>
    <n v="369"/>
    <n v="67.209999999999994"/>
    <n v="3"/>
    <s v="45%"/>
    <n v="30.244499999999999"/>
    <n v="1"/>
  </r>
  <r>
    <s v="CLI-00562"/>
    <x v="22"/>
    <n v="82"/>
    <s v="Premium 5G 150Go"/>
    <n v="264"/>
    <n v="88.03"/>
    <n v="1"/>
    <s v="45%"/>
    <n v="39.613500000000002"/>
    <n v="1"/>
  </r>
  <r>
    <s v="CLI-00563"/>
    <x v="7"/>
    <n v="72"/>
    <s v="Illimité 50Go"/>
    <n v="51"/>
    <n v="95.09"/>
    <n v="0"/>
    <s v="0"/>
    <n v="0"/>
    <n v="1"/>
  </r>
  <r>
    <s v="CLI-00569"/>
    <x v="19"/>
    <n v="110"/>
    <s v="Pro Monde"/>
    <n v="423"/>
    <n v="37.35"/>
    <n v="4"/>
    <s v="45%"/>
    <n v="16.807500000000001"/>
    <n v="1"/>
  </r>
  <r>
    <s v="CLI-00576"/>
    <x v="7"/>
    <n v="104"/>
    <s v="Pro Monde"/>
    <n v="60"/>
    <n v="45.51"/>
    <n v="1"/>
    <s v="10%"/>
    <n v="4.5510000000000002"/>
    <n v="1"/>
  </r>
  <r>
    <s v="CLI-00578"/>
    <x v="8"/>
    <n v="96"/>
    <s v="Illimité 50Go"/>
    <n v="290"/>
    <n v="29"/>
    <n v="3"/>
    <s v="45%"/>
    <n v="13.05"/>
    <n v="1"/>
  </r>
  <r>
    <s v="CLI-00580"/>
    <x v="7"/>
    <n v="17"/>
    <s v="Illimité 50Go"/>
    <n v="483"/>
    <n v="77.08"/>
    <n v="0"/>
    <s v="45%"/>
    <n v="34.686"/>
    <n v="1"/>
  </r>
  <r>
    <s v="CLI-00582"/>
    <x v="18"/>
    <n v="43"/>
    <s v="Premium 5G 150Go"/>
    <n v="193"/>
    <n v="35.81"/>
    <n v="0"/>
    <s v="0"/>
    <n v="0"/>
    <n v="1"/>
  </r>
  <r>
    <s v="CLI-00583"/>
    <x v="2"/>
    <n v="104"/>
    <s v="Pro Monde"/>
    <n v="125"/>
    <n v="29.7"/>
    <n v="2"/>
    <s v="10%"/>
    <n v="2.97"/>
    <n v="1"/>
  </r>
  <r>
    <s v="CLI-00584"/>
    <x v="21"/>
    <n v="6"/>
    <s v="Pro Monde"/>
    <n v="342"/>
    <n v="50.55"/>
    <n v="5"/>
    <s v="45%"/>
    <n v="22.747499999999999"/>
    <n v="1"/>
  </r>
  <r>
    <s v="CLI-00590"/>
    <x v="19"/>
    <n v="109"/>
    <s v="Illimité 50Go"/>
    <n v="347"/>
    <n v="43.06"/>
    <n v="4"/>
    <s v="45%"/>
    <n v="19.377000000000002"/>
    <n v="1"/>
  </r>
  <r>
    <s v="CLI-00595"/>
    <x v="18"/>
    <n v="110"/>
    <s v="Premium 5G 150Go"/>
    <n v="321"/>
    <n v="81.569999999999993"/>
    <n v="2"/>
    <s v="45%"/>
    <n v="36.706499999999998"/>
    <n v="1"/>
  </r>
  <r>
    <s v="CLI-00596"/>
    <x v="10"/>
    <n v="17"/>
    <s v="Illimité 50Go"/>
    <n v="310"/>
    <n v="19.68"/>
    <n v="5"/>
    <s v="45%"/>
    <n v="8.8559999999999999"/>
    <n v="1"/>
  </r>
  <r>
    <s v="CLI-00601"/>
    <x v="4"/>
    <n v="75"/>
    <s v="Bloqué 5Go"/>
    <n v="370"/>
    <n v="21.67"/>
    <n v="0"/>
    <s v="45%"/>
    <n v="9.7515000000000018"/>
    <n v="1"/>
  </r>
  <r>
    <s v="CLI-00604"/>
    <x v="1"/>
    <n v="12"/>
    <s v="Bloqué 5Go"/>
    <n v="62"/>
    <n v="36.1"/>
    <n v="5"/>
    <s v="0"/>
    <n v="0"/>
    <n v="1"/>
  </r>
  <r>
    <s v="CLI-00606"/>
    <x v="11"/>
    <n v="71"/>
    <s v="Pro Monde"/>
    <n v="111"/>
    <n v="95.53"/>
    <n v="3"/>
    <s v="10%"/>
    <n v="9.5530000000000008"/>
    <n v="1"/>
  </r>
  <r>
    <s v="CLI-00610"/>
    <x v="14"/>
    <n v="67"/>
    <s v="Premium 5G 150Go"/>
    <n v="241"/>
    <n v="47.72"/>
    <n v="0"/>
    <s v="45%"/>
    <n v="21.474"/>
    <n v="1"/>
  </r>
  <r>
    <s v="CLI-00611"/>
    <x v="23"/>
    <n v="79"/>
    <s v="Premium 5G 150Go"/>
    <n v="226"/>
    <n v="94.38"/>
    <n v="3"/>
    <s v="0"/>
    <n v="0"/>
    <n v="1"/>
  </r>
  <r>
    <s v="CLI-00612"/>
    <x v="17"/>
    <n v="53"/>
    <s v="Pro Monde"/>
    <n v="27"/>
    <n v="18.77"/>
    <n v="0"/>
    <s v="10%"/>
    <n v="1.877"/>
    <n v="1"/>
  </r>
  <r>
    <s v="CLI-00616"/>
    <x v="21"/>
    <n v="101"/>
    <s v="Bloqué 5Go"/>
    <n v="262"/>
    <n v="83.74"/>
    <n v="5"/>
    <s v="45%"/>
    <n v="37.683"/>
    <n v="1"/>
  </r>
  <r>
    <s v="CLI-00617"/>
    <x v="0"/>
    <n v="83"/>
    <s v="Pro Monde"/>
    <n v="420"/>
    <n v="94.9"/>
    <n v="1"/>
    <s v="45%"/>
    <n v="42.705000000000005"/>
    <n v="1"/>
  </r>
  <r>
    <s v="CLI-00620"/>
    <x v="2"/>
    <n v="23"/>
    <s v="Premium 5G 150Go"/>
    <n v="268"/>
    <n v="26.75"/>
    <n v="3"/>
    <s v="45%"/>
    <n v="12.0375"/>
    <n v="1"/>
  </r>
  <r>
    <s v="CLI-00621"/>
    <x v="0"/>
    <n v="67"/>
    <s v="Premium 5G 150Go"/>
    <n v="262"/>
    <n v="28.46"/>
    <n v="3"/>
    <s v="45%"/>
    <n v="12.807"/>
    <n v="1"/>
  </r>
  <r>
    <s v="CLI-00626"/>
    <x v="0"/>
    <n v="2"/>
    <s v="Pro Monde"/>
    <n v="142"/>
    <n v="37.799999999999997"/>
    <n v="0"/>
    <s v="10%"/>
    <n v="3.78"/>
    <n v="1"/>
  </r>
  <r>
    <s v="CLI-00632"/>
    <x v="1"/>
    <n v="109"/>
    <s v="Pro Monde"/>
    <n v="480"/>
    <n v="31.36"/>
    <n v="0"/>
    <s v="45%"/>
    <n v="14.112"/>
    <n v="1"/>
  </r>
  <r>
    <s v="CLI-00634"/>
    <x v="17"/>
    <n v="54"/>
    <s v="Bloqué 5Go"/>
    <n v="99"/>
    <n v="39.58"/>
    <n v="0"/>
    <s v="0"/>
    <n v="0"/>
    <n v="1"/>
  </r>
  <r>
    <s v="CLI-00636"/>
    <x v="5"/>
    <n v="118"/>
    <s v="Bloqué 5Go"/>
    <n v="461"/>
    <n v="47.82"/>
    <n v="5"/>
    <s v="45%"/>
    <n v="21.519000000000002"/>
    <n v="1"/>
  </r>
  <r>
    <s v="CLI-00642"/>
    <x v="24"/>
    <n v="86"/>
    <s v="Pro Monde"/>
    <n v="237"/>
    <n v="85.82"/>
    <n v="5"/>
    <s v="10%"/>
    <n v="8.581999999999999"/>
    <n v="1"/>
  </r>
  <r>
    <s v="CLI-00643"/>
    <x v="18"/>
    <n v="14"/>
    <s v="Pro Monde"/>
    <n v="316"/>
    <n v="62.34"/>
    <n v="4"/>
    <s v="45%"/>
    <n v="28.053000000000001"/>
    <n v="1"/>
  </r>
  <r>
    <s v="CLI-00647"/>
    <x v="1"/>
    <n v="41"/>
    <s v="Illimité 50Go"/>
    <n v="404"/>
    <n v="98.67"/>
    <n v="5"/>
    <s v="45%"/>
    <n v="44.401499999999999"/>
    <n v="1"/>
  </r>
  <r>
    <s v="CLI-00649"/>
    <x v="21"/>
    <n v="79"/>
    <s v="Illimité 50Go"/>
    <n v="403"/>
    <n v="21.49"/>
    <n v="0"/>
    <s v="45%"/>
    <n v="9.6704999999999988"/>
    <n v="1"/>
  </r>
  <r>
    <s v="CLI-00650"/>
    <x v="7"/>
    <n v="89"/>
    <s v="Pro Monde"/>
    <n v="203"/>
    <n v="80.680000000000007"/>
    <n v="5"/>
    <s v="10%"/>
    <n v="8.0680000000000014"/>
    <n v="1"/>
  </r>
  <r>
    <s v="CLI-00655"/>
    <x v="11"/>
    <n v="18"/>
    <s v="Bloqué 5Go"/>
    <n v="291"/>
    <n v="97.98"/>
    <n v="1"/>
    <s v="45%"/>
    <n v="44.091000000000001"/>
    <n v="1"/>
  </r>
  <r>
    <s v="CLI-00662"/>
    <x v="16"/>
    <n v="12"/>
    <s v="Illimité 50Go"/>
    <n v="138"/>
    <n v="17"/>
    <n v="2"/>
    <s v="0"/>
    <n v="0"/>
    <n v="1"/>
  </r>
  <r>
    <s v="CLI-00663"/>
    <x v="4"/>
    <n v="96"/>
    <s v="Illimité 50Go"/>
    <n v="381"/>
    <n v="90.78"/>
    <n v="2"/>
    <s v="45%"/>
    <n v="40.850999999999999"/>
    <n v="1"/>
  </r>
  <r>
    <s v="CLI-00666"/>
    <x v="2"/>
    <n v="120"/>
    <s v="Bloqué 5Go"/>
    <n v="27"/>
    <n v="24.46"/>
    <n v="3"/>
    <s v="0"/>
    <n v="0"/>
    <n v="1"/>
  </r>
  <r>
    <s v="CLI-00670"/>
    <x v="9"/>
    <n v="65"/>
    <s v="Bloqué 5Go"/>
    <n v="118"/>
    <n v="72.430000000000007"/>
    <n v="1"/>
    <s v="0"/>
    <n v="0"/>
    <n v="1"/>
  </r>
  <r>
    <s v="CLI-00671"/>
    <x v="13"/>
    <n v="13"/>
    <s v="Pro Monde"/>
    <n v="347"/>
    <n v="32.35"/>
    <n v="2"/>
    <s v="45%"/>
    <n v="14.557500000000001"/>
    <n v="1"/>
  </r>
  <r>
    <s v="CLI-00674"/>
    <x v="17"/>
    <n v="120"/>
    <s v="Pro Monde"/>
    <n v="72"/>
    <n v="29.07"/>
    <n v="3"/>
    <s v="10%"/>
    <n v="2.907"/>
    <n v="1"/>
  </r>
  <r>
    <s v="CLI-00675"/>
    <x v="15"/>
    <n v="114"/>
    <s v="Premium 5G 150Go"/>
    <n v="283"/>
    <n v="29.15"/>
    <n v="3"/>
    <s v="45%"/>
    <n v="13.1175"/>
    <n v="1"/>
  </r>
  <r>
    <s v="CLI-00682"/>
    <x v="14"/>
    <n v="58"/>
    <s v="Bloqué 5Go"/>
    <n v="405"/>
    <n v="18.39"/>
    <n v="0"/>
    <s v="45%"/>
    <n v="8.275500000000001"/>
    <n v="1"/>
  </r>
  <r>
    <s v="CLI-00684"/>
    <x v="17"/>
    <n v="94"/>
    <s v="Illimité 50Go"/>
    <n v="261"/>
    <n v="70.09"/>
    <n v="3"/>
    <s v="45%"/>
    <n v="31.540500000000002"/>
    <n v="1"/>
  </r>
  <r>
    <s v="CLI-00695"/>
    <x v="14"/>
    <n v="74"/>
    <s v="Illimité 50Go"/>
    <n v="253"/>
    <n v="36.94"/>
    <n v="5"/>
    <s v="45%"/>
    <n v="16.623000000000001"/>
    <n v="1"/>
  </r>
  <r>
    <s v="CLI-00700"/>
    <x v="2"/>
    <n v="50"/>
    <s v="Illimité 50Go"/>
    <n v="177"/>
    <n v="74.569999999999993"/>
    <n v="4"/>
    <s v="0"/>
    <n v="0"/>
    <n v="1"/>
  </r>
  <r>
    <s v="CLI-00705"/>
    <x v="7"/>
    <n v="26"/>
    <s v="Illimité 50Go"/>
    <n v="378"/>
    <n v="88.59"/>
    <n v="4"/>
    <s v="45%"/>
    <n v="39.865500000000004"/>
    <n v="1"/>
  </r>
  <r>
    <s v="CLI-00711"/>
    <x v="13"/>
    <n v="26"/>
    <s v="Premium 5G 150Go"/>
    <n v="391"/>
    <n v="18.28"/>
    <n v="3"/>
    <s v="45%"/>
    <n v="8.2260000000000009"/>
    <n v="1"/>
  </r>
  <r>
    <s v="CLI-00716"/>
    <x v="3"/>
    <n v="104"/>
    <s v="Pro Monde"/>
    <n v="421"/>
    <n v="26.24"/>
    <n v="3"/>
    <s v="45%"/>
    <n v="11.808"/>
    <n v="1"/>
  </r>
  <r>
    <s v="CLI-00721"/>
    <x v="6"/>
    <n v="108"/>
    <s v="Premium 5G 150Go"/>
    <n v="230"/>
    <n v="16.3"/>
    <n v="5"/>
    <s v="0"/>
    <n v="0"/>
    <n v="1"/>
  </r>
  <r>
    <s v="CLI-00726"/>
    <x v="6"/>
    <n v="103"/>
    <s v="Pro Monde"/>
    <n v="270"/>
    <n v="67.87"/>
    <n v="3"/>
    <s v="45%"/>
    <n v="30.541500000000003"/>
    <n v="1"/>
  </r>
  <r>
    <s v="CLI-00728"/>
    <x v="23"/>
    <n v="93"/>
    <s v="Pro Monde"/>
    <n v="56"/>
    <n v="96.31"/>
    <n v="4"/>
    <s v="10%"/>
    <n v="9.6310000000000002"/>
    <n v="1"/>
  </r>
  <r>
    <s v="CLI-00731"/>
    <x v="8"/>
    <n v="86"/>
    <s v="Premium 5G 150Go"/>
    <n v="452"/>
    <n v="75.680000000000007"/>
    <n v="0"/>
    <s v="45%"/>
    <n v="34.056000000000004"/>
    <n v="1"/>
  </r>
  <r>
    <s v="CLI-00736"/>
    <x v="17"/>
    <n v="47"/>
    <s v="Illimité 50Go"/>
    <n v="385"/>
    <n v="41.33"/>
    <n v="0"/>
    <s v="45%"/>
    <n v="18.598500000000001"/>
    <n v="1"/>
  </r>
  <r>
    <s v="CLI-00739"/>
    <x v="1"/>
    <n v="83"/>
    <s v="Premium 5G 150Go"/>
    <n v="105"/>
    <n v="20.46"/>
    <n v="1"/>
    <s v="0"/>
    <n v="0"/>
    <n v="1"/>
  </r>
  <r>
    <s v="CLI-00744"/>
    <x v="15"/>
    <n v="84"/>
    <s v="Bloqué 5Go"/>
    <n v="317"/>
    <n v="36.200000000000003"/>
    <n v="3"/>
    <s v="45%"/>
    <n v="16.290000000000003"/>
    <n v="1"/>
  </r>
  <r>
    <s v="CLI-00745"/>
    <x v="20"/>
    <n v="6"/>
    <s v="Premium 5G 150Go"/>
    <n v="207"/>
    <n v="61.55"/>
    <n v="0"/>
    <s v="0"/>
    <n v="0"/>
    <n v="1"/>
  </r>
  <r>
    <s v="CLI-00753"/>
    <x v="8"/>
    <n v="40"/>
    <s v="Premium 5G 150Go"/>
    <n v="102"/>
    <n v="96.59"/>
    <n v="5"/>
    <s v="0"/>
    <n v="0"/>
    <n v="1"/>
  </r>
  <r>
    <s v="CLI-00754"/>
    <x v="2"/>
    <n v="42"/>
    <s v="Illimité 50Go"/>
    <n v="173"/>
    <n v="69.19"/>
    <n v="4"/>
    <s v="0"/>
    <n v="0"/>
    <n v="1"/>
  </r>
  <r>
    <s v="CLI-00755"/>
    <x v="9"/>
    <n v="51"/>
    <s v="Bloqué 5Go"/>
    <n v="337"/>
    <n v="68.67"/>
    <n v="5"/>
    <s v="45%"/>
    <n v="30.901500000000002"/>
    <n v="1"/>
  </r>
  <r>
    <s v="CLI-00758"/>
    <x v="1"/>
    <n v="108"/>
    <s v="Illimité 50Go"/>
    <n v="123"/>
    <n v="83.1"/>
    <n v="1"/>
    <s v="0"/>
    <n v="0"/>
    <n v="1"/>
  </r>
  <r>
    <s v="CLI-00760"/>
    <x v="11"/>
    <n v="113"/>
    <s v="Premium 5G 150Go"/>
    <n v="89"/>
    <n v="54.28"/>
    <n v="0"/>
    <s v="0"/>
    <n v="0"/>
    <n v="1"/>
  </r>
  <r>
    <s v="CLI-00766"/>
    <x v="6"/>
    <n v="101"/>
    <s v="Bloqué 5Go"/>
    <n v="416"/>
    <n v="83.49"/>
    <n v="2"/>
    <s v="45%"/>
    <n v="37.570499999999996"/>
    <n v="1"/>
  </r>
  <r>
    <s v="CLI-00768"/>
    <x v="20"/>
    <n v="74"/>
    <s v="Premium 5G 150Go"/>
    <n v="208"/>
    <n v="39.56"/>
    <n v="0"/>
    <s v="0"/>
    <n v="0"/>
    <n v="1"/>
  </r>
  <r>
    <s v="CLI-00773"/>
    <x v="14"/>
    <n v="10"/>
    <s v="Bloqué 5Go"/>
    <n v="93"/>
    <n v="78.12"/>
    <n v="4"/>
    <s v="0"/>
    <n v="0"/>
    <n v="1"/>
  </r>
  <r>
    <s v="CLI-00781"/>
    <x v="0"/>
    <n v="16"/>
    <s v="Premium 5G 150Go"/>
    <n v="391"/>
    <n v="90.12"/>
    <n v="5"/>
    <s v="45%"/>
    <n v="40.554000000000002"/>
    <n v="1"/>
  </r>
  <r>
    <s v="CLI-00782"/>
    <x v="12"/>
    <n v="59"/>
    <s v="Pro Monde"/>
    <n v="72"/>
    <n v="94.51"/>
    <n v="2"/>
    <s v="10%"/>
    <n v="9.4510000000000005"/>
    <n v="1"/>
  </r>
  <r>
    <s v="CLI-00783"/>
    <x v="7"/>
    <n v="41"/>
    <s v="Pro Monde"/>
    <n v="474"/>
    <n v="54.03"/>
    <n v="4"/>
    <s v="45%"/>
    <n v="24.313500000000001"/>
    <n v="1"/>
  </r>
  <r>
    <s v="CLI-00786"/>
    <x v="9"/>
    <n v="5"/>
    <s v="Illimité 50Go"/>
    <n v="337"/>
    <n v="21.07"/>
    <n v="4"/>
    <s v="45%"/>
    <n v="9.4815000000000005"/>
    <n v="1"/>
  </r>
  <r>
    <s v="CLI-00788"/>
    <x v="22"/>
    <n v="118"/>
    <s v="Illimité 50Go"/>
    <n v="430"/>
    <n v="36.97"/>
    <n v="2"/>
    <s v="45%"/>
    <n v="16.636500000000002"/>
    <n v="1"/>
  </r>
  <r>
    <s v="CLI-00795"/>
    <x v="1"/>
    <n v="53"/>
    <s v="Premium 5G 150Go"/>
    <n v="243"/>
    <n v="55.19"/>
    <n v="4"/>
    <s v="45%"/>
    <n v="24.8355"/>
    <n v="1"/>
  </r>
  <r>
    <s v="CLI-00796"/>
    <x v="23"/>
    <n v="95"/>
    <s v="Pro Monde"/>
    <n v="95"/>
    <n v="82.65"/>
    <n v="2"/>
    <s v="10%"/>
    <n v="8.2650000000000006"/>
    <n v="1"/>
  </r>
  <r>
    <s v="CLI-00799"/>
    <x v="23"/>
    <n v="83"/>
    <s v="Illimité 50Go"/>
    <n v="14"/>
    <n v="58.07"/>
    <n v="3"/>
    <s v="0"/>
    <n v="0"/>
    <n v="1"/>
  </r>
  <r>
    <s v="CLI-00800"/>
    <x v="9"/>
    <n v="4"/>
    <s v="Bloqué 5Go"/>
    <n v="21"/>
    <n v="45.8"/>
    <n v="1"/>
    <s v="0"/>
    <n v="0"/>
    <n v="1"/>
  </r>
  <r>
    <s v="CLI-00803"/>
    <x v="5"/>
    <n v="35"/>
    <s v="Pro Monde"/>
    <n v="299"/>
    <n v="96.32"/>
    <n v="4"/>
    <s v="45%"/>
    <n v="43.344000000000001"/>
    <n v="1"/>
  </r>
  <r>
    <s v="CLI-00805"/>
    <x v="16"/>
    <n v="97"/>
    <s v="Bloqué 5Go"/>
    <n v="484"/>
    <n v="61.98"/>
    <n v="1"/>
    <s v="45%"/>
    <n v="27.890999999999998"/>
    <n v="1"/>
  </r>
  <r>
    <s v="CLI-00806"/>
    <x v="17"/>
    <n v="76"/>
    <s v="Illimité 50Go"/>
    <n v="383"/>
    <n v="53.73"/>
    <n v="2"/>
    <s v="45%"/>
    <n v="24.1785"/>
    <n v="1"/>
  </r>
  <r>
    <s v="CLI-00808"/>
    <x v="9"/>
    <n v="10"/>
    <s v="Premium 5G 150Go"/>
    <n v="425"/>
    <n v="85.75"/>
    <n v="0"/>
    <s v="45%"/>
    <n v="38.587499999999999"/>
    <n v="1"/>
  </r>
  <r>
    <s v="CLI-00809"/>
    <x v="15"/>
    <n v="68"/>
    <s v="Pro Monde"/>
    <n v="462"/>
    <n v="41.91"/>
    <n v="1"/>
    <s v="45%"/>
    <n v="18.859500000000001"/>
    <n v="1"/>
  </r>
  <r>
    <s v="CLI-00813"/>
    <x v="8"/>
    <n v="16"/>
    <s v="Bloqué 5Go"/>
    <n v="43"/>
    <n v="56.48"/>
    <n v="0"/>
    <s v="0"/>
    <n v="0"/>
    <n v="1"/>
  </r>
  <r>
    <s v="CLI-00815"/>
    <x v="22"/>
    <n v="109"/>
    <s v="Pro Monde"/>
    <n v="397"/>
    <n v="63.92"/>
    <n v="1"/>
    <s v="45%"/>
    <n v="28.764000000000003"/>
    <n v="1"/>
  </r>
  <r>
    <s v="CLI-00817"/>
    <x v="17"/>
    <n v="61"/>
    <s v="Premium 5G 150Go"/>
    <n v="140"/>
    <n v="76.3"/>
    <n v="4"/>
    <s v="0"/>
    <n v="0"/>
    <n v="1"/>
  </r>
  <r>
    <s v="CLI-00819"/>
    <x v="22"/>
    <n v="96"/>
    <s v="Pro Monde"/>
    <n v="280"/>
    <n v="80.36"/>
    <n v="5"/>
    <s v="45%"/>
    <n v="36.161999999999999"/>
    <n v="1"/>
  </r>
  <r>
    <s v="CLI-00821"/>
    <x v="22"/>
    <n v="25"/>
    <s v="Bloqué 5Go"/>
    <n v="33"/>
    <n v="30.93"/>
    <n v="1"/>
    <s v="0"/>
    <n v="0"/>
    <n v="1"/>
  </r>
  <r>
    <s v="CLI-00822"/>
    <x v="24"/>
    <n v="45"/>
    <s v="Illimité 50Go"/>
    <n v="43"/>
    <n v="12.31"/>
    <n v="0"/>
    <s v="0"/>
    <n v="0"/>
    <n v="1"/>
  </r>
  <r>
    <s v="CLI-00825"/>
    <x v="9"/>
    <n v="63"/>
    <s v="Illimité 50Go"/>
    <n v="109"/>
    <n v="10.33"/>
    <n v="3"/>
    <s v="0"/>
    <n v="0"/>
    <n v="1"/>
  </r>
  <r>
    <s v="CLI-00830"/>
    <x v="21"/>
    <n v="41"/>
    <s v="Illimité 50Go"/>
    <n v="90"/>
    <n v="97.26"/>
    <n v="1"/>
    <s v="0"/>
    <n v="0"/>
    <n v="1"/>
  </r>
  <r>
    <s v="CLI-00833"/>
    <x v="3"/>
    <n v="35"/>
    <s v="Illimité 50Go"/>
    <n v="107"/>
    <n v="66.69"/>
    <n v="4"/>
    <s v="0"/>
    <n v="0"/>
    <n v="1"/>
  </r>
  <r>
    <s v="CLI-00834"/>
    <x v="13"/>
    <n v="106"/>
    <s v="Bloqué 5Go"/>
    <n v="400"/>
    <n v="70.02"/>
    <n v="4"/>
    <s v="45%"/>
    <n v="31.509"/>
    <n v="1"/>
  </r>
  <r>
    <s v="CLI-00837"/>
    <x v="9"/>
    <n v="16"/>
    <s v="Bloqué 5Go"/>
    <n v="390"/>
    <n v="98.17"/>
    <n v="5"/>
    <s v="45%"/>
    <n v="44.176500000000004"/>
    <n v="1"/>
  </r>
  <r>
    <s v="CLI-00841"/>
    <x v="18"/>
    <n v="92"/>
    <s v="Bloqué 5Go"/>
    <n v="472"/>
    <n v="78.44"/>
    <n v="1"/>
    <s v="45%"/>
    <n v="35.298000000000002"/>
    <n v="1"/>
  </r>
  <r>
    <s v="CLI-00846"/>
    <x v="3"/>
    <n v="115"/>
    <s v="Bloqué 5Go"/>
    <n v="236"/>
    <n v="50.64"/>
    <n v="1"/>
    <s v="0"/>
    <n v="0"/>
    <n v="1"/>
  </r>
  <r>
    <s v="CLI-00849"/>
    <x v="4"/>
    <n v="63"/>
    <s v="Illimité 50Go"/>
    <n v="95"/>
    <n v="56.81"/>
    <n v="0"/>
    <s v="0"/>
    <n v="0"/>
    <n v="1"/>
  </r>
  <r>
    <s v="CLI-00852"/>
    <x v="19"/>
    <n v="119"/>
    <s v="Bloqué 5Go"/>
    <n v="133"/>
    <n v="30.27"/>
    <n v="5"/>
    <s v="0"/>
    <n v="0"/>
    <n v="1"/>
  </r>
  <r>
    <s v="CLI-00853"/>
    <x v="23"/>
    <n v="14"/>
    <s v="Illimité 50Go"/>
    <n v="304"/>
    <n v="48.13"/>
    <n v="2"/>
    <s v="45%"/>
    <n v="21.6585"/>
    <n v="1"/>
  </r>
  <r>
    <s v="CLI-00855"/>
    <x v="19"/>
    <n v="18"/>
    <s v="Bloqué 5Go"/>
    <n v="463"/>
    <n v="41.66"/>
    <n v="4"/>
    <s v="45%"/>
    <n v="18.747"/>
    <n v="1"/>
  </r>
  <r>
    <s v="CLI-00857"/>
    <x v="4"/>
    <n v="76"/>
    <s v="Illimité 50Go"/>
    <n v="332"/>
    <n v="68.010000000000005"/>
    <n v="4"/>
    <s v="45%"/>
    <n v="30.604500000000002"/>
    <n v="1"/>
  </r>
  <r>
    <s v="CLI-00862"/>
    <x v="16"/>
    <n v="48"/>
    <s v="Bloqué 5Go"/>
    <n v="436"/>
    <n v="15.17"/>
    <n v="0"/>
    <s v="45%"/>
    <n v="6.8265000000000002"/>
    <n v="1"/>
  </r>
  <r>
    <s v="CLI-00865"/>
    <x v="2"/>
    <n v="34"/>
    <s v="Pro Monde"/>
    <n v="453"/>
    <n v="56.84"/>
    <n v="0"/>
    <s v="45%"/>
    <n v="25.578000000000003"/>
    <n v="1"/>
  </r>
  <r>
    <s v="CLI-00866"/>
    <x v="17"/>
    <n v="31"/>
    <s v="Bloqué 5Go"/>
    <n v="160"/>
    <n v="59.76"/>
    <n v="4"/>
    <s v="0"/>
    <n v="0"/>
    <n v="1"/>
  </r>
  <r>
    <s v="CLI-00867"/>
    <x v="8"/>
    <n v="74"/>
    <s v="Illimité 50Go"/>
    <n v="9"/>
    <n v="99.89"/>
    <n v="0"/>
    <s v="0"/>
    <n v="0"/>
    <n v="1"/>
  </r>
  <r>
    <s v="CLI-00868"/>
    <x v="5"/>
    <n v="88"/>
    <s v="Illimité 50Go"/>
    <n v="319"/>
    <n v="56.18"/>
    <n v="0"/>
    <s v="45%"/>
    <n v="25.280999999999999"/>
    <n v="1"/>
  </r>
  <r>
    <s v="CLI-00871"/>
    <x v="21"/>
    <n v="81"/>
    <s v="Illimité 50Go"/>
    <n v="64"/>
    <n v="43.45"/>
    <n v="2"/>
    <s v="0"/>
    <n v="0"/>
    <n v="1"/>
  </r>
  <r>
    <s v="CLI-00873"/>
    <x v="11"/>
    <n v="74"/>
    <s v="Illimité 50Go"/>
    <n v="16"/>
    <n v="93.01"/>
    <n v="3"/>
    <s v="0"/>
    <n v="0"/>
    <n v="1"/>
  </r>
  <r>
    <s v="CLI-00876"/>
    <x v="14"/>
    <n v="108"/>
    <s v="Bloqué 5Go"/>
    <n v="460"/>
    <n v="88.95"/>
    <n v="3"/>
    <s v="45%"/>
    <n v="40.027500000000003"/>
    <n v="1"/>
  </r>
  <r>
    <s v="CLI-00879"/>
    <x v="24"/>
    <n v="91"/>
    <s v="Illimité 50Go"/>
    <n v="63"/>
    <n v="57.76"/>
    <n v="5"/>
    <s v="0"/>
    <n v="0"/>
    <n v="1"/>
  </r>
  <r>
    <s v="CLI-00881"/>
    <x v="10"/>
    <n v="7"/>
    <s v="Illimité 50Go"/>
    <n v="94"/>
    <n v="68.38"/>
    <n v="3"/>
    <s v="0"/>
    <n v="0"/>
    <n v="1"/>
  </r>
  <r>
    <s v="CLI-00884"/>
    <x v="22"/>
    <n v="47"/>
    <s v="Premium 5G 150Go"/>
    <n v="49"/>
    <n v="55.88"/>
    <n v="3"/>
    <s v="0"/>
    <n v="0"/>
    <n v="1"/>
  </r>
  <r>
    <s v="CLI-00885"/>
    <x v="9"/>
    <n v="54"/>
    <s v="Illimité 50Go"/>
    <n v="215"/>
    <n v="54.69"/>
    <n v="0"/>
    <s v="0"/>
    <n v="0"/>
    <n v="1"/>
  </r>
  <r>
    <s v="CLI-00886"/>
    <x v="2"/>
    <n v="80"/>
    <s v="Pro Monde"/>
    <n v="458"/>
    <n v="98.11"/>
    <n v="0"/>
    <s v="45%"/>
    <n v="44.149500000000003"/>
    <n v="1"/>
  </r>
  <r>
    <s v="CLI-00887"/>
    <x v="10"/>
    <n v="115"/>
    <s v="Illimité 50Go"/>
    <n v="467"/>
    <n v="24.57"/>
    <n v="3"/>
    <s v="45%"/>
    <n v="11.0565"/>
    <n v="1"/>
  </r>
  <r>
    <s v="CLI-00889"/>
    <x v="9"/>
    <n v="104"/>
    <s v="Illimité 50Go"/>
    <n v="50"/>
    <n v="90.99"/>
    <n v="4"/>
    <s v="0"/>
    <n v="0"/>
    <n v="1"/>
  </r>
  <r>
    <s v="CLI-00890"/>
    <x v="5"/>
    <n v="103"/>
    <s v="Premium 5G 150Go"/>
    <n v="310"/>
    <n v="49.25"/>
    <n v="2"/>
    <s v="45%"/>
    <n v="22.162500000000001"/>
    <n v="1"/>
  </r>
  <r>
    <s v="CLI-00892"/>
    <x v="15"/>
    <n v="32"/>
    <s v="Pro Monde"/>
    <n v="4"/>
    <n v="39"/>
    <n v="0"/>
    <s v="10%"/>
    <n v="3.9000000000000004"/>
    <n v="1"/>
  </r>
  <r>
    <s v="CLI-00893"/>
    <x v="14"/>
    <n v="54"/>
    <s v="Bloqué 5Go"/>
    <n v="450"/>
    <n v="90.85"/>
    <n v="1"/>
    <s v="45%"/>
    <n v="40.8825"/>
    <n v="1"/>
  </r>
  <r>
    <s v="CLI-00894"/>
    <x v="6"/>
    <n v="63"/>
    <s v="Pro Monde"/>
    <n v="205"/>
    <n v="89.19"/>
    <n v="0"/>
    <s v="10%"/>
    <n v="8.9190000000000005"/>
    <n v="1"/>
  </r>
  <r>
    <s v="CLI-00896"/>
    <x v="14"/>
    <n v="16"/>
    <s v="Premium 5G 150Go"/>
    <n v="274"/>
    <n v="27.97"/>
    <n v="4"/>
    <s v="45%"/>
    <n v="12.586499999999999"/>
    <n v="1"/>
  </r>
  <r>
    <s v="CLI-00898"/>
    <x v="25"/>
    <n v="95"/>
    <s v="Premium 5G 150Go"/>
    <n v="313"/>
    <n v="32.49"/>
    <n v="1"/>
    <s v="45%"/>
    <n v="14.620500000000002"/>
    <n v="1"/>
  </r>
  <r>
    <s v="CLI-00899"/>
    <x v="0"/>
    <n v="48"/>
    <s v="Pro Monde"/>
    <n v="76"/>
    <n v="39.35"/>
    <n v="2"/>
    <s v="10%"/>
    <n v="3.9350000000000005"/>
    <n v="1"/>
  </r>
  <r>
    <s v="CLI-00901"/>
    <x v="14"/>
    <n v="83"/>
    <s v="Bloqué 5Go"/>
    <n v="126"/>
    <n v="67.17"/>
    <n v="1"/>
    <s v="0"/>
    <n v="0"/>
    <n v="1"/>
  </r>
  <r>
    <s v="CLI-00902"/>
    <x v="2"/>
    <n v="96"/>
    <s v="Illimité 50Go"/>
    <n v="155"/>
    <n v="69.16"/>
    <n v="4"/>
    <s v="0"/>
    <n v="0"/>
    <n v="1"/>
  </r>
  <r>
    <s v="CLI-00905"/>
    <x v="9"/>
    <n v="13"/>
    <s v="Illimité 50Go"/>
    <n v="482"/>
    <n v="50.15"/>
    <n v="0"/>
    <s v="45%"/>
    <n v="22.567499999999999"/>
    <n v="1"/>
  </r>
  <r>
    <s v="CLI-00907"/>
    <x v="6"/>
    <n v="4"/>
    <s v="Bloqué 5Go"/>
    <n v="227"/>
    <n v="83.32"/>
    <n v="2"/>
    <s v="0"/>
    <n v="0"/>
    <n v="1"/>
  </r>
  <r>
    <s v="CLI-00909"/>
    <x v="12"/>
    <n v="49"/>
    <s v="Illimité 50Go"/>
    <n v="6"/>
    <n v="44.41"/>
    <n v="3"/>
    <s v="0"/>
    <n v="0"/>
    <n v="1"/>
  </r>
  <r>
    <s v="CLI-00912"/>
    <x v="8"/>
    <n v="37"/>
    <s v="Premium 5G 150Go"/>
    <n v="420"/>
    <n v="67.260000000000005"/>
    <n v="4"/>
    <s v="45%"/>
    <n v="30.267000000000003"/>
    <n v="1"/>
  </r>
  <r>
    <s v="CLI-00913"/>
    <x v="5"/>
    <n v="88"/>
    <s v="Bloqué 5Go"/>
    <n v="246"/>
    <n v="90.7"/>
    <n v="3"/>
    <s v="45%"/>
    <n v="40.815000000000005"/>
    <n v="1"/>
  </r>
  <r>
    <s v="CLI-00919"/>
    <x v="21"/>
    <n v="26"/>
    <s v="Bloqué 5Go"/>
    <n v="413"/>
    <n v="10.9"/>
    <n v="5"/>
    <s v="45%"/>
    <n v="4.9050000000000002"/>
    <n v="1"/>
  </r>
  <r>
    <s v="CLI-00921"/>
    <x v="14"/>
    <n v="86"/>
    <s v="Pro Monde"/>
    <n v="353"/>
    <n v="25.37"/>
    <n v="1"/>
    <s v="45%"/>
    <n v="11.416500000000001"/>
    <n v="1"/>
  </r>
  <r>
    <s v="CLI-00922"/>
    <x v="7"/>
    <n v="101"/>
    <s v="Pro Monde"/>
    <n v="108"/>
    <n v="76.05"/>
    <n v="3"/>
    <s v="10%"/>
    <n v="7.6050000000000004"/>
    <n v="1"/>
  </r>
  <r>
    <s v="CLI-00924"/>
    <x v="21"/>
    <n v="105"/>
    <s v="Premium 5G 150Go"/>
    <n v="17"/>
    <n v="60.05"/>
    <n v="4"/>
    <s v="0"/>
    <n v="0"/>
    <n v="1"/>
  </r>
  <r>
    <s v="CLI-00925"/>
    <x v="19"/>
    <n v="61"/>
    <s v="Illimité 50Go"/>
    <n v="87"/>
    <n v="68.319999999999993"/>
    <n v="2"/>
    <s v="0"/>
    <n v="0"/>
    <n v="1"/>
  </r>
  <r>
    <s v="CLI-00928"/>
    <x v="20"/>
    <n v="94"/>
    <s v="Illimité 50Go"/>
    <n v="6"/>
    <n v="67.459999999999994"/>
    <n v="5"/>
    <s v="0"/>
    <n v="0"/>
    <n v="1"/>
  </r>
  <r>
    <s v="CLI-00929"/>
    <x v="16"/>
    <n v="6"/>
    <s v="Pro Monde"/>
    <n v="109"/>
    <n v="39.880000000000003"/>
    <n v="4"/>
    <s v="10%"/>
    <n v="3.9880000000000004"/>
    <n v="1"/>
  </r>
  <r>
    <s v="CLI-00930"/>
    <x v="23"/>
    <n v="62"/>
    <s v="Illimité 50Go"/>
    <n v="136"/>
    <n v="88.61"/>
    <n v="2"/>
    <s v="0"/>
    <n v="0"/>
    <n v="1"/>
  </r>
  <r>
    <s v="CLI-00932"/>
    <x v="24"/>
    <n v="34"/>
    <s v="Illimité 50Go"/>
    <n v="181"/>
    <n v="35.92"/>
    <n v="2"/>
    <s v="0"/>
    <n v="0"/>
    <n v="1"/>
  </r>
  <r>
    <s v="CLI-00938"/>
    <x v="2"/>
    <n v="99"/>
    <s v="Pro Monde"/>
    <n v="138"/>
    <n v="54.64"/>
    <n v="5"/>
    <s v="10%"/>
    <n v="5.4640000000000004"/>
    <n v="1"/>
  </r>
  <r>
    <s v="CLI-00939"/>
    <x v="19"/>
    <n v="59"/>
    <s v="Premium 5G 150Go"/>
    <n v="352"/>
    <n v="74.239999999999995"/>
    <n v="0"/>
    <s v="45%"/>
    <n v="33.408000000000001"/>
    <n v="1"/>
  </r>
  <r>
    <s v="CLI-00943"/>
    <x v="1"/>
    <n v="19"/>
    <s v="Bloqué 5Go"/>
    <n v="71"/>
    <n v="68.2"/>
    <n v="0"/>
    <s v="0"/>
    <n v="0"/>
    <n v="1"/>
  </r>
  <r>
    <s v="CLI-00948"/>
    <x v="18"/>
    <n v="56"/>
    <s v="Pro Monde"/>
    <n v="55"/>
    <n v="82.56"/>
    <n v="2"/>
    <s v="10%"/>
    <n v="8.2560000000000002"/>
    <n v="1"/>
  </r>
  <r>
    <s v="CLI-00950"/>
    <x v="0"/>
    <n v="94"/>
    <s v="Pro Monde"/>
    <n v="247"/>
    <n v="96.57"/>
    <n v="0"/>
    <s v="45%"/>
    <n v="43.456499999999998"/>
    <n v="1"/>
  </r>
  <r>
    <s v="CLI-00952"/>
    <x v="23"/>
    <n v="14"/>
    <s v="Pro Monde"/>
    <n v="236"/>
    <n v="54.43"/>
    <n v="3"/>
    <s v="10%"/>
    <n v="5.4430000000000005"/>
    <n v="1"/>
  </r>
  <r>
    <s v="CLI-00957"/>
    <x v="23"/>
    <n v="63"/>
    <s v="Pro Monde"/>
    <n v="121"/>
    <n v="39.18"/>
    <n v="2"/>
    <s v="10%"/>
    <n v="3.9180000000000001"/>
    <n v="1"/>
  </r>
  <r>
    <s v="CLI-00959"/>
    <x v="8"/>
    <n v="111"/>
    <s v="Bloqué 5Go"/>
    <n v="194"/>
    <n v="48.55"/>
    <n v="2"/>
    <s v="0"/>
    <n v="0"/>
    <n v="1"/>
  </r>
  <r>
    <s v="CLI-00960"/>
    <x v="1"/>
    <n v="25"/>
    <s v="Pro Monde"/>
    <n v="66"/>
    <n v="90.14"/>
    <n v="5"/>
    <s v="10%"/>
    <n v="9.0140000000000011"/>
    <n v="1"/>
  </r>
  <r>
    <s v="CLI-00961"/>
    <x v="22"/>
    <n v="37"/>
    <s v="Pro Monde"/>
    <n v="88"/>
    <n v="77.77"/>
    <n v="1"/>
    <s v="10%"/>
    <n v="7.7770000000000001"/>
    <n v="1"/>
  </r>
  <r>
    <s v="CLI-00962"/>
    <x v="5"/>
    <n v="29"/>
    <s v="Bloqué 5Go"/>
    <n v="306"/>
    <n v="82.16"/>
    <n v="1"/>
    <s v="45%"/>
    <n v="36.972000000000001"/>
    <n v="1"/>
  </r>
  <r>
    <s v="CLI-00964"/>
    <x v="10"/>
    <n v="13"/>
    <s v="Pro Monde"/>
    <n v="87"/>
    <n v="66.36"/>
    <n v="0"/>
    <s v="10%"/>
    <n v="6.6360000000000001"/>
    <n v="1"/>
  </r>
  <r>
    <s v="CLI-00965"/>
    <x v="7"/>
    <n v="27"/>
    <s v="Premium 5G 150Go"/>
    <n v="369"/>
    <n v="19.78"/>
    <n v="1"/>
    <s v="45%"/>
    <n v="8.9010000000000016"/>
    <n v="1"/>
  </r>
  <r>
    <s v="CLI-00966"/>
    <x v="12"/>
    <n v="110"/>
    <s v="Premium 5G 150Go"/>
    <n v="289"/>
    <n v="83.67"/>
    <n v="4"/>
    <s v="45%"/>
    <n v="37.651499999999999"/>
    <n v="1"/>
  </r>
  <r>
    <s v="CLI-00970"/>
    <x v="3"/>
    <n v="82"/>
    <s v="Pro Monde"/>
    <n v="312"/>
    <n v="40.880000000000003"/>
    <n v="0"/>
    <s v="45%"/>
    <n v="18.396000000000001"/>
    <n v="1"/>
  </r>
  <r>
    <s v="CLI-00971"/>
    <x v="22"/>
    <n v="1"/>
    <s v="Pro Monde"/>
    <n v="424"/>
    <n v="59.2"/>
    <n v="2"/>
    <s v="45%"/>
    <n v="26.64"/>
    <n v="1"/>
  </r>
  <r>
    <s v="CLI-00973"/>
    <x v="11"/>
    <n v="72"/>
    <s v="Premium 5G 150Go"/>
    <n v="5"/>
    <n v="68.650000000000006"/>
    <n v="0"/>
    <s v="0"/>
    <n v="0"/>
    <n v="1"/>
  </r>
  <r>
    <s v="CLI-00974"/>
    <x v="23"/>
    <n v="7"/>
    <s v="Premium 5G 150Go"/>
    <n v="317"/>
    <n v="97.32"/>
    <n v="1"/>
    <s v="45%"/>
    <n v="43.793999999999997"/>
    <n v="1"/>
  </r>
  <r>
    <s v="CLI-00976"/>
    <x v="12"/>
    <n v="65"/>
    <s v="Pro Monde"/>
    <n v="274"/>
    <n v="88.1"/>
    <n v="4"/>
    <s v="45%"/>
    <n v="39.644999999999996"/>
    <n v="1"/>
  </r>
  <r>
    <s v="CLI-00978"/>
    <x v="1"/>
    <n v="16"/>
    <s v="Premium 5G 150Go"/>
    <n v="96"/>
    <n v="86.78"/>
    <n v="1"/>
    <s v="0"/>
    <n v="0"/>
    <n v="1"/>
  </r>
  <r>
    <s v="CLI-00979"/>
    <x v="6"/>
    <n v="74"/>
    <s v="Bloqué 5Go"/>
    <n v="265"/>
    <n v="90.81"/>
    <n v="3"/>
    <s v="45%"/>
    <n v="40.8645"/>
    <n v="1"/>
  </r>
  <r>
    <s v="CLI-00980"/>
    <x v="25"/>
    <n v="106"/>
    <s v="Illimité 50Go"/>
    <n v="128"/>
    <n v="35.96"/>
    <n v="2"/>
    <s v="0"/>
    <n v="0"/>
    <n v="1"/>
  </r>
  <r>
    <s v="CLI-00983"/>
    <x v="19"/>
    <n v="50"/>
    <s v="Illimité 50Go"/>
    <n v="357"/>
    <n v="17"/>
    <n v="3"/>
    <s v="45%"/>
    <n v="7.65"/>
    <n v="1"/>
  </r>
  <r>
    <s v="CLI-00986"/>
    <x v="13"/>
    <n v="37"/>
    <s v="Illimité 50Go"/>
    <n v="3"/>
    <n v="20.89"/>
    <n v="5"/>
    <s v="0"/>
    <n v="0"/>
    <n v="1"/>
  </r>
  <r>
    <s v="CLI-00994"/>
    <x v="0"/>
    <n v="71"/>
    <s v="Illimité 50Go"/>
    <n v="68"/>
    <n v="53.11"/>
    <n v="2"/>
    <s v="0"/>
    <n v="0"/>
    <n v="1"/>
  </r>
  <r>
    <s v="CLI-00996"/>
    <x v="1"/>
    <n v="119"/>
    <s v="Illimité 50Go"/>
    <n v="228"/>
    <n v="94.72"/>
    <n v="3"/>
    <s v="0"/>
    <n v="0"/>
    <n v="1"/>
  </r>
  <r>
    <s v="CLI-00997"/>
    <x v="4"/>
    <n v="20"/>
    <s v="Bloqué 5Go"/>
    <n v="297"/>
    <n v="14.77"/>
    <n v="0"/>
    <s v="45%"/>
    <n v="6.6464999999999996"/>
    <n v="1"/>
  </r>
  <r>
    <s v="CLI-00999"/>
    <x v="13"/>
    <n v="109"/>
    <s v="Illimité 50Go"/>
    <n v="104"/>
    <n v="12.37"/>
    <n v="5"/>
    <s v="0"/>
    <n v="0"/>
    <n v="1"/>
  </r>
  <r>
    <s v="CLI-01000"/>
    <x v="20"/>
    <n v="78"/>
    <s v="Premium 5G 150Go"/>
    <n v="387"/>
    <n v="11.63"/>
    <n v="2"/>
    <s v="45%"/>
    <n v="5.2335000000000003"/>
    <n v="1"/>
  </r>
  <r>
    <s v="CLI-01003"/>
    <x v="19"/>
    <n v="11"/>
    <s v="Pro Monde"/>
    <n v="214"/>
    <n v="11.46"/>
    <n v="5"/>
    <s v="10%"/>
    <n v="1.1460000000000001"/>
    <n v="1"/>
  </r>
  <r>
    <s v="CLI-01005"/>
    <x v="25"/>
    <n v="80"/>
    <s v="Illimité 50Go"/>
    <n v="155"/>
    <n v="28.96"/>
    <n v="2"/>
    <s v="0"/>
    <n v="0"/>
    <n v="1"/>
  </r>
  <r>
    <s v="CLI-01006"/>
    <x v="22"/>
    <n v="110"/>
    <s v="Illimité 50Go"/>
    <n v="47"/>
    <n v="29.68"/>
    <n v="0"/>
    <s v="0"/>
    <n v="0"/>
    <n v="1"/>
  </r>
  <r>
    <s v="CLI-01007"/>
    <x v="17"/>
    <n v="5"/>
    <s v="Bloqué 5Go"/>
    <n v="239"/>
    <n v="26.95"/>
    <n v="2"/>
    <s v="0"/>
    <n v="0"/>
    <n v="1"/>
  </r>
  <r>
    <s v="CLI-01010"/>
    <x v="7"/>
    <n v="90"/>
    <s v="Bloqué 5Go"/>
    <n v="216"/>
    <n v="45.58"/>
    <n v="0"/>
    <s v="0"/>
    <n v="0"/>
    <n v="1"/>
  </r>
  <r>
    <s v="CLI-01013"/>
    <x v="4"/>
    <n v="105"/>
    <s v="Illimité 50Go"/>
    <n v="3"/>
    <n v="71.010000000000005"/>
    <n v="1"/>
    <s v="0"/>
    <n v="0"/>
    <n v="1"/>
  </r>
  <r>
    <s v="CLI-01014"/>
    <x v="19"/>
    <n v="39"/>
    <s v="Illimité 50Go"/>
    <n v="327"/>
    <n v="87.24"/>
    <n v="4"/>
    <s v="45%"/>
    <n v="39.257999999999996"/>
    <n v="1"/>
  </r>
  <r>
    <s v="CLI-01015"/>
    <x v="14"/>
    <n v="21"/>
    <s v="Bloqué 5Go"/>
    <n v="267"/>
    <n v="74.989999999999995"/>
    <n v="1"/>
    <s v="45%"/>
    <n v="33.7455"/>
    <n v="1"/>
  </r>
  <r>
    <s v="CLI-01016"/>
    <x v="2"/>
    <n v="9"/>
    <s v="Illimité 50Go"/>
    <n v="102"/>
    <n v="41.52"/>
    <n v="0"/>
    <s v="0"/>
    <n v="0"/>
    <n v="1"/>
  </r>
  <r>
    <s v="CLI-01017"/>
    <x v="14"/>
    <n v="53"/>
    <s v="Pro Monde"/>
    <n v="385"/>
    <n v="68.78"/>
    <n v="3"/>
    <s v="45%"/>
    <n v="30.951000000000001"/>
    <n v="1"/>
  </r>
  <r>
    <s v="CLI-01021"/>
    <x v="21"/>
    <n v="64"/>
    <s v="Pro Monde"/>
    <n v="15"/>
    <n v="56.94"/>
    <n v="4"/>
    <s v="10%"/>
    <n v="5.694"/>
    <n v="1"/>
  </r>
  <r>
    <s v="CLI-01023"/>
    <x v="19"/>
    <n v="45"/>
    <s v="Bloqué 5Go"/>
    <n v="439"/>
    <n v="13.62"/>
    <n v="4"/>
    <s v="45%"/>
    <n v="6.1289999999999996"/>
    <n v="1"/>
  </r>
  <r>
    <s v="CLI-01025"/>
    <x v="3"/>
    <n v="86"/>
    <s v="Bloqué 5Go"/>
    <n v="460"/>
    <n v="22.81"/>
    <n v="4"/>
    <s v="45%"/>
    <n v="10.2645"/>
    <n v="1"/>
  </r>
  <r>
    <s v="CLI-01032"/>
    <x v="17"/>
    <n v="45"/>
    <s v="Illimité 50Go"/>
    <n v="26"/>
    <n v="30.35"/>
    <n v="1"/>
    <s v="0"/>
    <n v="0"/>
    <n v="1"/>
  </r>
  <r>
    <s v="CLI-01034"/>
    <x v="10"/>
    <n v="101"/>
    <s v="Premium 5G 150Go"/>
    <n v="476"/>
    <n v="41.85"/>
    <n v="4"/>
    <s v="45%"/>
    <n v="18.8325"/>
    <n v="1"/>
  </r>
  <r>
    <s v="CLI-01037"/>
    <x v="5"/>
    <n v="21"/>
    <s v="Illimité 50Go"/>
    <n v="107"/>
    <n v="30.97"/>
    <n v="4"/>
    <s v="0"/>
    <n v="0"/>
    <n v="1"/>
  </r>
  <r>
    <s v="CLI-01040"/>
    <x v="25"/>
    <n v="56"/>
    <s v="Illimité 50Go"/>
    <n v="41"/>
    <n v="15.1"/>
    <n v="5"/>
    <s v="0"/>
    <n v="0"/>
    <n v="1"/>
  </r>
  <r>
    <s v="CLI-01042"/>
    <x v="18"/>
    <n v="55"/>
    <s v="Illimité 50Go"/>
    <n v="494"/>
    <n v="77.599999999999994"/>
    <n v="4"/>
    <s v="45%"/>
    <n v="34.92"/>
    <n v="1"/>
  </r>
  <r>
    <s v="CLI-01046"/>
    <x v="8"/>
    <n v="2"/>
    <s v="Pro Monde"/>
    <n v="481"/>
    <n v="29.37"/>
    <n v="4"/>
    <s v="45%"/>
    <n v="13.2165"/>
    <n v="1"/>
  </r>
  <r>
    <s v="CLI-01050"/>
    <x v="14"/>
    <n v="41"/>
    <s v="Premium 5G 150Go"/>
    <n v="178"/>
    <n v="11.29"/>
    <n v="4"/>
    <s v="0"/>
    <n v="0"/>
    <n v="1"/>
  </r>
  <r>
    <s v="CLI-01052"/>
    <x v="8"/>
    <n v="82"/>
    <s v="Illimité 50Go"/>
    <n v="175"/>
    <n v="86.14"/>
    <n v="1"/>
    <s v="0"/>
    <n v="0"/>
    <n v="1"/>
  </r>
  <r>
    <s v="CLI-01058"/>
    <x v="24"/>
    <n v="86"/>
    <s v="Premium 5G 150Go"/>
    <n v="111"/>
    <n v="23.65"/>
    <n v="0"/>
    <s v="0"/>
    <n v="0"/>
    <n v="1"/>
  </r>
  <r>
    <s v="CLI-01059"/>
    <x v="5"/>
    <n v="45"/>
    <s v="Illimité 50Go"/>
    <n v="356"/>
    <n v="33.76"/>
    <n v="0"/>
    <s v="45%"/>
    <n v="15.192"/>
    <n v="1"/>
  </r>
  <r>
    <s v="CLI-01069"/>
    <x v="1"/>
    <n v="111"/>
    <s v="Premium 5G 150Go"/>
    <n v="103"/>
    <n v="32.06"/>
    <n v="0"/>
    <s v="0"/>
    <n v="0"/>
    <n v="1"/>
  </r>
  <r>
    <s v="CLI-01072"/>
    <x v="17"/>
    <n v="34"/>
    <s v="Pro Monde"/>
    <n v="58"/>
    <n v="64.349999999999994"/>
    <n v="0"/>
    <s v="10%"/>
    <n v="6.4349999999999996"/>
    <n v="1"/>
  </r>
  <r>
    <s v="CLI-01075"/>
    <x v="10"/>
    <n v="91"/>
    <s v="Bloqué 5Go"/>
    <n v="62"/>
    <n v="34.450000000000003"/>
    <n v="5"/>
    <s v="0"/>
    <n v="0"/>
    <n v="1"/>
  </r>
  <r>
    <s v="CLI-01076"/>
    <x v="5"/>
    <n v="86"/>
    <s v="Pro Monde"/>
    <n v="252"/>
    <n v="96.5"/>
    <n v="5"/>
    <s v="45%"/>
    <n v="43.425000000000004"/>
    <n v="1"/>
  </r>
  <r>
    <s v="CLI-01077"/>
    <x v="17"/>
    <n v="95"/>
    <s v="Premium 5G 150Go"/>
    <n v="51"/>
    <n v="94.77"/>
    <n v="5"/>
    <s v="0"/>
    <n v="0"/>
    <n v="1"/>
  </r>
  <r>
    <s v="CLI-01078"/>
    <x v="20"/>
    <n v="37"/>
    <s v="Pro Monde"/>
    <n v="37"/>
    <n v="92.72"/>
    <n v="0"/>
    <s v="10%"/>
    <n v="9.2720000000000002"/>
    <n v="1"/>
  </r>
  <r>
    <s v="CLI-01080"/>
    <x v="21"/>
    <n v="56"/>
    <s v="Bloqué 5Go"/>
    <n v="379"/>
    <n v="49.01"/>
    <n v="0"/>
    <s v="45%"/>
    <n v="22.054500000000001"/>
    <n v="1"/>
  </r>
  <r>
    <s v="CLI-01082"/>
    <x v="0"/>
    <n v="4"/>
    <s v="Pro Monde"/>
    <n v="449"/>
    <n v="43.95"/>
    <n v="2"/>
    <s v="45%"/>
    <n v="19.777500000000003"/>
    <n v="1"/>
  </r>
  <r>
    <s v="CLI-01087"/>
    <x v="19"/>
    <n v="13"/>
    <s v="Pro Monde"/>
    <n v="173"/>
    <n v="85.54"/>
    <n v="3"/>
    <s v="10%"/>
    <n v="8.5540000000000003"/>
    <n v="1"/>
  </r>
  <r>
    <s v="CLI-01093"/>
    <x v="17"/>
    <n v="70"/>
    <s v="Pro Monde"/>
    <n v="290"/>
    <n v="96.31"/>
    <n v="1"/>
    <s v="45%"/>
    <n v="43.339500000000001"/>
    <n v="1"/>
  </r>
  <r>
    <s v="CLI-01095"/>
    <x v="24"/>
    <n v="49"/>
    <s v="Illimité 50Go"/>
    <n v="25"/>
    <n v="22.77"/>
    <n v="3"/>
    <s v="0"/>
    <n v="0"/>
    <n v="1"/>
  </r>
  <r>
    <s v="CLI-01096"/>
    <x v="4"/>
    <n v="11"/>
    <s v="Bloqué 5Go"/>
    <n v="215"/>
    <n v="51.99"/>
    <n v="1"/>
    <s v="0"/>
    <n v="0"/>
    <n v="1"/>
  </r>
  <r>
    <s v="CLI-01104"/>
    <x v="22"/>
    <n v="40"/>
    <s v="Premium 5G 150Go"/>
    <n v="235"/>
    <n v="15.01"/>
    <n v="3"/>
    <s v="0"/>
    <n v="0"/>
    <n v="1"/>
  </r>
  <r>
    <s v="CLI-01118"/>
    <x v="21"/>
    <n v="33"/>
    <s v="Illimité 50Go"/>
    <n v="337"/>
    <n v="62.61"/>
    <n v="2"/>
    <s v="45%"/>
    <n v="28.174500000000002"/>
    <n v="1"/>
  </r>
  <r>
    <s v="CLI-01121"/>
    <x v="25"/>
    <n v="91"/>
    <s v="Illimité 50Go"/>
    <n v="90"/>
    <n v="39.14"/>
    <n v="3"/>
    <s v="0"/>
    <n v="0"/>
    <n v="1"/>
  </r>
  <r>
    <s v="CLI-01122"/>
    <x v="9"/>
    <n v="18"/>
    <s v="Pro Monde"/>
    <n v="71"/>
    <n v="46.98"/>
    <n v="2"/>
    <s v="10%"/>
    <n v="4.6979999999999995"/>
    <n v="1"/>
  </r>
  <r>
    <s v="CLI-01128"/>
    <x v="5"/>
    <n v="112"/>
    <s v="Premium 5G 150Go"/>
    <n v="460"/>
    <n v="55.47"/>
    <n v="4"/>
    <s v="45%"/>
    <n v="24.961500000000001"/>
    <n v="1"/>
  </r>
  <r>
    <s v="CLI-01129"/>
    <x v="16"/>
    <n v="27"/>
    <s v="Bloqué 5Go"/>
    <n v="70"/>
    <n v="20.32"/>
    <n v="3"/>
    <s v="0"/>
    <n v="0"/>
    <n v="1"/>
  </r>
  <r>
    <s v="CLI-01132"/>
    <x v="19"/>
    <n v="-36"/>
    <s v="Bloqué 5Go"/>
    <n v="404"/>
    <n v="40.21"/>
    <n v="1"/>
    <s v="45%"/>
    <n v="18.0945"/>
    <n v="1"/>
  </r>
  <r>
    <s v="CLI-01134"/>
    <x v="22"/>
    <n v="90"/>
    <s v="Illimité 50Go"/>
    <n v="412"/>
    <n v="20.62"/>
    <n v="2"/>
    <s v="45%"/>
    <n v="9.2789999999999999"/>
    <n v="1"/>
  </r>
  <r>
    <s v="CLI-01136"/>
    <x v="5"/>
    <n v="33"/>
    <s v="Pro Monde"/>
    <n v="391"/>
    <n v="88.88"/>
    <n v="4"/>
    <s v="45%"/>
    <n v="39.996000000000002"/>
    <n v="1"/>
  </r>
  <r>
    <s v="CLI-01139"/>
    <x v="13"/>
    <n v="1"/>
    <s v="Premium 5G 150Go"/>
    <n v="368"/>
    <n v="35.17"/>
    <n v="1"/>
    <s v="45%"/>
    <n v="15.826500000000001"/>
    <n v="1"/>
  </r>
  <r>
    <s v="CLI-01141"/>
    <x v="2"/>
    <n v="117"/>
    <s v="Illimité 50Go"/>
    <n v="338"/>
    <n v="29.18"/>
    <n v="5"/>
    <s v="45%"/>
    <n v="13.131"/>
    <n v="1"/>
  </r>
  <r>
    <s v="CLI-01144"/>
    <x v="19"/>
    <n v="50"/>
    <s v="Illimité 50Go"/>
    <n v="446"/>
    <n v="31.56"/>
    <n v="5"/>
    <s v="45%"/>
    <n v="14.202"/>
    <n v="1"/>
  </r>
  <r>
    <s v="CLI-01146"/>
    <x v="6"/>
    <n v="76"/>
    <s v="Premium 5G 150Go"/>
    <n v="187"/>
    <n v="56.29"/>
    <n v="1"/>
    <s v="0"/>
    <n v="0"/>
    <n v="1"/>
  </r>
  <r>
    <s v="CLI-01147"/>
    <x v="8"/>
    <n v="29"/>
    <s v="Premium 5G 150Go"/>
    <n v="214"/>
    <n v="74.7"/>
    <n v="3"/>
    <s v="0"/>
    <n v="0"/>
    <n v="1"/>
  </r>
  <r>
    <s v="CLI-01149"/>
    <x v="24"/>
    <n v="88"/>
    <s v="Bloqué 5Go"/>
    <n v="474"/>
    <n v="23.35"/>
    <n v="5"/>
    <s v="45%"/>
    <n v="10.5075"/>
    <n v="1"/>
  </r>
  <r>
    <s v="CLI-01154"/>
    <x v="23"/>
    <n v="115"/>
    <s v="Pro Monde"/>
    <n v="190"/>
    <n v="10.98"/>
    <n v="0"/>
    <s v="10%"/>
    <n v="1.0980000000000001"/>
    <n v="1"/>
  </r>
  <r>
    <s v="CLI-01162"/>
    <x v="17"/>
    <n v="84"/>
    <s v="Bloqué 5Go"/>
    <n v="244"/>
    <n v="56.34"/>
    <n v="5"/>
    <s v="45%"/>
    <n v="25.353000000000002"/>
    <n v="1"/>
  </r>
  <r>
    <s v="CLI-01165"/>
    <x v="20"/>
    <n v="21"/>
    <s v="Bloqué 5Go"/>
    <n v="15"/>
    <n v="57.74"/>
    <n v="0"/>
    <s v="0"/>
    <n v="0"/>
    <n v="1"/>
  </r>
  <r>
    <s v="CLI-01166"/>
    <x v="25"/>
    <n v="21"/>
    <s v="Illimité 50Go"/>
    <n v="444"/>
    <n v="41.92"/>
    <n v="3"/>
    <s v="45%"/>
    <n v="18.864000000000001"/>
    <n v="1"/>
  </r>
  <r>
    <s v="CLI-01167"/>
    <x v="23"/>
    <n v="92"/>
    <s v="Bloqué 5Go"/>
    <n v="379"/>
    <n v="70.08"/>
    <n v="5"/>
    <s v="45%"/>
    <n v="31.536000000000001"/>
    <n v="1"/>
  </r>
  <r>
    <s v="CLI-01169"/>
    <x v="23"/>
    <n v="114"/>
    <s v="Bloqué 5Go"/>
    <n v="388"/>
    <n v="40.29"/>
    <n v="5"/>
    <s v="45%"/>
    <n v="18.130500000000001"/>
    <n v="1"/>
  </r>
  <r>
    <s v="CLI-01170"/>
    <x v="22"/>
    <n v="98"/>
    <s v="Pro Monde"/>
    <n v="482"/>
    <n v="55.04"/>
    <n v="5"/>
    <s v="45%"/>
    <n v="24.768000000000001"/>
    <n v="1"/>
  </r>
  <r>
    <s v="CLI-01180"/>
    <x v="21"/>
    <n v="15"/>
    <s v="Bloqué 5Go"/>
    <n v="319"/>
    <n v="78.150000000000006"/>
    <n v="4"/>
    <s v="45%"/>
    <n v="35.167500000000004"/>
    <n v="1"/>
  </r>
  <r>
    <s v="CLI-01181"/>
    <x v="22"/>
    <n v="42"/>
    <s v="Bloqué 5Go"/>
    <n v="252"/>
    <n v="59.46"/>
    <n v="4"/>
    <s v="45%"/>
    <n v="26.757000000000001"/>
    <n v="1"/>
  </r>
  <r>
    <s v="CLI-01186"/>
    <x v="5"/>
    <n v="8"/>
    <s v="Bloqué 5Go"/>
    <n v="171"/>
    <n v="52.98"/>
    <n v="0"/>
    <s v="0"/>
    <n v="0"/>
    <n v="1"/>
  </r>
  <r>
    <s v="CLI-01189"/>
    <x v="11"/>
    <n v="12"/>
    <s v="Pro Monde"/>
    <n v="305"/>
    <n v="59.96"/>
    <n v="3"/>
    <s v="45%"/>
    <n v="26.981999999999999"/>
    <n v="1"/>
  </r>
  <r>
    <s v="CLI-01194"/>
    <x v="24"/>
    <n v="29"/>
    <s v="Pro Monde"/>
    <n v="203"/>
    <n v="53.97"/>
    <n v="5"/>
    <s v="10%"/>
    <n v="5.3970000000000002"/>
    <n v="1"/>
  </r>
  <r>
    <s v="CLI-01196"/>
    <x v="24"/>
    <n v="80"/>
    <s v="Pro Monde"/>
    <n v="339"/>
    <n v="59.87"/>
    <n v="0"/>
    <s v="45%"/>
    <n v="26.941499999999998"/>
    <n v="1"/>
  </r>
  <r>
    <s v="CLI-01197"/>
    <x v="4"/>
    <n v="95"/>
    <s v="Bloqué 5Go"/>
    <n v="33"/>
    <n v="35.32"/>
    <n v="0"/>
    <s v="0"/>
    <n v="0"/>
    <n v="1"/>
  </r>
  <r>
    <s v="CLI-01199"/>
    <x v="14"/>
    <n v="99"/>
    <s v="Pro Monde"/>
    <n v="169"/>
    <n v="76.75"/>
    <n v="5"/>
    <s v="10%"/>
    <n v="7.6750000000000007"/>
    <n v="1"/>
  </r>
  <r>
    <s v="CLI-01200"/>
    <x v="1"/>
    <n v="88"/>
    <s v="Premium 5G 150Go"/>
    <n v="359"/>
    <n v="71.19"/>
    <n v="3"/>
    <s v="45%"/>
    <n v="32.035499999999999"/>
    <n v="1"/>
  </r>
  <r>
    <s v="CLI-01203"/>
    <x v="4"/>
    <n v="7"/>
    <s v="Bloqué 5Go"/>
    <n v="43"/>
    <n v="41.29"/>
    <n v="4"/>
    <s v="0"/>
    <n v="0"/>
    <n v="1"/>
  </r>
  <r>
    <s v="CLI-01204"/>
    <x v="4"/>
    <n v="68"/>
    <s v="Pro Monde"/>
    <n v="282"/>
    <n v="35.43"/>
    <n v="1"/>
    <s v="45%"/>
    <n v="15.9435"/>
    <n v="1"/>
  </r>
  <r>
    <s v="CLI-01208"/>
    <x v="16"/>
    <n v="11"/>
    <s v="Bloqué 5Go"/>
    <n v="402"/>
    <n v="69.599999999999994"/>
    <n v="5"/>
    <s v="45%"/>
    <n v="31.319999999999997"/>
    <n v="1"/>
  </r>
  <r>
    <s v="CLI-01210"/>
    <x v="0"/>
    <n v="1"/>
    <s v="Illimité 50Go"/>
    <n v="213"/>
    <n v="52.16"/>
    <n v="3"/>
    <s v="0"/>
    <n v="0"/>
    <n v="1"/>
  </r>
  <r>
    <s v="CLI-01211"/>
    <x v="25"/>
    <n v="98"/>
    <s v="Pro Monde"/>
    <n v="168"/>
    <n v="44.14"/>
    <n v="3"/>
    <s v="10%"/>
    <n v="4.4140000000000006"/>
    <n v="1"/>
  </r>
  <r>
    <s v="CLI-01215"/>
    <x v="8"/>
    <n v="3"/>
    <s v="Illimité 50Go"/>
    <n v="356"/>
    <n v="91.6"/>
    <n v="3"/>
    <s v="45%"/>
    <n v="41.22"/>
    <n v="1"/>
  </r>
  <r>
    <s v="CLI-01217"/>
    <x v="8"/>
    <n v="85"/>
    <s v="Premium 5G 150Go"/>
    <n v="274"/>
    <n v="35.03"/>
    <n v="1"/>
    <s v="45%"/>
    <n v="15.763500000000001"/>
    <n v="1"/>
  </r>
  <r>
    <s v="CLI-01221"/>
    <x v="9"/>
    <n v="79"/>
    <s v="Premium 5G 150Go"/>
    <n v="454"/>
    <n v="80.34"/>
    <n v="2"/>
    <s v="45%"/>
    <n v="36.153000000000006"/>
    <n v="1"/>
  </r>
  <r>
    <s v="CLI-01224"/>
    <x v="24"/>
    <n v="65"/>
    <s v="Bloqué 5Go"/>
    <n v="442"/>
    <n v="60.62"/>
    <n v="5"/>
    <s v="45%"/>
    <n v="27.279"/>
    <n v="1"/>
  </r>
  <r>
    <s v="CLI-01226"/>
    <x v="17"/>
    <n v="2"/>
    <s v="Premium 5G 150Go"/>
    <n v="21"/>
    <n v="51.68"/>
    <n v="3"/>
    <s v="0"/>
    <n v="0"/>
    <n v="1"/>
  </r>
  <r>
    <s v="CLI-01229"/>
    <x v="22"/>
    <n v="51"/>
    <s v="Illimité 50Go"/>
    <n v="58"/>
    <n v="34.6"/>
    <n v="5"/>
    <s v="0"/>
    <n v="0"/>
    <n v="1"/>
  </r>
  <r>
    <s v="CLI-01230"/>
    <x v="9"/>
    <n v="63"/>
    <s v="Pro Monde"/>
    <n v="141"/>
    <n v="95.6"/>
    <n v="4"/>
    <s v="10%"/>
    <n v="9.56"/>
    <n v="1"/>
  </r>
  <r>
    <s v="CLI-01233"/>
    <x v="3"/>
    <n v="101"/>
    <s v="Pro Monde"/>
    <n v="333"/>
    <n v="74.319999999999993"/>
    <n v="1"/>
    <s v="45%"/>
    <n v="33.443999999999996"/>
    <n v="1"/>
  </r>
  <r>
    <s v="CLI-01234"/>
    <x v="19"/>
    <n v="33"/>
    <s v="Premium 5G 150Go"/>
    <n v="285"/>
    <n v="56.67"/>
    <n v="2"/>
    <s v="45%"/>
    <n v="25.5015"/>
    <n v="1"/>
  </r>
  <r>
    <s v="CLI-01236"/>
    <x v="14"/>
    <n v="17"/>
    <s v="Pro Monde"/>
    <n v="175"/>
    <n v="24.95"/>
    <n v="4"/>
    <s v="10%"/>
    <n v="2.4950000000000001"/>
    <n v="1"/>
  </r>
  <r>
    <s v="CLI-01238"/>
    <x v="5"/>
    <n v="89"/>
    <s v="Pro Monde"/>
    <n v="225"/>
    <n v="38.36"/>
    <n v="2"/>
    <s v="10%"/>
    <n v="3.8360000000000003"/>
    <n v="1"/>
  </r>
  <r>
    <s v="CLI-01241"/>
    <x v="5"/>
    <n v="88"/>
    <s v="Premium 5G 150Go"/>
    <n v="232"/>
    <n v="40.94"/>
    <n v="2"/>
    <s v="0"/>
    <n v="0"/>
    <n v="1"/>
  </r>
  <r>
    <s v="CLI-01242"/>
    <x v="8"/>
    <n v="29"/>
    <s v="Premium 5G 150Go"/>
    <n v="350"/>
    <n v="84.32"/>
    <n v="3"/>
    <s v="45%"/>
    <n v="37.943999999999996"/>
    <n v="1"/>
  </r>
  <r>
    <s v="CLI-01253"/>
    <x v="6"/>
    <n v="48"/>
    <s v="Premium 5G 150Go"/>
    <n v="473"/>
    <n v="71.52"/>
    <n v="5"/>
    <s v="45%"/>
    <n v="32.183999999999997"/>
    <n v="1"/>
  </r>
  <r>
    <s v="CLI-01254"/>
    <x v="24"/>
    <n v="73"/>
    <s v="Illimité 50Go"/>
    <n v="225"/>
    <n v="45.86"/>
    <n v="0"/>
    <s v="0"/>
    <n v="0"/>
    <n v="1"/>
  </r>
  <r>
    <s v="CLI-01256"/>
    <x v="6"/>
    <n v="35"/>
    <s v="Pro Monde"/>
    <n v="292"/>
    <n v="39.21"/>
    <n v="1"/>
    <s v="45%"/>
    <n v="17.644500000000001"/>
    <n v="1"/>
  </r>
  <r>
    <s v="CLI-01258"/>
    <x v="1"/>
    <n v="107"/>
    <s v="Illimité 50Go"/>
    <n v="290"/>
    <n v="52.03"/>
    <n v="0"/>
    <s v="45%"/>
    <n v="23.413500000000003"/>
    <n v="1"/>
  </r>
  <r>
    <s v="CLI-01264"/>
    <x v="11"/>
    <n v="80"/>
    <s v="Bloqué 5Go"/>
    <n v="65"/>
    <n v="76.64"/>
    <n v="3"/>
    <s v="0"/>
    <n v="0"/>
    <n v="1"/>
  </r>
  <r>
    <s v="CLI-01266"/>
    <x v="12"/>
    <n v="66"/>
    <s v="Premium 5G 150Go"/>
    <n v="193"/>
    <n v="21.06"/>
    <n v="3"/>
    <s v="0"/>
    <n v="0"/>
    <n v="1"/>
  </r>
  <r>
    <s v="CLI-01267"/>
    <x v="8"/>
    <n v="38"/>
    <s v="Illimité 50Go"/>
    <n v="191"/>
    <n v="22.97"/>
    <n v="3"/>
    <s v="0"/>
    <n v="0"/>
    <n v="1"/>
  </r>
  <r>
    <s v="CLI-01270"/>
    <x v="2"/>
    <n v="119"/>
    <s v="Pro Monde"/>
    <n v="451"/>
    <n v="10.46"/>
    <n v="5"/>
    <s v="45%"/>
    <n v="4.7070000000000007"/>
    <n v="1"/>
  </r>
  <r>
    <s v="CLI-01275"/>
    <x v="8"/>
    <n v="55"/>
    <s v="Bloqué 5Go"/>
    <n v="355"/>
    <n v="59.65"/>
    <n v="0"/>
    <s v="45%"/>
    <n v="26.842500000000001"/>
    <n v="1"/>
  </r>
  <r>
    <s v="CLI-01278"/>
    <x v="25"/>
    <n v="6"/>
    <s v="Illimité 50Go"/>
    <n v="77"/>
    <n v="18.48"/>
    <n v="2"/>
    <s v="0"/>
    <n v="0"/>
    <n v="1"/>
  </r>
  <r>
    <s v="CLI-01283"/>
    <x v="9"/>
    <n v="63"/>
    <s v="Illimité 50Go"/>
    <n v="265"/>
    <n v="49.94"/>
    <n v="1"/>
    <s v="45%"/>
    <n v="22.472999999999999"/>
    <n v="1"/>
  </r>
  <r>
    <s v="CLI-01284"/>
    <x v="16"/>
    <n v="21"/>
    <s v="Pro Monde"/>
    <n v="320"/>
    <n v="64.97"/>
    <n v="1"/>
    <s v="45%"/>
    <n v="29.236499999999999"/>
    <n v="1"/>
  </r>
  <r>
    <s v="CLI-01287"/>
    <x v="9"/>
    <n v="5"/>
    <s v="Premium 5G 150Go"/>
    <n v="417"/>
    <n v="90.71"/>
    <n v="1"/>
    <s v="45%"/>
    <n v="40.819499999999998"/>
    <n v="1"/>
  </r>
  <r>
    <s v="CLI-01290"/>
    <x v="20"/>
    <n v="30"/>
    <s v="Bloqué 5Go"/>
    <n v="130"/>
    <n v="50.15"/>
    <n v="4"/>
    <s v="0"/>
    <n v="0"/>
    <n v="1"/>
  </r>
  <r>
    <s v="CLI-01291"/>
    <x v="8"/>
    <n v="60"/>
    <s v="Illimité 50Go"/>
    <n v="161"/>
    <n v="62.65"/>
    <n v="0"/>
    <s v="0"/>
    <n v="0"/>
    <n v="1"/>
  </r>
  <r>
    <s v="CLI-01292"/>
    <x v="1"/>
    <n v="120"/>
    <s v="Illimité 50Go"/>
    <n v="437"/>
    <n v="95.17"/>
    <n v="1"/>
    <s v="45%"/>
    <n v="42.826500000000003"/>
    <n v="1"/>
  </r>
  <r>
    <s v="CLI-01294"/>
    <x v="11"/>
    <n v="68"/>
    <s v="Premium 5G 150Go"/>
    <n v="443"/>
    <n v="12.09"/>
    <n v="3"/>
    <s v="45%"/>
    <n v="5.4405000000000001"/>
    <n v="1"/>
  </r>
  <r>
    <s v="CLI-01304"/>
    <x v="22"/>
    <n v="85"/>
    <s v="Illimité 50Go"/>
    <n v="132"/>
    <n v="11.41"/>
    <n v="0"/>
    <s v="0"/>
    <n v="0"/>
    <n v="1"/>
  </r>
  <r>
    <s v="CLI-01309"/>
    <x v="4"/>
    <n v="69"/>
    <s v="Pro Monde"/>
    <n v="463"/>
    <n v="19.440000000000001"/>
    <n v="0"/>
    <s v="45%"/>
    <n v="8.7480000000000011"/>
    <n v="1"/>
  </r>
  <r>
    <s v="CLI-01313"/>
    <x v="6"/>
    <n v="96"/>
    <s v="Illimité 50Go"/>
    <n v="108"/>
    <n v="30.92"/>
    <n v="1"/>
    <s v="0"/>
    <n v="0"/>
    <n v="1"/>
  </r>
  <r>
    <s v="CLI-01314"/>
    <x v="13"/>
    <n v="89"/>
    <s v="Illimité 50Go"/>
    <n v="7"/>
    <n v="53.39"/>
    <n v="3"/>
    <s v="0"/>
    <n v="0"/>
    <n v="1"/>
  </r>
  <r>
    <s v="CLI-01319"/>
    <x v="20"/>
    <n v="47"/>
    <s v="Premium 5G 150Go"/>
    <n v="350"/>
    <n v="80.48"/>
    <n v="3"/>
    <s v="45%"/>
    <n v="36.216000000000001"/>
    <n v="1"/>
  </r>
  <r>
    <s v="CLI-01320"/>
    <x v="13"/>
    <n v="78"/>
    <s v="Bloqué 5Go"/>
    <n v="312"/>
    <n v="85.74"/>
    <n v="2"/>
    <s v="45%"/>
    <n v="38.582999999999998"/>
    <n v="1"/>
  </r>
  <r>
    <s v="CLI-01322"/>
    <x v="22"/>
    <n v="36"/>
    <s v="Premium 5G 150Go"/>
    <n v="400"/>
    <n v="60.35"/>
    <n v="1"/>
    <s v="45%"/>
    <n v="27.157500000000002"/>
    <n v="1"/>
  </r>
  <r>
    <s v="CLI-01325"/>
    <x v="4"/>
    <n v="44"/>
    <s v="Bloqué 5Go"/>
    <n v="348"/>
    <n v="58.67"/>
    <n v="0"/>
    <s v="45%"/>
    <n v="26.401500000000002"/>
    <n v="1"/>
  </r>
  <r>
    <s v="CLI-01326"/>
    <x v="25"/>
    <n v="120"/>
    <s v="Pro Monde"/>
    <n v="209"/>
    <n v="42.51"/>
    <n v="4"/>
    <s v="10%"/>
    <n v="4.2510000000000003"/>
    <n v="1"/>
  </r>
  <r>
    <s v="CLI-01327"/>
    <x v="9"/>
    <n v="116"/>
    <s v="Premium 5G 150Go"/>
    <n v="279"/>
    <n v="62.88"/>
    <n v="4"/>
    <s v="45%"/>
    <n v="28.296000000000003"/>
    <n v="1"/>
  </r>
  <r>
    <s v="CLI-01329"/>
    <x v="10"/>
    <n v="106"/>
    <s v="Illimité 50Go"/>
    <n v="236"/>
    <n v="18.72"/>
    <n v="4"/>
    <s v="0"/>
    <n v="0"/>
    <n v="1"/>
  </r>
  <r>
    <s v="CLI-01330"/>
    <x v="4"/>
    <n v="60"/>
    <s v="Bloqué 5Go"/>
    <n v="306"/>
    <n v="63.83"/>
    <n v="2"/>
    <s v="45%"/>
    <n v="28.723500000000001"/>
    <n v="1"/>
  </r>
  <r>
    <s v="CLI-01339"/>
    <x v="8"/>
    <n v="1"/>
    <s v="Premium 5G 150Go"/>
    <n v="429"/>
    <n v="20.96"/>
    <n v="5"/>
    <s v="45%"/>
    <n v="9.4320000000000004"/>
    <n v="1"/>
  </r>
  <r>
    <s v="CLI-01340"/>
    <x v="16"/>
    <n v="110"/>
    <s v="Bloqué 5Go"/>
    <n v="132"/>
    <n v="21.31"/>
    <n v="5"/>
    <s v="0"/>
    <n v="0"/>
    <n v="1"/>
  </r>
  <r>
    <s v="CLI-01344"/>
    <x v="13"/>
    <n v="74"/>
    <s v="Illimité 50Go"/>
    <n v="330"/>
    <n v="37.82"/>
    <n v="5"/>
    <s v="45%"/>
    <n v="17.019000000000002"/>
    <n v="1"/>
  </r>
  <r>
    <s v="CLI-01347"/>
    <x v="14"/>
    <n v="14"/>
    <s v="Pro Monde"/>
    <n v="101"/>
    <n v="43.99"/>
    <n v="1"/>
    <s v="10%"/>
    <n v="4.399"/>
    <n v="1"/>
  </r>
  <r>
    <s v="CLI-01348"/>
    <x v="19"/>
    <n v="62"/>
    <s v="Illimité 50Go"/>
    <n v="369"/>
    <n v="58.74"/>
    <n v="1"/>
    <s v="45%"/>
    <n v="26.433"/>
    <n v="1"/>
  </r>
  <r>
    <s v="CLI-01349"/>
    <x v="6"/>
    <n v="89"/>
    <s v="Premium 5G 150Go"/>
    <n v="143"/>
    <n v="48.05"/>
    <n v="4"/>
    <s v="0"/>
    <n v="0"/>
    <n v="1"/>
  </r>
  <r>
    <s v="CLI-01351"/>
    <x v="11"/>
    <n v="19"/>
    <s v="Premium 5G 150Go"/>
    <n v="270"/>
    <n v="19.760000000000002"/>
    <n v="3"/>
    <s v="45%"/>
    <n v="8.8920000000000012"/>
    <n v="1"/>
  </r>
  <r>
    <s v="CLI-01354"/>
    <x v="2"/>
    <n v="42"/>
    <s v="Bloqué 5Go"/>
    <n v="448"/>
    <n v="49.02"/>
    <n v="0"/>
    <s v="45%"/>
    <n v="22.059000000000001"/>
    <n v="1"/>
  </r>
  <r>
    <s v="CLI-01355"/>
    <x v="20"/>
    <n v="116"/>
    <s v="Premium 5G 150Go"/>
    <n v="14"/>
    <n v="30.38"/>
    <n v="1"/>
    <s v="0"/>
    <n v="0"/>
    <n v="1"/>
  </r>
  <r>
    <s v="CLI-01357"/>
    <x v="6"/>
    <n v="47"/>
    <s v="Bloqué 5Go"/>
    <n v="98"/>
    <n v="16.16"/>
    <n v="5"/>
    <s v="0"/>
    <n v="0"/>
    <n v="1"/>
  </r>
  <r>
    <s v="CLI-01359"/>
    <x v="3"/>
    <n v="86"/>
    <s v="Premium 5G 150Go"/>
    <n v="27"/>
    <n v="84.94"/>
    <n v="4"/>
    <s v="0"/>
    <n v="0"/>
    <n v="1"/>
  </r>
  <r>
    <s v="CLI-01360"/>
    <x v="4"/>
    <n v="86"/>
    <s v="Premium 5G 150Go"/>
    <n v="278"/>
    <n v="30.12"/>
    <n v="0"/>
    <s v="45%"/>
    <n v="13.554"/>
    <n v="1"/>
  </r>
  <r>
    <s v="CLI-01361"/>
    <x v="11"/>
    <n v="94"/>
    <s v="Illimité 50Go"/>
    <n v="122"/>
    <n v="95.74"/>
    <n v="5"/>
    <s v="0"/>
    <n v="0"/>
    <n v="1"/>
  </r>
  <r>
    <s v="CLI-01363"/>
    <x v="25"/>
    <n v="66"/>
    <s v="Pro Monde"/>
    <n v="152"/>
    <n v="95.71"/>
    <n v="3"/>
    <s v="10%"/>
    <n v="9.5709999999999997"/>
    <n v="1"/>
  </r>
  <r>
    <s v="CLI-01373"/>
    <x v="10"/>
    <n v="114"/>
    <s v="Pro Monde"/>
    <n v="220"/>
    <n v="63.67"/>
    <n v="5"/>
    <s v="10%"/>
    <n v="6.3670000000000009"/>
    <n v="1"/>
  </r>
  <r>
    <s v="CLI-01374"/>
    <x v="0"/>
    <n v="36"/>
    <s v="Bloqué 5Go"/>
    <n v="311"/>
    <n v="13.19"/>
    <n v="4"/>
    <s v="45%"/>
    <n v="5.9355000000000002"/>
    <n v="1"/>
  </r>
  <r>
    <s v="CLI-01375"/>
    <x v="0"/>
    <n v="94"/>
    <s v="Illimité 50Go"/>
    <n v="115"/>
    <n v="19.12"/>
    <n v="0"/>
    <s v="0"/>
    <n v="0"/>
    <n v="1"/>
  </r>
  <r>
    <s v="CLI-01376"/>
    <x v="3"/>
    <n v="65"/>
    <s v="Premium 5G 150Go"/>
    <n v="397"/>
    <n v="22.6"/>
    <n v="5"/>
    <s v="45%"/>
    <n v="10.170000000000002"/>
    <n v="1"/>
  </r>
  <r>
    <s v="CLI-01380"/>
    <x v="4"/>
    <n v="118"/>
    <s v="Illimité 50Go"/>
    <n v="489"/>
    <n v="76.22"/>
    <n v="2"/>
    <s v="45%"/>
    <n v="34.298999999999999"/>
    <n v="1"/>
  </r>
  <r>
    <s v="CLI-01386"/>
    <x v="14"/>
    <n v="23"/>
    <s v="Premium 5G 150Go"/>
    <n v="314"/>
    <n v="19.260000000000002"/>
    <n v="3"/>
    <s v="45%"/>
    <n v="8.6670000000000016"/>
    <n v="1"/>
  </r>
  <r>
    <s v="CLI-01387"/>
    <x v="0"/>
    <n v="85"/>
    <s v="Pro Monde"/>
    <n v="60"/>
    <n v="26.3"/>
    <n v="2"/>
    <s v="10%"/>
    <n v="2.6300000000000003"/>
    <n v="1"/>
  </r>
  <r>
    <s v="CLI-01394"/>
    <x v="21"/>
    <n v="92"/>
    <s v="Bloqué 5Go"/>
    <n v="6"/>
    <n v="77.14"/>
    <n v="5"/>
    <s v="0"/>
    <n v="0"/>
    <n v="1"/>
  </r>
  <r>
    <s v="CLI-01396"/>
    <x v="24"/>
    <n v="117"/>
    <s v="Illimité 50Go"/>
    <n v="39"/>
    <n v="26.53"/>
    <n v="1"/>
    <s v="0"/>
    <n v="0"/>
    <n v="1"/>
  </r>
  <r>
    <s v="CLI-01399"/>
    <x v="3"/>
    <n v="114"/>
    <s v="Premium 5G 150Go"/>
    <n v="232"/>
    <n v="42.2"/>
    <n v="2"/>
    <s v="0"/>
    <n v="0"/>
    <n v="1"/>
  </r>
  <r>
    <s v="CLI-01402"/>
    <x v="19"/>
    <n v="64"/>
    <s v="Bloqué 5Go"/>
    <n v="250"/>
    <n v="56.7"/>
    <n v="0"/>
    <s v="45%"/>
    <n v="25.515000000000001"/>
    <n v="1"/>
  </r>
  <r>
    <s v="CLI-01403"/>
    <x v="1"/>
    <n v="88"/>
    <s v="Premium 5G 150Go"/>
    <n v="219"/>
    <n v="59.15"/>
    <n v="0"/>
    <s v="0"/>
    <n v="0"/>
    <n v="1"/>
  </r>
  <r>
    <s v="CLI-01404"/>
    <x v="21"/>
    <n v="25"/>
    <s v="Bloqué 5Go"/>
    <n v="131"/>
    <n v="67.489999999999995"/>
    <n v="0"/>
    <s v="0"/>
    <n v="0"/>
    <n v="1"/>
  </r>
  <r>
    <s v="CLI-01405"/>
    <x v="25"/>
    <n v="32"/>
    <s v="Illimité 50Go"/>
    <n v="405"/>
    <n v="67.92"/>
    <n v="3"/>
    <s v="45%"/>
    <n v="30.564"/>
    <n v="1"/>
  </r>
  <r>
    <s v="CLI-01406"/>
    <x v="23"/>
    <n v="41"/>
    <s v="Bloqué 5Go"/>
    <n v="2"/>
    <n v="24.91"/>
    <n v="1"/>
    <s v="0"/>
    <n v="0"/>
    <n v="1"/>
  </r>
  <r>
    <s v="CLI-01407"/>
    <x v="11"/>
    <n v="103"/>
    <s v="Premium 5G 150Go"/>
    <n v="354"/>
    <n v="26.19"/>
    <n v="4"/>
    <s v="45%"/>
    <n v="11.785500000000001"/>
    <n v="1"/>
  </r>
  <r>
    <s v="CLI-01408"/>
    <x v="7"/>
    <n v="108"/>
    <s v="Premium 5G 150Go"/>
    <n v="323"/>
    <n v="58.54"/>
    <n v="2"/>
    <s v="45%"/>
    <n v="26.343"/>
    <n v="1"/>
  </r>
  <r>
    <s v="CLI-01410"/>
    <x v="14"/>
    <n v="111"/>
    <s v="Illimité 50Go"/>
    <n v="54"/>
    <n v="71.3"/>
    <n v="0"/>
    <s v="0"/>
    <n v="0"/>
    <n v="1"/>
  </r>
  <r>
    <s v="CLI-01415"/>
    <x v="6"/>
    <n v="6"/>
    <s v="Bloqué 5Go"/>
    <n v="6"/>
    <n v="72.27"/>
    <n v="4"/>
    <s v="0"/>
    <n v="0"/>
    <n v="1"/>
  </r>
  <r>
    <s v="CLI-01419"/>
    <x v="23"/>
    <n v="81"/>
    <s v="Pro Monde"/>
    <n v="443"/>
    <n v="32.78"/>
    <n v="1"/>
    <s v="45%"/>
    <n v="14.751000000000001"/>
    <n v="1"/>
  </r>
  <r>
    <s v="CLI-01420"/>
    <x v="1"/>
    <n v="86"/>
    <s v="Pro Monde"/>
    <n v="192"/>
    <n v="26.26"/>
    <n v="1"/>
    <s v="10%"/>
    <n v="2.6260000000000003"/>
    <n v="1"/>
  </r>
  <r>
    <s v="CLI-01424"/>
    <x v="14"/>
    <n v="60"/>
    <s v="Illimité 50Go"/>
    <n v="54"/>
    <n v="67.180000000000007"/>
    <n v="3"/>
    <s v="0"/>
    <n v="0"/>
    <n v="1"/>
  </r>
  <r>
    <s v="CLI-01431"/>
    <x v="19"/>
    <n v="49"/>
    <s v="Premium 5G 150Go"/>
    <n v="357"/>
    <n v="96.67"/>
    <n v="3"/>
    <s v="45%"/>
    <n v="43.5015"/>
    <n v="1"/>
  </r>
  <r>
    <s v="CLI-01432"/>
    <x v="19"/>
    <n v="69"/>
    <s v="Bloqué 5Go"/>
    <n v="180"/>
    <n v="76.05"/>
    <n v="2"/>
    <s v="0"/>
    <n v="0"/>
    <n v="1"/>
  </r>
  <r>
    <s v="CLI-01433"/>
    <x v="14"/>
    <n v="87"/>
    <s v="Pro Monde"/>
    <n v="442"/>
    <n v="22.39"/>
    <n v="3"/>
    <s v="45%"/>
    <n v="10.0755"/>
    <n v="1"/>
  </r>
  <r>
    <s v="CLI-01435"/>
    <x v="19"/>
    <n v="58"/>
    <s v="Bloqué 5Go"/>
    <n v="293"/>
    <n v="88.85"/>
    <n v="5"/>
    <s v="45%"/>
    <n v="39.982500000000002"/>
    <n v="1"/>
  </r>
  <r>
    <s v="CLI-01436"/>
    <x v="15"/>
    <n v="85"/>
    <s v="Pro Monde"/>
    <n v="28"/>
    <n v="83.82"/>
    <n v="0"/>
    <s v="10%"/>
    <n v="8.3819999999999997"/>
    <n v="1"/>
  </r>
  <r>
    <s v="CLI-01437"/>
    <x v="10"/>
    <n v="117"/>
    <s v="Bloqué 5Go"/>
    <n v="85"/>
    <n v="46.16"/>
    <n v="3"/>
    <s v="0"/>
    <n v="0"/>
    <n v="1"/>
  </r>
  <r>
    <s v="CLI-01438"/>
    <x v="13"/>
    <n v="4"/>
    <s v="Pro Monde"/>
    <n v="372"/>
    <n v="26.73"/>
    <n v="3"/>
    <s v="45%"/>
    <n v="12.028500000000001"/>
    <n v="1"/>
  </r>
  <r>
    <s v="CLI-01442"/>
    <x v="24"/>
    <n v="97"/>
    <s v="Bloqué 5Go"/>
    <n v="173"/>
    <n v="19.37"/>
    <n v="5"/>
    <s v="0"/>
    <n v="0"/>
    <n v="1"/>
  </r>
  <r>
    <s v="CLI-01446"/>
    <x v="8"/>
    <n v="33"/>
    <s v="Bloqué 5Go"/>
    <n v="273"/>
    <n v="49.8"/>
    <n v="0"/>
    <s v="45%"/>
    <n v="22.41"/>
    <n v="1"/>
  </r>
  <r>
    <s v="CLI-01450"/>
    <x v="24"/>
    <n v="41"/>
    <s v="Premium 5G 150Go"/>
    <n v="383"/>
    <n v="27.53"/>
    <n v="4"/>
    <s v="45%"/>
    <n v="12.388500000000001"/>
    <n v="1"/>
  </r>
  <r>
    <s v="CLI-01451"/>
    <x v="22"/>
    <n v="77"/>
    <s v="Illimité 50Go"/>
    <n v="45"/>
    <n v="21.59"/>
    <n v="2"/>
    <s v="0"/>
    <n v="0"/>
    <n v="1"/>
  </r>
  <r>
    <s v="CLI-01453"/>
    <x v="20"/>
    <n v="2"/>
    <s v="Bloqué 5Go"/>
    <n v="142"/>
    <n v="49.05"/>
    <n v="4"/>
    <s v="0"/>
    <n v="0"/>
    <n v="1"/>
  </r>
  <r>
    <s v="CLI-01454"/>
    <x v="18"/>
    <n v="13"/>
    <s v="Illimité 50Go"/>
    <n v="310"/>
    <n v="65.599999999999994"/>
    <n v="5"/>
    <s v="45%"/>
    <n v="29.52"/>
    <n v="1"/>
  </r>
  <r>
    <s v="CLI-01455"/>
    <x v="21"/>
    <n v="78"/>
    <s v="Bloqué 5Go"/>
    <n v="57"/>
    <n v="49.47"/>
    <n v="0"/>
    <s v="0"/>
    <n v="0"/>
    <n v="1"/>
  </r>
  <r>
    <s v="CLI-01461"/>
    <x v="7"/>
    <n v="90"/>
    <s v="Illimité 50Go"/>
    <n v="343"/>
    <n v="82.05"/>
    <n v="1"/>
    <s v="45%"/>
    <n v="36.922499999999999"/>
    <n v="1"/>
  </r>
  <r>
    <s v="CLI-01462"/>
    <x v="6"/>
    <n v="96"/>
    <s v="Illimité 50Go"/>
    <n v="210"/>
    <n v="28.39"/>
    <n v="3"/>
    <s v="0"/>
    <n v="0"/>
    <n v="1"/>
  </r>
  <r>
    <s v="CLI-01463"/>
    <x v="13"/>
    <n v="12"/>
    <s v="Premium 5G 150Go"/>
    <n v="138"/>
    <n v="99.83"/>
    <n v="1"/>
    <s v="0"/>
    <n v="0"/>
    <n v="1"/>
  </r>
  <r>
    <s v="CLI-01466"/>
    <x v="15"/>
    <n v="110"/>
    <s v="Premium 5G 150Go"/>
    <n v="51"/>
    <n v="56.59"/>
    <n v="5"/>
    <s v="0"/>
    <n v="0"/>
    <n v="1"/>
  </r>
  <r>
    <s v="CLI-01470"/>
    <x v="10"/>
    <n v="111"/>
    <s v="Premium 5G 150Go"/>
    <n v="43"/>
    <n v="19.39"/>
    <n v="3"/>
    <s v="0"/>
    <n v="0"/>
    <n v="1"/>
  </r>
  <r>
    <s v="CLI-01472"/>
    <x v="15"/>
    <n v="55"/>
    <s v="Pro Monde"/>
    <n v="389"/>
    <n v="67.430000000000007"/>
    <n v="3"/>
    <s v="45%"/>
    <n v="30.343500000000002"/>
    <n v="1"/>
  </r>
  <r>
    <s v="CLI-01473"/>
    <x v="24"/>
    <n v="13"/>
    <s v="Pro Monde"/>
    <n v="474"/>
    <n v="63.67"/>
    <n v="2"/>
    <s v="45%"/>
    <n v="28.651500000000002"/>
    <n v="1"/>
  </r>
  <r>
    <s v="CLI-01475"/>
    <x v="7"/>
    <n v="43"/>
    <s v="Illimité 50Go"/>
    <n v="26"/>
    <n v="25.85"/>
    <n v="1"/>
    <s v="0"/>
    <n v="0"/>
    <n v="1"/>
  </r>
  <r>
    <s v="CLI-01479"/>
    <x v="6"/>
    <n v="63"/>
    <s v="Premium 5G 150Go"/>
    <n v="177"/>
    <n v="77.73"/>
    <n v="3"/>
    <s v="0"/>
    <n v="0"/>
    <n v="1"/>
  </r>
  <r>
    <s v="CLI-01480"/>
    <x v="5"/>
    <n v="7"/>
    <s v="Premium 5G 150Go"/>
    <n v="206"/>
    <n v="78.09"/>
    <n v="3"/>
    <s v="0"/>
    <n v="0"/>
    <n v="1"/>
  </r>
  <r>
    <s v="CLI-01484"/>
    <x v="21"/>
    <n v="117"/>
    <s v="Illimité 50Go"/>
    <n v="171"/>
    <n v="50.89"/>
    <n v="4"/>
    <s v="0"/>
    <n v="0"/>
    <n v="1"/>
  </r>
  <r>
    <s v="CLI-01485"/>
    <x v="16"/>
    <n v="57"/>
    <s v="Bloqué 5Go"/>
    <n v="447"/>
    <n v="23.27"/>
    <n v="3"/>
    <s v="45%"/>
    <n v="10.471500000000001"/>
    <n v="1"/>
  </r>
  <r>
    <s v="CLI-01488"/>
    <x v="21"/>
    <n v="102"/>
    <s v="Bloqué 5Go"/>
    <n v="484"/>
    <n v="64.22"/>
    <n v="2"/>
    <s v="45%"/>
    <n v="28.899000000000001"/>
    <n v="1"/>
  </r>
  <r>
    <s v="CLI-01489"/>
    <x v="9"/>
    <n v="67"/>
    <s v="Pro Monde"/>
    <n v="26"/>
    <n v="81.489999999999995"/>
    <n v="4"/>
    <s v="10%"/>
    <n v="8.1489999999999991"/>
    <n v="1"/>
  </r>
  <r>
    <s v="CLI-01494"/>
    <x v="13"/>
    <n v="71"/>
    <s v="Premium 5G 150Go"/>
    <n v="15"/>
    <n v="25.46"/>
    <n v="5"/>
    <s v="0"/>
    <n v="0"/>
    <n v="1"/>
  </r>
  <r>
    <s v="CLI-01496"/>
    <x v="18"/>
    <n v="10"/>
    <s v="Illimité 50Go"/>
    <n v="260"/>
    <n v="37.479999999999997"/>
    <n v="2"/>
    <s v="45%"/>
    <n v="16.866"/>
    <n v="1"/>
  </r>
  <r>
    <s v="CLI-01499"/>
    <x v="17"/>
    <n v="38"/>
    <s v="Bloqué 5Go"/>
    <n v="108"/>
    <n v="72.7"/>
    <n v="3"/>
    <s v="0"/>
    <n v="0"/>
    <n v="1"/>
  </r>
  <r>
    <s v="CLI-01503"/>
    <x v="16"/>
    <n v="59"/>
    <s v="Bloqué 5Go"/>
    <n v="150"/>
    <n v="71.13"/>
    <n v="0"/>
    <s v="0"/>
    <n v="0"/>
    <n v="1"/>
  </r>
  <r>
    <s v="CLI-01505"/>
    <x v="24"/>
    <n v="58"/>
    <s v="Bloqué 5Go"/>
    <n v="423"/>
    <n v="80.459999999999994"/>
    <n v="0"/>
    <s v="45%"/>
    <n v="36.207000000000001"/>
    <n v="1"/>
  </r>
  <r>
    <s v="CLI-01506"/>
    <x v="1"/>
    <n v="36"/>
    <s v="Bloqué 5Go"/>
    <n v="491"/>
    <n v="12.13"/>
    <n v="4"/>
    <s v="45%"/>
    <n v="5.4585000000000008"/>
    <n v="1"/>
  </r>
  <r>
    <s v="CLI-01507"/>
    <x v="3"/>
    <n v="111"/>
    <s v="Premium 5G 150Go"/>
    <n v="304"/>
    <n v="62.48"/>
    <n v="5"/>
    <s v="45%"/>
    <n v="28.116"/>
    <n v="1"/>
  </r>
  <r>
    <s v="CLI-01508"/>
    <x v="23"/>
    <n v="40"/>
    <s v="Premium 5G 150Go"/>
    <n v="237"/>
    <n v="24.51"/>
    <n v="1"/>
    <s v="0"/>
    <n v="0"/>
    <n v="1"/>
  </r>
  <r>
    <s v="CLI-01510"/>
    <x v="5"/>
    <n v="36"/>
    <s v="Bloqué 5Go"/>
    <n v="247"/>
    <n v="24.53"/>
    <n v="2"/>
    <s v="45%"/>
    <n v="11.038500000000001"/>
    <n v="1"/>
  </r>
  <r>
    <s v="CLI-01511"/>
    <x v="24"/>
    <n v="27"/>
    <s v="Premium 5G 150Go"/>
    <n v="61"/>
    <n v="97.51"/>
    <n v="5"/>
    <s v="0"/>
    <n v="0"/>
    <n v="1"/>
  </r>
  <r>
    <s v="CLI-01515"/>
    <x v="15"/>
    <n v="64"/>
    <s v="Pro Monde"/>
    <n v="300"/>
    <n v="28.11"/>
    <n v="2"/>
    <s v="45%"/>
    <n v="12.6495"/>
    <n v="1"/>
  </r>
  <r>
    <s v="CLI-01520"/>
    <x v="3"/>
    <n v="102"/>
    <s v="Bloqué 5Go"/>
    <n v="189"/>
    <n v="26.86"/>
    <n v="5"/>
    <s v="0"/>
    <n v="0"/>
    <n v="1"/>
  </r>
  <r>
    <s v="CLI-01524"/>
    <x v="11"/>
    <n v="22"/>
    <s v="Illimité 50Go"/>
    <n v="119"/>
    <n v="72.86"/>
    <n v="3"/>
    <s v="0"/>
    <n v="0"/>
    <n v="1"/>
  </r>
  <r>
    <s v="CLI-01529"/>
    <x v="14"/>
    <n v="50"/>
    <s v="Pro Monde"/>
    <n v="430"/>
    <n v="20.8"/>
    <n v="2"/>
    <s v="45%"/>
    <n v="9.3600000000000012"/>
    <n v="1"/>
  </r>
  <r>
    <s v="CLI-01530"/>
    <x v="24"/>
    <n v="18"/>
    <s v="Pro Monde"/>
    <n v="75"/>
    <n v="57.66"/>
    <n v="1"/>
    <s v="10%"/>
    <n v="5.766"/>
    <n v="1"/>
  </r>
  <r>
    <s v="CLI-01532"/>
    <x v="2"/>
    <n v="95"/>
    <s v="Premium 5G 150Go"/>
    <n v="148"/>
    <n v="76.95"/>
    <n v="5"/>
    <s v="0"/>
    <n v="0"/>
    <n v="1"/>
  </r>
  <r>
    <s v="CLI-01533"/>
    <x v="18"/>
    <n v="111"/>
    <s v="Illimité 50Go"/>
    <n v="324"/>
    <n v="18.07"/>
    <n v="2"/>
    <s v="45%"/>
    <n v="8.1315000000000008"/>
    <n v="1"/>
  </r>
  <r>
    <s v="CLI-01535"/>
    <x v="1"/>
    <n v="120"/>
    <s v="Pro Monde"/>
    <n v="60"/>
    <n v="34.14"/>
    <n v="3"/>
    <s v="10%"/>
    <n v="3.4140000000000001"/>
    <n v="1"/>
  </r>
  <r>
    <s v="CLI-01536"/>
    <x v="2"/>
    <n v="87"/>
    <s v="Premium 5G 150Go"/>
    <n v="356"/>
    <n v="12.89"/>
    <n v="0"/>
    <s v="45%"/>
    <n v="5.8005000000000004"/>
    <n v="1"/>
  </r>
  <r>
    <s v="CLI-01542"/>
    <x v="24"/>
    <n v="29"/>
    <s v="Premium 5G 150Go"/>
    <n v="8"/>
    <n v="14.78"/>
    <n v="2"/>
    <s v="0"/>
    <n v="0"/>
    <n v="1"/>
  </r>
  <r>
    <s v="CLI-01543"/>
    <x v="7"/>
    <n v="18"/>
    <s v="Illimité 50Go"/>
    <n v="170"/>
    <n v="87.34"/>
    <n v="1"/>
    <s v="0"/>
    <n v="0"/>
    <n v="1"/>
  </r>
  <r>
    <s v="CLI-01544"/>
    <x v="13"/>
    <n v="34"/>
    <s v="Illimité 50Go"/>
    <n v="401"/>
    <n v="68.400000000000006"/>
    <n v="5"/>
    <s v="45%"/>
    <n v="30.780000000000005"/>
    <n v="1"/>
  </r>
  <r>
    <s v="CLI-01549"/>
    <x v="17"/>
    <n v="113"/>
    <s v="Illimité 50Go"/>
    <n v="428"/>
    <n v="73.84"/>
    <n v="0"/>
    <s v="45%"/>
    <n v="33.228000000000002"/>
    <n v="1"/>
  </r>
  <r>
    <s v="CLI-01550"/>
    <x v="17"/>
    <n v="48"/>
    <s v="Bloqué 5Go"/>
    <n v="335"/>
    <n v="85.09"/>
    <n v="3"/>
    <s v="45%"/>
    <n v="38.290500000000002"/>
    <n v="1"/>
  </r>
  <r>
    <s v="CLI-01555"/>
    <x v="3"/>
    <n v="107"/>
    <s v="Illimité 50Go"/>
    <n v="138"/>
    <n v="85.75"/>
    <n v="1"/>
    <s v="0"/>
    <n v="0"/>
    <n v="1"/>
  </r>
  <r>
    <s v="CLI-01560"/>
    <x v="8"/>
    <n v="47"/>
    <s v="Bloqué 5Go"/>
    <n v="111"/>
    <n v="95.18"/>
    <n v="0"/>
    <s v="0"/>
    <n v="0"/>
    <n v="1"/>
  </r>
  <r>
    <s v="CLI-01561"/>
    <x v="8"/>
    <n v="10"/>
    <s v="Bloqué 5Go"/>
    <n v="165"/>
    <n v="38.619999999999997"/>
    <n v="2"/>
    <s v="0"/>
    <n v="0"/>
    <n v="1"/>
  </r>
  <r>
    <s v="CLI-01563"/>
    <x v="4"/>
    <n v="9"/>
    <s v="Pro Monde"/>
    <n v="255"/>
    <n v="95.13"/>
    <n v="1"/>
    <s v="45%"/>
    <n v="42.808500000000002"/>
    <n v="1"/>
  </r>
  <r>
    <s v="CLI-01565"/>
    <x v="20"/>
    <n v="24"/>
    <s v="Bloqué 5Go"/>
    <n v="257"/>
    <n v="41.99"/>
    <n v="5"/>
    <s v="45%"/>
    <n v="18.895500000000002"/>
    <n v="1"/>
  </r>
  <r>
    <s v="CLI-01566"/>
    <x v="4"/>
    <n v="72"/>
    <s v="Bloqué 5Go"/>
    <n v="427"/>
    <n v="31.44"/>
    <n v="2"/>
    <s v="45%"/>
    <n v="14.148000000000001"/>
    <n v="1"/>
  </r>
  <r>
    <s v="CLI-01568"/>
    <x v="1"/>
    <n v="33"/>
    <s v="Illimité 50Go"/>
    <n v="18"/>
    <n v="47.18"/>
    <n v="4"/>
    <s v="0"/>
    <n v="0"/>
    <n v="1"/>
  </r>
  <r>
    <s v="CLI-01571"/>
    <x v="2"/>
    <n v="64"/>
    <s v="Pro Monde"/>
    <n v="370"/>
    <n v="95.74"/>
    <n v="1"/>
    <s v="45%"/>
    <n v="43.082999999999998"/>
    <n v="1"/>
  </r>
  <r>
    <s v="CLI-01573"/>
    <x v="19"/>
    <n v="60"/>
    <s v="Illimité 50Go"/>
    <n v="154"/>
    <n v="13.41"/>
    <n v="5"/>
    <s v="0"/>
    <n v="0"/>
    <n v="1"/>
  </r>
  <r>
    <s v="CLI-01578"/>
    <x v="23"/>
    <n v="51"/>
    <s v="Pro Monde"/>
    <n v="389"/>
    <n v="50.45"/>
    <n v="3"/>
    <s v="45%"/>
    <n v="22.702500000000001"/>
    <n v="1"/>
  </r>
  <r>
    <s v="CLI-01584"/>
    <x v="3"/>
    <n v="70"/>
    <s v="Bloqué 5Go"/>
    <n v="31"/>
    <n v="71.2"/>
    <n v="4"/>
    <s v="0"/>
    <n v="0"/>
    <n v="1"/>
  </r>
  <r>
    <s v="CLI-01588"/>
    <x v="24"/>
    <n v="103"/>
    <s v="Bloqué 5Go"/>
    <n v="300"/>
    <n v="13.76"/>
    <n v="4"/>
    <s v="45%"/>
    <n v="6.1920000000000002"/>
    <n v="1"/>
  </r>
  <r>
    <s v="CLI-01589"/>
    <x v="11"/>
    <n v="14"/>
    <s v="Bloqué 5Go"/>
    <n v="37"/>
    <n v="20.399999999999999"/>
    <n v="2"/>
    <s v="0"/>
    <n v="0"/>
    <n v="1"/>
  </r>
  <r>
    <s v="CLI-01591"/>
    <x v="7"/>
    <n v="7"/>
    <s v="Pro Monde"/>
    <n v="447"/>
    <n v="84.95"/>
    <n v="2"/>
    <s v="45%"/>
    <n v="38.227499999999999"/>
    <n v="1"/>
  </r>
  <r>
    <s v="CLI-01595"/>
    <x v="14"/>
    <n v="101"/>
    <s v="Pro Monde"/>
    <n v="148"/>
    <n v="26.63"/>
    <n v="3"/>
    <s v="10%"/>
    <n v="2.6630000000000003"/>
    <n v="1"/>
  </r>
  <r>
    <s v="CLI-01597"/>
    <x v="14"/>
    <n v="84"/>
    <s v="Premium 5G 150Go"/>
    <n v="387"/>
    <n v="58.1"/>
    <n v="3"/>
    <s v="45%"/>
    <n v="26.145"/>
    <n v="1"/>
  </r>
  <r>
    <s v="CLI-01598"/>
    <x v="4"/>
    <n v="46"/>
    <s v="Pro Monde"/>
    <n v="216"/>
    <n v="63.74"/>
    <n v="4"/>
    <s v="10%"/>
    <n v="6.3740000000000006"/>
    <n v="1"/>
  </r>
  <r>
    <s v="CLI-01600"/>
    <x v="15"/>
    <n v="72"/>
    <s v="Pro Monde"/>
    <n v="317"/>
    <n v="54.58"/>
    <n v="1"/>
    <s v="45%"/>
    <n v="24.561"/>
    <n v="1"/>
  </r>
  <r>
    <s v="CLI-01602"/>
    <x v="4"/>
    <n v="69"/>
    <s v="Premium 5G 150Go"/>
    <n v="486"/>
    <n v="34.770000000000003"/>
    <n v="0"/>
    <s v="45%"/>
    <n v="15.646500000000001"/>
    <n v="1"/>
  </r>
  <r>
    <s v="CLI-01603"/>
    <x v="14"/>
    <n v="57"/>
    <s v="Illimité 50Go"/>
    <n v="329"/>
    <n v="50.39"/>
    <n v="5"/>
    <s v="45%"/>
    <n v="22.6755"/>
    <n v="1"/>
  </r>
  <r>
    <s v="CLI-01604"/>
    <x v="8"/>
    <n v="108"/>
    <s v="Premium 5G 150Go"/>
    <n v="78"/>
    <n v="90.05"/>
    <n v="2"/>
    <s v="0"/>
    <n v="0"/>
    <n v="1"/>
  </r>
  <r>
    <s v="CLI-01606"/>
    <x v="0"/>
    <n v="92"/>
    <s v="Bloqué 5Go"/>
    <n v="4"/>
    <n v="22.03"/>
    <n v="3"/>
    <s v="0"/>
    <n v="0"/>
    <n v="1"/>
  </r>
  <r>
    <s v="CLI-01607"/>
    <x v="0"/>
    <n v="83"/>
    <s v="Pro Monde"/>
    <n v="219"/>
    <n v="52.26"/>
    <n v="1"/>
    <s v="10%"/>
    <n v="5.226"/>
    <n v="1"/>
  </r>
  <r>
    <s v="CLI-01616"/>
    <x v="6"/>
    <n v="114"/>
    <s v="Bloqué 5Go"/>
    <n v="304"/>
    <n v="52.07"/>
    <n v="1"/>
    <s v="45%"/>
    <n v="23.4315"/>
    <n v="1"/>
  </r>
  <r>
    <s v="CLI-01617"/>
    <x v="25"/>
    <n v="75"/>
    <s v="Pro Monde"/>
    <n v="242"/>
    <n v="64.27"/>
    <n v="2"/>
    <s v="45%"/>
    <n v="28.921499999999998"/>
    <n v="1"/>
  </r>
  <r>
    <s v="CLI-01618"/>
    <x v="0"/>
    <n v="115"/>
    <s v="Bloqué 5Go"/>
    <n v="176"/>
    <n v="33.28"/>
    <n v="4"/>
    <s v="0"/>
    <n v="0"/>
    <n v="1"/>
  </r>
  <r>
    <s v="CLI-01619"/>
    <x v="9"/>
    <n v="12"/>
    <s v="Illimité 50Go"/>
    <n v="235"/>
    <n v="33.96"/>
    <n v="4"/>
    <s v="0"/>
    <n v="0"/>
    <n v="1"/>
  </r>
  <r>
    <s v="CLI-01621"/>
    <x v="9"/>
    <n v="44"/>
    <s v="Bloqué 5Go"/>
    <n v="199"/>
    <n v="67.650000000000006"/>
    <n v="0"/>
    <s v="0"/>
    <n v="0"/>
    <n v="1"/>
  </r>
  <r>
    <s v="CLI-01622"/>
    <x v="7"/>
    <n v="48"/>
    <s v="Premium 5G 150Go"/>
    <n v="338"/>
    <n v="74.42"/>
    <n v="0"/>
    <s v="45%"/>
    <n v="33.489000000000004"/>
    <n v="1"/>
  </r>
  <r>
    <s v="CLI-01623"/>
    <x v="2"/>
    <n v="51"/>
    <s v="Premium 5G 150Go"/>
    <n v="222"/>
    <n v="18.95"/>
    <n v="4"/>
    <s v="0"/>
    <n v="0"/>
    <n v="1"/>
  </r>
  <r>
    <s v="CLI-01624"/>
    <x v="1"/>
    <n v="57"/>
    <s v="Illimité 50Go"/>
    <n v="435"/>
    <n v="56.88"/>
    <n v="4"/>
    <s v="45%"/>
    <n v="25.596"/>
    <n v="1"/>
  </r>
  <r>
    <s v="CLI-01626"/>
    <x v="9"/>
    <n v="37"/>
    <s v="Bloqué 5Go"/>
    <n v="87"/>
    <n v="26.4"/>
    <n v="3"/>
    <s v="0"/>
    <n v="0"/>
    <n v="1"/>
  </r>
  <r>
    <s v="CLI-01629"/>
    <x v="5"/>
    <n v="22"/>
    <s v="Pro Monde"/>
    <n v="374"/>
    <n v="40.06"/>
    <n v="5"/>
    <s v="45%"/>
    <n v="18.027000000000001"/>
    <n v="1"/>
  </r>
  <r>
    <s v="CLI-01630"/>
    <x v="19"/>
    <n v="21"/>
    <s v="Illimité 50Go"/>
    <n v="460"/>
    <n v="70.81"/>
    <n v="2"/>
    <s v="45%"/>
    <n v="31.864500000000003"/>
    <n v="1"/>
  </r>
  <r>
    <s v="CLI-01637"/>
    <x v="4"/>
    <n v="67"/>
    <s v="Pro Monde"/>
    <n v="55"/>
    <n v="27.04"/>
    <n v="1"/>
    <s v="10%"/>
    <n v="2.7040000000000002"/>
    <n v="1"/>
  </r>
  <r>
    <s v="CLI-01638"/>
    <x v="10"/>
    <n v="23"/>
    <s v="Pro Monde"/>
    <n v="473"/>
    <n v="71.86"/>
    <n v="3"/>
    <s v="45%"/>
    <n v="32.337000000000003"/>
    <n v="1"/>
  </r>
  <r>
    <s v="CLI-01646"/>
    <x v="4"/>
    <n v="20"/>
    <s v="Illimité 50Go"/>
    <n v="4"/>
    <n v="84.9"/>
    <n v="3"/>
    <s v="0"/>
    <n v="0"/>
    <n v="1"/>
  </r>
  <r>
    <s v="CLI-01651"/>
    <x v="1"/>
    <n v="12"/>
    <s v="Premium 5G 150Go"/>
    <n v="208"/>
    <n v="16.29"/>
    <n v="4"/>
    <s v="0"/>
    <n v="0"/>
    <n v="1"/>
  </r>
  <r>
    <s v="CLI-01653"/>
    <x v="24"/>
    <n v="6"/>
    <s v="Premium 5G 150Go"/>
    <n v="162"/>
    <n v="99.93"/>
    <n v="0"/>
    <s v="0"/>
    <n v="0"/>
    <n v="1"/>
  </r>
  <r>
    <s v="CLI-01654"/>
    <x v="25"/>
    <n v="25"/>
    <s v="Bloqué 5Go"/>
    <n v="5"/>
    <n v="27.93"/>
    <n v="0"/>
    <s v="0"/>
    <n v="0"/>
    <n v="1"/>
  </r>
  <r>
    <s v="CLI-01658"/>
    <x v="18"/>
    <n v="39"/>
    <s v="Pro Monde"/>
    <n v="54"/>
    <n v="88.84"/>
    <n v="0"/>
    <s v="10%"/>
    <n v="8.8840000000000003"/>
    <n v="1"/>
  </r>
  <r>
    <s v="CLI-01662"/>
    <x v="5"/>
    <n v="120"/>
    <s v="Premium 5G 150Go"/>
    <n v="391"/>
    <n v="67.77"/>
    <n v="4"/>
    <s v="45%"/>
    <n v="30.496499999999997"/>
    <n v="1"/>
  </r>
  <r>
    <s v="CLI-01664"/>
    <x v="22"/>
    <n v="51"/>
    <s v="Bloqué 5Go"/>
    <n v="260"/>
    <n v="92.8"/>
    <n v="5"/>
    <s v="45%"/>
    <n v="41.76"/>
    <n v="1"/>
  </r>
  <r>
    <s v="CLI-01666"/>
    <x v="20"/>
    <n v="11"/>
    <s v="Premium 5G 150Go"/>
    <n v="191"/>
    <n v="87.37"/>
    <n v="3"/>
    <s v="0"/>
    <n v="0"/>
    <n v="1"/>
  </r>
  <r>
    <s v="CLI-01668"/>
    <x v="15"/>
    <n v="47"/>
    <s v="Premium 5G 150Go"/>
    <n v="457"/>
    <n v="84.93"/>
    <n v="2"/>
    <s v="45%"/>
    <n v="38.218500000000006"/>
    <n v="1"/>
  </r>
  <r>
    <s v="CLI-01669"/>
    <x v="3"/>
    <n v="98"/>
    <s v="Illimité 50Go"/>
    <n v="110"/>
    <n v="96.23"/>
    <n v="2"/>
    <s v="0"/>
    <n v="0"/>
    <n v="1"/>
  </r>
  <r>
    <s v="CLI-01680"/>
    <x v="22"/>
    <n v="28"/>
    <s v="Premium 5G 150Go"/>
    <n v="96"/>
    <n v="72.010000000000005"/>
    <n v="4"/>
    <s v="0"/>
    <n v="0"/>
    <n v="1"/>
  </r>
  <r>
    <s v="CLI-01682"/>
    <x v="0"/>
    <n v="77"/>
    <s v="Illimité 50Go"/>
    <n v="375"/>
    <n v="24.03"/>
    <n v="1"/>
    <s v="45%"/>
    <n v="10.813500000000001"/>
    <n v="1"/>
  </r>
  <r>
    <s v="CLI-01683"/>
    <x v="9"/>
    <n v="56"/>
    <s v="Bloqué 5Go"/>
    <n v="333"/>
    <n v="23.01"/>
    <n v="2"/>
    <s v="45%"/>
    <n v="10.354500000000002"/>
    <n v="1"/>
  </r>
  <r>
    <s v="CLI-01685"/>
    <x v="1"/>
    <n v="66"/>
    <s v="Illimité 50Go"/>
    <n v="387"/>
    <n v="82.94"/>
    <n v="3"/>
    <s v="45%"/>
    <n v="37.323"/>
    <n v="1"/>
  </r>
  <r>
    <s v="CLI-01686"/>
    <x v="24"/>
    <n v="75"/>
    <s v="Bloqué 5Go"/>
    <n v="282"/>
    <n v="45.16"/>
    <n v="5"/>
    <s v="45%"/>
    <n v="20.321999999999999"/>
    <n v="1"/>
  </r>
  <r>
    <s v="CLI-01687"/>
    <x v="0"/>
    <n v="39"/>
    <s v="Premium 5G 150Go"/>
    <n v="1"/>
    <n v="66.94"/>
    <n v="5"/>
    <s v="0"/>
    <n v="0"/>
    <n v="1"/>
  </r>
  <r>
    <s v="CLI-01688"/>
    <x v="2"/>
    <n v="102"/>
    <s v="Bloqué 5Go"/>
    <n v="91"/>
    <n v="34.64"/>
    <n v="2"/>
    <s v="0"/>
    <n v="0"/>
    <n v="1"/>
  </r>
  <r>
    <s v="CLI-01689"/>
    <x v="15"/>
    <n v="55"/>
    <s v="Premium 5G 150Go"/>
    <n v="394"/>
    <n v="26.8"/>
    <n v="4"/>
    <s v="45%"/>
    <n v="12.06"/>
    <n v="1"/>
  </r>
  <r>
    <s v="CLI-01694"/>
    <x v="12"/>
    <n v="78"/>
    <s v="Illimité 50Go"/>
    <n v="198"/>
    <n v="69.849999999999994"/>
    <n v="0"/>
    <s v="0"/>
    <n v="0"/>
    <n v="1"/>
  </r>
  <r>
    <s v="CLI-01695"/>
    <x v="20"/>
    <n v="5"/>
    <s v="Premium 5G 150Go"/>
    <n v="384"/>
    <n v="97.26"/>
    <n v="3"/>
    <s v="45%"/>
    <n v="43.767000000000003"/>
    <n v="1"/>
  </r>
  <r>
    <s v="CLI-01697"/>
    <x v="5"/>
    <n v="87"/>
    <s v="Pro Monde"/>
    <n v="486"/>
    <n v="58.26"/>
    <n v="0"/>
    <s v="45%"/>
    <n v="26.216999999999999"/>
    <n v="1"/>
  </r>
  <r>
    <s v="CLI-01698"/>
    <x v="24"/>
    <n v="42"/>
    <s v="Illimité 50Go"/>
    <n v="385"/>
    <n v="96.52"/>
    <n v="1"/>
    <s v="45%"/>
    <n v="43.433999999999997"/>
    <n v="1"/>
  </r>
  <r>
    <s v="CLI-01701"/>
    <x v="10"/>
    <n v="103"/>
    <s v="Premium 5G 150Go"/>
    <n v="386"/>
    <n v="10.58"/>
    <n v="0"/>
    <s v="45%"/>
    <n v="4.7610000000000001"/>
    <n v="1"/>
  </r>
  <r>
    <s v="CLI-01702"/>
    <x v="0"/>
    <n v="63"/>
    <s v="Bloqué 5Go"/>
    <n v="392"/>
    <n v="93.11"/>
    <n v="3"/>
    <s v="45%"/>
    <n v="41.899500000000003"/>
    <n v="1"/>
  </r>
  <r>
    <s v="CLI-01704"/>
    <x v="4"/>
    <n v="52"/>
    <s v="Bloqué 5Go"/>
    <n v="307"/>
    <n v="81.38"/>
    <n v="2"/>
    <s v="45%"/>
    <n v="36.621000000000002"/>
    <n v="1"/>
  </r>
  <r>
    <s v="CLI-01705"/>
    <x v="13"/>
    <n v="57"/>
    <s v="Bloqué 5Go"/>
    <n v="208"/>
    <n v="85.66"/>
    <n v="5"/>
    <s v="0"/>
    <n v="0"/>
    <n v="1"/>
  </r>
  <r>
    <s v="CLI-01706"/>
    <x v="0"/>
    <n v="55"/>
    <s v="Premium 5G 150Go"/>
    <n v="86"/>
    <n v="17.440000000000001"/>
    <n v="2"/>
    <s v="0"/>
    <n v="0"/>
    <n v="1"/>
  </r>
  <r>
    <s v="CLI-01709"/>
    <x v="16"/>
    <n v="58"/>
    <s v="Premium 5G 150Go"/>
    <n v="485"/>
    <n v="64.290000000000006"/>
    <n v="4"/>
    <s v="45%"/>
    <n v="28.930500000000002"/>
    <n v="1"/>
  </r>
  <r>
    <s v="CLI-01710"/>
    <x v="5"/>
    <n v="-53"/>
    <s v="Bloqué 5Go"/>
    <n v="414"/>
    <n v="64.39"/>
    <n v="1"/>
    <s v="45%"/>
    <n v="28.9755"/>
    <n v="1"/>
  </r>
  <r>
    <s v="CLI-01714"/>
    <x v="1"/>
    <n v="9"/>
    <s v="Bloqué 5Go"/>
    <n v="27"/>
    <n v="99.02"/>
    <n v="3"/>
    <s v="0"/>
    <n v="0"/>
    <n v="1"/>
  </r>
  <r>
    <s v="CLI-01719"/>
    <x v="8"/>
    <n v="84"/>
    <s v="Bloqué 5Go"/>
    <n v="364"/>
    <n v="87.79"/>
    <n v="3"/>
    <s v="45%"/>
    <n v="39.505500000000005"/>
    <n v="1"/>
  </r>
  <r>
    <s v="CLI-01720"/>
    <x v="16"/>
    <n v="27"/>
    <s v="Bloqué 5Go"/>
    <n v="275"/>
    <n v="80.069999999999993"/>
    <n v="1"/>
    <s v="45%"/>
    <n v="36.031500000000001"/>
    <n v="1"/>
  </r>
  <r>
    <s v="CLI-01721"/>
    <x v="15"/>
    <n v="56"/>
    <s v="Bloqué 5Go"/>
    <n v="114"/>
    <n v="64.39"/>
    <n v="1"/>
    <s v="0"/>
    <n v="0"/>
    <n v="1"/>
  </r>
  <r>
    <s v="CLI-01722"/>
    <x v="21"/>
    <n v="51"/>
    <s v="Illimité 50Go"/>
    <n v="152"/>
    <n v="34.630000000000003"/>
    <n v="2"/>
    <s v="0"/>
    <n v="0"/>
    <n v="1"/>
  </r>
  <r>
    <s v="CLI-01723"/>
    <x v="2"/>
    <n v="26"/>
    <s v="Bloqué 5Go"/>
    <n v="174"/>
    <n v="90.53"/>
    <n v="3"/>
    <s v="0"/>
    <n v="0"/>
    <n v="1"/>
  </r>
  <r>
    <s v="CLI-01724"/>
    <x v="18"/>
    <n v="60"/>
    <s v="Bloqué 5Go"/>
    <n v="168"/>
    <n v="67.650000000000006"/>
    <n v="1"/>
    <s v="0"/>
    <n v="0"/>
    <n v="1"/>
  </r>
  <r>
    <s v="CLI-01726"/>
    <x v="1"/>
    <n v="47"/>
    <s v="Bloqué 5Go"/>
    <n v="199"/>
    <n v="23.19"/>
    <n v="2"/>
    <s v="0"/>
    <n v="0"/>
    <n v="1"/>
  </r>
  <r>
    <s v="CLI-01728"/>
    <x v="9"/>
    <n v="7"/>
    <s v="Bloqué 5Go"/>
    <n v="257"/>
    <n v="73.040000000000006"/>
    <n v="3"/>
    <s v="45%"/>
    <n v="32.868000000000002"/>
    <n v="1"/>
  </r>
  <r>
    <s v="CLI-01729"/>
    <x v="8"/>
    <n v="59"/>
    <s v="Pro Monde"/>
    <n v="369"/>
    <n v="26.64"/>
    <n v="4"/>
    <s v="45%"/>
    <n v="11.988000000000001"/>
    <n v="1"/>
  </r>
  <r>
    <s v="CLI-01731"/>
    <x v="3"/>
    <n v="104"/>
    <s v="Bloqué 5Go"/>
    <n v="243"/>
    <n v="65.819999999999993"/>
    <n v="0"/>
    <s v="45%"/>
    <n v="29.618999999999996"/>
    <n v="1"/>
  </r>
  <r>
    <s v="CLI-01732"/>
    <x v="5"/>
    <n v="48"/>
    <s v="Illimité 50Go"/>
    <n v="15"/>
    <n v="50.67"/>
    <n v="1"/>
    <s v="0"/>
    <n v="0"/>
    <n v="1"/>
  </r>
  <r>
    <s v="CLI-01735"/>
    <x v="5"/>
    <n v="71"/>
    <s v="Bloqué 5Go"/>
    <n v="364"/>
    <n v="39.58"/>
    <n v="1"/>
    <s v="45%"/>
    <n v="17.811"/>
    <n v="1"/>
  </r>
  <r>
    <s v="CLI-01736"/>
    <x v="1"/>
    <n v="88"/>
    <s v="Illimité 50Go"/>
    <n v="154"/>
    <n v="62.62"/>
    <n v="5"/>
    <s v="0"/>
    <n v="0"/>
    <n v="1"/>
  </r>
  <r>
    <s v="CLI-01739"/>
    <x v="3"/>
    <n v="119"/>
    <s v="Illimité 50Go"/>
    <n v="231"/>
    <n v="20.22"/>
    <n v="2"/>
    <s v="0"/>
    <n v="0"/>
    <n v="1"/>
  </r>
  <r>
    <s v="CLI-01740"/>
    <x v="5"/>
    <n v="81"/>
    <s v="Pro Monde"/>
    <n v="298"/>
    <n v="53.61"/>
    <n v="2"/>
    <s v="45%"/>
    <n v="24.124500000000001"/>
    <n v="1"/>
  </r>
  <r>
    <s v="CLI-01741"/>
    <x v="8"/>
    <n v="45"/>
    <s v="Premium 5G 150Go"/>
    <n v="244"/>
    <n v="55.17"/>
    <n v="2"/>
    <s v="45%"/>
    <n v="24.826500000000003"/>
    <n v="1"/>
  </r>
  <r>
    <s v="CLI-01746"/>
    <x v="15"/>
    <n v="86"/>
    <s v="Premium 5G 150Go"/>
    <n v="471"/>
    <n v="33.380000000000003"/>
    <n v="4"/>
    <s v="45%"/>
    <n v="15.021000000000001"/>
    <n v="1"/>
  </r>
  <r>
    <s v="CLI-01749"/>
    <x v="4"/>
    <n v="33"/>
    <s v="Premium 5G 150Go"/>
    <n v="444"/>
    <n v="10.28"/>
    <n v="5"/>
    <s v="45%"/>
    <n v="4.6259999999999994"/>
    <n v="1"/>
  </r>
  <r>
    <s v="CLI-01757"/>
    <x v="15"/>
    <n v="104"/>
    <s v="Pro Monde"/>
    <n v="317"/>
    <n v="79.150000000000006"/>
    <n v="1"/>
    <s v="45%"/>
    <n v="35.617500000000007"/>
    <n v="1"/>
  </r>
  <r>
    <s v="CLI-01759"/>
    <x v="12"/>
    <n v="90"/>
    <s v="Pro Monde"/>
    <n v="195"/>
    <n v="52.71"/>
    <n v="2"/>
    <s v="10%"/>
    <n v="5.2710000000000008"/>
    <n v="1"/>
  </r>
  <r>
    <s v="CLI-01761"/>
    <x v="24"/>
    <n v="108"/>
    <s v="Illimité 50Go"/>
    <n v="278"/>
    <n v="40.51"/>
    <n v="3"/>
    <s v="45%"/>
    <n v="18.229499999999998"/>
    <n v="1"/>
  </r>
  <r>
    <s v="CLI-01765"/>
    <x v="20"/>
    <n v="57"/>
    <s v="Illimité 50Go"/>
    <n v="375"/>
    <n v="64.73"/>
    <n v="1"/>
    <s v="45%"/>
    <n v="29.128500000000003"/>
    <n v="1"/>
  </r>
  <r>
    <s v="CLI-01766"/>
    <x v="11"/>
    <n v="101"/>
    <s v="Pro Monde"/>
    <n v="210"/>
    <n v="35.4"/>
    <n v="1"/>
    <s v="10%"/>
    <n v="3.54"/>
    <n v="1"/>
  </r>
  <r>
    <s v="CLI-01768"/>
    <x v="4"/>
    <n v="72"/>
    <s v="Pro Monde"/>
    <n v="333"/>
    <n v="34.57"/>
    <n v="2"/>
    <s v="45%"/>
    <n v="15.5565"/>
    <n v="1"/>
  </r>
  <r>
    <s v="CLI-01773"/>
    <x v="9"/>
    <n v="91"/>
    <s v="Illimité 50Go"/>
    <n v="404"/>
    <n v="76.53"/>
    <n v="5"/>
    <s v="45%"/>
    <n v="34.438500000000005"/>
    <n v="1"/>
  </r>
  <r>
    <s v="CLI-01775"/>
    <x v="15"/>
    <n v="118"/>
    <s v="Bloqué 5Go"/>
    <n v="300"/>
    <n v="98.22"/>
    <n v="4"/>
    <s v="45%"/>
    <n v="44.198999999999998"/>
    <n v="1"/>
  </r>
  <r>
    <s v="CLI-01776"/>
    <x v="11"/>
    <n v="79"/>
    <s v="Bloqué 5Go"/>
    <n v="357"/>
    <n v="69.900000000000006"/>
    <n v="5"/>
    <s v="45%"/>
    <n v="31.455000000000002"/>
    <n v="1"/>
  </r>
  <r>
    <s v="CLI-01780"/>
    <x v="8"/>
    <n v="112"/>
    <s v="Illimité 50Go"/>
    <n v="281"/>
    <n v="80.72"/>
    <n v="2"/>
    <s v="45%"/>
    <n v="36.323999999999998"/>
    <n v="1"/>
  </r>
  <r>
    <s v="CLI-01782"/>
    <x v="7"/>
    <n v="93"/>
    <s v="Pro Monde"/>
    <n v="153"/>
    <n v="86.19"/>
    <n v="0"/>
    <s v="10%"/>
    <n v="8.6189999999999998"/>
    <n v="1"/>
  </r>
  <r>
    <s v="CLI-01783"/>
    <x v="14"/>
    <n v="48"/>
    <s v="Bloqué 5Go"/>
    <n v="482"/>
    <n v="83.24"/>
    <n v="0"/>
    <s v="45%"/>
    <n v="37.457999999999998"/>
    <n v="1"/>
  </r>
  <r>
    <s v="CLI-01788"/>
    <x v="18"/>
    <n v="22"/>
    <s v="Pro Monde"/>
    <n v="127"/>
    <n v="49.06"/>
    <n v="2"/>
    <s v="10%"/>
    <n v="4.9060000000000006"/>
    <n v="1"/>
  </r>
  <r>
    <s v="CLI-01793"/>
    <x v="16"/>
    <n v="87"/>
    <s v="Pro Monde"/>
    <n v="205"/>
    <n v="40.159999999999997"/>
    <n v="5"/>
    <s v="10%"/>
    <n v="4.016"/>
    <n v="1"/>
  </r>
  <r>
    <s v="CLI-01794"/>
    <x v="9"/>
    <n v="100"/>
    <s v="Bloqué 5Go"/>
    <n v="471"/>
    <n v="61.2"/>
    <n v="3"/>
    <s v="45%"/>
    <n v="27.540000000000003"/>
    <n v="1"/>
  </r>
  <r>
    <s v="CLI-01796"/>
    <x v="20"/>
    <n v="51"/>
    <s v="Illimité 50Go"/>
    <n v="433"/>
    <n v="12.89"/>
    <n v="1"/>
    <s v="45%"/>
    <n v="5.8005000000000004"/>
    <n v="1"/>
  </r>
  <r>
    <s v="CLI-01797"/>
    <x v="16"/>
    <n v="15"/>
    <s v="Bloqué 5Go"/>
    <n v="30"/>
    <n v="30.5"/>
    <n v="1"/>
    <s v="0"/>
    <n v="0"/>
    <n v="1"/>
  </r>
  <r>
    <s v="CLI-01802"/>
    <x v="0"/>
    <n v="55"/>
    <s v="Bloqué 5Go"/>
    <n v="407"/>
    <n v="23.11"/>
    <n v="0"/>
    <s v="45%"/>
    <n v="10.3995"/>
    <n v="1"/>
  </r>
  <r>
    <s v="CLI-01804"/>
    <x v="7"/>
    <n v="99"/>
    <s v="Pro Monde"/>
    <n v="42"/>
    <n v="98.77"/>
    <n v="3"/>
    <s v="10%"/>
    <n v="9.8770000000000007"/>
    <n v="1"/>
  </r>
  <r>
    <s v="CLI-01812"/>
    <x v="17"/>
    <n v="50"/>
    <s v="Bloqué 5Go"/>
    <n v="258"/>
    <n v="25.06"/>
    <n v="4"/>
    <s v="45%"/>
    <n v="11.276999999999999"/>
    <n v="1"/>
  </r>
  <r>
    <s v="CLI-01814"/>
    <x v="19"/>
    <n v="22"/>
    <s v="Illimité 50Go"/>
    <n v="451"/>
    <n v="76.38"/>
    <n v="3"/>
    <s v="45%"/>
    <n v="34.371000000000002"/>
    <n v="1"/>
  </r>
  <r>
    <s v="CLI-01816"/>
    <x v="18"/>
    <n v="83"/>
    <s v="Pro Monde"/>
    <n v="91"/>
    <n v="73.73"/>
    <n v="2"/>
    <s v="10%"/>
    <n v="7.3730000000000011"/>
    <n v="1"/>
  </r>
  <r>
    <s v="CLI-01818"/>
    <x v="12"/>
    <n v="35"/>
    <s v="Illimité 50Go"/>
    <n v="421"/>
    <n v="29.57"/>
    <n v="5"/>
    <s v="45%"/>
    <n v="13.3065"/>
    <n v="1"/>
  </r>
  <r>
    <s v="CLI-01820"/>
    <x v="18"/>
    <n v="99"/>
    <s v="Illimité 50Go"/>
    <n v="137"/>
    <n v="23.05"/>
    <n v="4"/>
    <s v="0"/>
    <n v="0"/>
    <n v="1"/>
  </r>
  <r>
    <s v="CLI-01821"/>
    <x v="0"/>
    <n v="115"/>
    <s v="Pro Monde"/>
    <n v="262"/>
    <n v="66.34"/>
    <n v="3"/>
    <s v="45%"/>
    <n v="29.853000000000002"/>
    <n v="1"/>
  </r>
  <r>
    <s v="CLI-01822"/>
    <x v="10"/>
    <n v="112"/>
    <s v="Illimité 50Go"/>
    <n v="483"/>
    <n v="93.98"/>
    <n v="0"/>
    <s v="45%"/>
    <n v="42.291000000000004"/>
    <n v="1"/>
  </r>
  <r>
    <s v="CLI-01823"/>
    <x v="4"/>
    <n v="7"/>
    <s v="Bloqué 5Go"/>
    <n v="233"/>
    <n v="10.94"/>
    <n v="0"/>
    <s v="0"/>
    <n v="0"/>
    <n v="1"/>
  </r>
  <r>
    <s v="CLI-01824"/>
    <x v="18"/>
    <n v="42"/>
    <s v="Pro Monde"/>
    <n v="389"/>
    <n v="80.08"/>
    <n v="1"/>
    <s v="45%"/>
    <n v="36.036000000000001"/>
    <n v="1"/>
  </r>
  <r>
    <s v="CLI-01830"/>
    <x v="14"/>
    <n v="104"/>
    <s v="Bloqué 5Go"/>
    <n v="245"/>
    <n v="38.270000000000003"/>
    <n v="0"/>
    <s v="45%"/>
    <n v="17.221500000000002"/>
    <n v="1"/>
  </r>
  <r>
    <s v="CLI-01832"/>
    <x v="22"/>
    <n v="23"/>
    <s v="Pro Monde"/>
    <n v="120"/>
    <n v="73.12"/>
    <n v="1"/>
    <s v="10%"/>
    <n v="7.3120000000000012"/>
    <n v="1"/>
  </r>
  <r>
    <s v="CLI-01835"/>
    <x v="2"/>
    <n v="76"/>
    <s v="Bloqué 5Go"/>
    <n v="192"/>
    <n v="68.53"/>
    <n v="0"/>
    <s v="0"/>
    <n v="0"/>
    <n v="1"/>
  </r>
  <r>
    <s v="CLI-01836"/>
    <x v="16"/>
    <n v="35"/>
    <s v="Pro Monde"/>
    <n v="496"/>
    <n v="19.78"/>
    <n v="5"/>
    <s v="45%"/>
    <n v="8.9010000000000016"/>
    <n v="1"/>
  </r>
  <r>
    <s v="CLI-01837"/>
    <x v="21"/>
    <n v="97"/>
    <s v="Pro Monde"/>
    <n v="319"/>
    <n v="31.25"/>
    <n v="1"/>
    <s v="45%"/>
    <n v="14.0625"/>
    <n v="1"/>
  </r>
  <r>
    <s v="CLI-01839"/>
    <x v="4"/>
    <n v="114"/>
    <s v="Premium 5G 150Go"/>
    <n v="482"/>
    <n v="16.25"/>
    <n v="3"/>
    <s v="45%"/>
    <n v="7.3125"/>
    <n v="1"/>
  </r>
  <r>
    <s v="CLI-01843"/>
    <x v="14"/>
    <n v="89"/>
    <s v="Bloqué 5Go"/>
    <n v="474"/>
    <n v="28.51"/>
    <n v="5"/>
    <s v="45%"/>
    <n v="12.829500000000001"/>
    <n v="1"/>
  </r>
  <r>
    <s v="CLI-01844"/>
    <x v="14"/>
    <n v="41"/>
    <s v="Pro Monde"/>
    <n v="206"/>
    <n v="83.16"/>
    <n v="2"/>
    <s v="10%"/>
    <n v="8.3160000000000007"/>
    <n v="1"/>
  </r>
  <r>
    <s v="CLI-01845"/>
    <x v="11"/>
    <n v="110"/>
    <s v="Illimité 50Go"/>
    <n v="454"/>
    <n v="31.05"/>
    <n v="1"/>
    <s v="45%"/>
    <n v="13.9725"/>
    <n v="1"/>
  </r>
  <r>
    <s v="CLI-01846"/>
    <x v="8"/>
    <n v="85"/>
    <s v="Pro Monde"/>
    <n v="75"/>
    <n v="98.01"/>
    <n v="1"/>
    <s v="10%"/>
    <n v="9.8010000000000019"/>
    <n v="1"/>
  </r>
  <r>
    <s v="CLI-01847"/>
    <x v="12"/>
    <n v="79"/>
    <s v="Bloqué 5Go"/>
    <n v="462"/>
    <n v="18.28"/>
    <n v="0"/>
    <s v="45%"/>
    <n v="8.2260000000000009"/>
    <n v="1"/>
  </r>
  <r>
    <s v="CLI-01848"/>
    <x v="24"/>
    <n v="46"/>
    <s v="Premium 5G 150Go"/>
    <n v="43"/>
    <n v="98.44"/>
    <n v="2"/>
    <s v="0"/>
    <n v="0"/>
    <n v="1"/>
  </r>
  <r>
    <s v="CLI-01850"/>
    <x v="10"/>
    <n v="1"/>
    <s v="Pro Monde"/>
    <n v="326"/>
    <n v="54.63"/>
    <n v="3"/>
    <s v="45%"/>
    <n v="24.583500000000001"/>
    <n v="1"/>
  </r>
  <r>
    <s v="CLI-01851"/>
    <x v="12"/>
    <n v="26"/>
    <s v="Premium 5G 150Go"/>
    <n v="378"/>
    <n v="45.21"/>
    <n v="5"/>
    <s v="45%"/>
    <n v="20.3445"/>
    <n v="1"/>
  </r>
  <r>
    <s v="CLI-01852"/>
    <x v="6"/>
    <n v="73"/>
    <s v="Pro Monde"/>
    <n v="268"/>
    <n v="56.86"/>
    <n v="5"/>
    <s v="45%"/>
    <n v="25.587"/>
    <n v="1"/>
  </r>
  <r>
    <s v="CLI-01854"/>
    <x v="20"/>
    <n v="16"/>
    <s v="Bloqué 5Go"/>
    <n v="13"/>
    <n v="14.91"/>
    <n v="1"/>
    <s v="0"/>
    <n v="0"/>
    <n v="1"/>
  </r>
  <r>
    <s v="CLI-01855"/>
    <x v="11"/>
    <n v="101"/>
    <s v="Illimité 50Go"/>
    <n v="358"/>
    <n v="29.24"/>
    <n v="3"/>
    <s v="45%"/>
    <n v="13.157999999999999"/>
    <n v="1"/>
  </r>
  <r>
    <s v="CLI-01858"/>
    <x v="6"/>
    <n v="103"/>
    <s v="Illimité 50Go"/>
    <n v="291"/>
    <n v="60.34"/>
    <n v="5"/>
    <s v="45%"/>
    <n v="27.153000000000002"/>
    <n v="1"/>
  </r>
  <r>
    <s v="CLI-01860"/>
    <x v="8"/>
    <n v="92"/>
    <s v="Premium 5G 150Go"/>
    <n v="116"/>
    <n v="23.83"/>
    <n v="3"/>
    <s v="0"/>
    <n v="0"/>
    <n v="1"/>
  </r>
  <r>
    <s v="CLI-01861"/>
    <x v="23"/>
    <n v="116"/>
    <s v="Illimité 50Go"/>
    <n v="231"/>
    <n v="19.12"/>
    <n v="5"/>
    <s v="0"/>
    <n v="0"/>
    <n v="1"/>
  </r>
  <r>
    <s v="CLI-01868"/>
    <x v="22"/>
    <n v="89"/>
    <s v="Pro Monde"/>
    <n v="381"/>
    <n v="68.17"/>
    <n v="0"/>
    <s v="45%"/>
    <n v="30.676500000000001"/>
    <n v="1"/>
  </r>
  <r>
    <s v="CLI-01871"/>
    <x v="24"/>
    <n v="65"/>
    <s v="Premium 5G 150Go"/>
    <n v="15"/>
    <n v="44.47"/>
    <n v="0"/>
    <s v="0"/>
    <n v="0"/>
    <n v="1"/>
  </r>
  <r>
    <s v="CLI-01873"/>
    <x v="1"/>
    <n v="61"/>
    <s v="Pro Monde"/>
    <n v="362"/>
    <n v="75.03"/>
    <n v="0"/>
    <s v="45%"/>
    <n v="33.763500000000001"/>
    <n v="1"/>
  </r>
  <r>
    <s v="CLI-01876"/>
    <x v="23"/>
    <n v="17"/>
    <s v="Pro Monde"/>
    <n v="206"/>
    <n v="63.46"/>
    <n v="3"/>
    <s v="10%"/>
    <n v="6.3460000000000001"/>
    <n v="1"/>
  </r>
  <r>
    <s v="CLI-01877"/>
    <x v="21"/>
    <n v="19"/>
    <s v="Bloqué 5Go"/>
    <n v="125"/>
    <n v="11.78"/>
    <n v="4"/>
    <s v="0"/>
    <n v="0"/>
    <n v="1"/>
  </r>
  <r>
    <s v="CLI-01880"/>
    <x v="13"/>
    <n v="13"/>
    <s v="Bloqué 5Go"/>
    <n v="180"/>
    <n v="24.01"/>
    <n v="0"/>
    <s v="0"/>
    <n v="0"/>
    <n v="1"/>
  </r>
  <r>
    <s v="CLI-01885"/>
    <x v="19"/>
    <n v="90"/>
    <s v="Pro Monde"/>
    <n v="299"/>
    <n v="71.760000000000005"/>
    <n v="1"/>
    <s v="45%"/>
    <n v="32.292000000000002"/>
    <n v="1"/>
  </r>
  <r>
    <s v="CLI-01888"/>
    <x v="17"/>
    <n v="41"/>
    <s v="Premium 5G 150Go"/>
    <n v="64"/>
    <n v="91.95"/>
    <n v="1"/>
    <s v="0"/>
    <n v="0"/>
    <n v="1"/>
  </r>
  <r>
    <s v="CLI-01890"/>
    <x v="23"/>
    <n v="74"/>
    <s v="Illimité 50Go"/>
    <n v="359"/>
    <n v="92.63"/>
    <n v="0"/>
    <s v="45%"/>
    <n v="41.683500000000002"/>
    <n v="1"/>
  </r>
  <r>
    <s v="CLI-01891"/>
    <x v="16"/>
    <n v="62"/>
    <s v="Premium 5G 150Go"/>
    <n v="116"/>
    <n v="92.99"/>
    <n v="5"/>
    <s v="0"/>
    <n v="0"/>
    <n v="1"/>
  </r>
  <r>
    <s v="CLI-01893"/>
    <x v="23"/>
    <n v="118"/>
    <s v="Pro Monde"/>
    <n v="80"/>
    <n v="97.58"/>
    <n v="3"/>
    <s v="10%"/>
    <n v="9.7580000000000009"/>
    <n v="1"/>
  </r>
  <r>
    <s v="CLI-01906"/>
    <x v="21"/>
    <n v="99"/>
    <s v="Bloqué 5Go"/>
    <n v="28"/>
    <n v="70.19"/>
    <n v="1"/>
    <s v="0"/>
    <n v="0"/>
    <n v="1"/>
  </r>
  <r>
    <s v="CLI-01908"/>
    <x v="24"/>
    <n v="80"/>
    <s v="Premium 5G 150Go"/>
    <n v="121"/>
    <n v="83.14"/>
    <n v="5"/>
    <s v="0"/>
    <n v="0"/>
    <n v="1"/>
  </r>
  <r>
    <s v="CLI-01911"/>
    <x v="20"/>
    <n v="58"/>
    <s v="Illimité 50Go"/>
    <n v="61"/>
    <n v="58.64"/>
    <n v="3"/>
    <s v="0"/>
    <n v="0"/>
    <n v="1"/>
  </r>
  <r>
    <s v="CLI-01916"/>
    <x v="3"/>
    <n v="4"/>
    <s v="Bloqué 5Go"/>
    <n v="453"/>
    <n v="75.260000000000005"/>
    <n v="5"/>
    <s v="45%"/>
    <n v="33.867000000000004"/>
    <n v="1"/>
  </r>
  <r>
    <s v="CLI-01917"/>
    <x v="4"/>
    <n v="41"/>
    <s v="Bloqué 5Go"/>
    <n v="398"/>
    <n v="28.56"/>
    <n v="2"/>
    <s v="45%"/>
    <n v="12.852"/>
    <n v="1"/>
  </r>
  <r>
    <s v="CLI-01920"/>
    <x v="15"/>
    <n v="49"/>
    <s v="Pro Monde"/>
    <n v="229"/>
    <n v="53.94"/>
    <n v="5"/>
    <s v="10%"/>
    <n v="5.3940000000000001"/>
    <n v="1"/>
  </r>
  <r>
    <s v="CLI-01923"/>
    <x v="21"/>
    <n v="29"/>
    <s v="Illimité 50Go"/>
    <n v="416"/>
    <n v="61.26"/>
    <n v="0"/>
    <s v="45%"/>
    <n v="27.567"/>
    <n v="1"/>
  </r>
  <r>
    <s v="CLI-01926"/>
    <x v="16"/>
    <n v="9"/>
    <s v="Illimité 50Go"/>
    <n v="227"/>
    <n v="63.74"/>
    <n v="3"/>
    <s v="0"/>
    <n v="0"/>
    <n v="1"/>
  </r>
  <r>
    <s v="CLI-01927"/>
    <x v="6"/>
    <n v="97"/>
    <s v="Pro Monde"/>
    <n v="276"/>
    <n v="88.35"/>
    <n v="0"/>
    <s v="45%"/>
    <n v="39.7575"/>
    <n v="1"/>
  </r>
  <r>
    <s v="CLI-01929"/>
    <x v="23"/>
    <n v="32"/>
    <s v="Illimité 50Go"/>
    <n v="31"/>
    <n v="67.040000000000006"/>
    <n v="1"/>
    <s v="0"/>
    <n v="0"/>
    <n v="1"/>
  </r>
  <r>
    <s v="CLI-01931"/>
    <x v="16"/>
    <n v="87"/>
    <s v="Illimité 50Go"/>
    <n v="498"/>
    <n v="61.57"/>
    <n v="0"/>
    <s v="45%"/>
    <n v="27.706500000000002"/>
    <n v="1"/>
  </r>
  <r>
    <s v="CLI-01932"/>
    <x v="1"/>
    <n v="112"/>
    <s v="Pro Monde"/>
    <n v="18"/>
    <n v="27.33"/>
    <n v="5"/>
    <s v="10%"/>
    <n v="2.7330000000000001"/>
    <n v="1"/>
  </r>
  <r>
    <s v="CLI-01933"/>
    <x v="19"/>
    <n v="97"/>
    <s v="Premium 5G 150Go"/>
    <n v="296"/>
    <n v="10.87"/>
    <n v="4"/>
    <s v="45%"/>
    <n v="4.8914999999999997"/>
    <n v="1"/>
  </r>
  <r>
    <s v="CLI-01938"/>
    <x v="9"/>
    <n v="14"/>
    <s v="Pro Monde"/>
    <n v="303"/>
    <n v="61.43"/>
    <n v="1"/>
    <s v="45%"/>
    <n v="27.6435"/>
    <n v="1"/>
  </r>
  <r>
    <s v="CLI-01940"/>
    <x v="20"/>
    <n v="104"/>
    <s v="Premium 5G 150Go"/>
    <n v="68"/>
    <n v="21.15"/>
    <n v="2"/>
    <s v="0"/>
    <n v="0"/>
    <n v="1"/>
  </r>
  <r>
    <s v="CLI-01949"/>
    <x v="2"/>
    <n v="38"/>
    <s v="Premium 5G 150Go"/>
    <n v="432"/>
    <n v="53.65"/>
    <n v="4"/>
    <s v="45%"/>
    <n v="24.142499999999998"/>
    <n v="1"/>
  </r>
  <r>
    <s v="CLI-01950"/>
    <x v="19"/>
    <n v="91"/>
    <s v="Premium 5G 150Go"/>
    <n v="467"/>
    <n v="84.74"/>
    <n v="1"/>
    <s v="45%"/>
    <n v="38.132999999999996"/>
    <n v="1"/>
  </r>
  <r>
    <s v="CLI-01957"/>
    <x v="6"/>
    <n v="14"/>
    <s v="Bloqué 5Go"/>
    <n v="415"/>
    <n v="36.93"/>
    <n v="5"/>
    <s v="45%"/>
    <n v="16.618500000000001"/>
    <n v="1"/>
  </r>
  <r>
    <s v="CLI-01959"/>
    <x v="15"/>
    <n v="7"/>
    <s v="Pro Monde"/>
    <n v="268"/>
    <n v="33.04"/>
    <n v="5"/>
    <s v="45%"/>
    <n v="14.868"/>
    <n v="1"/>
  </r>
  <r>
    <s v="CLI-01960"/>
    <x v="16"/>
    <n v="93"/>
    <s v="Bloqué 5Go"/>
    <n v="365"/>
    <n v="72.319999999999993"/>
    <n v="1"/>
    <s v="45%"/>
    <n v="32.543999999999997"/>
    <n v="1"/>
  </r>
  <r>
    <s v="CLI-01964"/>
    <x v="17"/>
    <n v="30"/>
    <s v="Premium 5G 150Go"/>
    <n v="197"/>
    <n v="15.42"/>
    <n v="0"/>
    <s v="0"/>
    <n v="0"/>
    <n v="1"/>
  </r>
  <r>
    <s v="CLI-01966"/>
    <x v="16"/>
    <n v="58"/>
    <s v="Premium 5G 150Go"/>
    <n v="485"/>
    <n v="65.41"/>
    <n v="5"/>
    <s v="45%"/>
    <n v="29.4345"/>
    <n v="1"/>
  </r>
  <r>
    <s v="CLI-01967"/>
    <x v="14"/>
    <n v="113"/>
    <s v="Premium 5G 150Go"/>
    <n v="246"/>
    <n v="29.18"/>
    <n v="2"/>
    <s v="45%"/>
    <n v="13.131"/>
    <n v="1"/>
  </r>
  <r>
    <s v="CLI-01969"/>
    <x v="23"/>
    <n v="19"/>
    <s v="Bloqué 5Go"/>
    <n v="141"/>
    <n v="53.95"/>
    <n v="1"/>
    <s v="0"/>
    <n v="0"/>
    <n v="1"/>
  </r>
  <r>
    <s v="CLI-01970"/>
    <x v="3"/>
    <n v="33"/>
    <s v="Bloqué 5Go"/>
    <n v="332"/>
    <n v="76.41"/>
    <n v="1"/>
    <s v="45%"/>
    <n v="34.384500000000003"/>
    <n v="1"/>
  </r>
  <r>
    <s v="CLI-01971"/>
    <x v="6"/>
    <n v="103"/>
    <s v="Bloqué 5Go"/>
    <n v="98"/>
    <n v="38.69"/>
    <n v="4"/>
    <s v="0"/>
    <n v="0"/>
    <n v="1"/>
  </r>
  <r>
    <s v="CLI-01972"/>
    <x v="13"/>
    <n v="72"/>
    <s v="Bloqué 5Go"/>
    <n v="332"/>
    <n v="83.36"/>
    <n v="4"/>
    <s v="45%"/>
    <n v="37.512"/>
    <n v="1"/>
  </r>
  <r>
    <s v="CLI-01973"/>
    <x v="15"/>
    <n v="23"/>
    <s v="Pro Monde"/>
    <n v="262"/>
    <n v="46.3"/>
    <n v="1"/>
    <s v="45%"/>
    <n v="20.835000000000001"/>
    <n v="1"/>
  </r>
  <r>
    <s v="CLI-01974"/>
    <x v="16"/>
    <n v="91"/>
    <s v="Pro Monde"/>
    <n v="358"/>
    <n v="21.14"/>
    <n v="5"/>
    <s v="45%"/>
    <n v="9.5129999999999999"/>
    <n v="1"/>
  </r>
  <r>
    <s v="CLI-01975"/>
    <x v="22"/>
    <n v="65"/>
    <s v="Pro Monde"/>
    <n v="246"/>
    <n v="69.17"/>
    <n v="0"/>
    <s v="45%"/>
    <n v="31.1265"/>
    <n v="1"/>
  </r>
  <r>
    <s v="CLI-01977"/>
    <x v="0"/>
    <n v="10"/>
    <s v="Illimité 50Go"/>
    <n v="418"/>
    <n v="27.66"/>
    <n v="2"/>
    <s v="45%"/>
    <n v="12.447000000000001"/>
    <n v="1"/>
  </r>
  <r>
    <s v="CLI-01979"/>
    <x v="2"/>
    <n v="10"/>
    <s v="Pro Monde"/>
    <n v="129"/>
    <n v="70.12"/>
    <n v="0"/>
    <s v="10%"/>
    <n v="7.0120000000000005"/>
    <n v="1"/>
  </r>
  <r>
    <s v="CLI-01981"/>
    <x v="18"/>
    <n v="80"/>
    <s v="Illimité 50Go"/>
    <n v="101"/>
    <n v="61.92"/>
    <n v="4"/>
    <s v="0"/>
    <n v="0"/>
    <n v="1"/>
  </r>
  <r>
    <s v="CLI-01982"/>
    <x v="21"/>
    <n v="61"/>
    <s v="Bloqué 5Go"/>
    <n v="383"/>
    <n v="39.72"/>
    <n v="4"/>
    <s v="45%"/>
    <n v="17.873999999999999"/>
    <n v="1"/>
  </r>
  <r>
    <s v="CLI-01986"/>
    <x v="5"/>
    <n v="1"/>
    <s v="Bloqué 5Go"/>
    <n v="237"/>
    <n v="58.7"/>
    <n v="4"/>
    <s v="0"/>
    <n v="0"/>
    <n v="1"/>
  </r>
  <r>
    <s v="CLI-01988"/>
    <x v="21"/>
    <n v="111"/>
    <s v="Pro Monde"/>
    <n v="447"/>
    <n v="51.35"/>
    <n v="0"/>
    <s v="45%"/>
    <n v="23.107500000000002"/>
    <n v="1"/>
  </r>
  <r>
    <s v="CLI-01990"/>
    <x v="1"/>
    <n v="100"/>
    <s v="Illimité 50Go"/>
    <n v="240"/>
    <n v="24.83"/>
    <n v="4"/>
    <s v="45%"/>
    <n v="11.173499999999999"/>
    <n v="1"/>
  </r>
  <r>
    <s v="CLI-01992"/>
    <x v="1"/>
    <n v="20"/>
    <s v="Illimité 50Go"/>
    <n v="217"/>
    <n v="55.3"/>
    <n v="4"/>
    <s v="0"/>
    <n v="0"/>
    <n v="1"/>
  </r>
  <r>
    <s v="CLI-01995"/>
    <x v="6"/>
    <n v="5"/>
    <s v="Premium 5G 150Go"/>
    <n v="71"/>
    <n v="93.81"/>
    <n v="3"/>
    <s v="0"/>
    <n v="0"/>
    <n v="1"/>
  </r>
  <r>
    <s v="CLI-01998"/>
    <x v="20"/>
    <n v="7"/>
    <s v="Pro Monde"/>
    <n v="332"/>
    <n v="83.95"/>
    <n v="4"/>
    <s v="45%"/>
    <n v="37.777500000000003"/>
    <n v="1"/>
  </r>
  <r>
    <s v="CLI-01999"/>
    <x v="16"/>
    <n v="47"/>
    <s v="Pro Monde"/>
    <n v="149"/>
    <n v="28.35"/>
    <n v="1"/>
    <s v="10%"/>
    <n v="2.835000000000000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4" cacheId="1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showHeaders="0" outline="1" outlineData="1" multipleFieldFilters="0">
  <location ref="H3:J30" firstHeaderRow="0" firstDataRow="1" firstDataCol="1"/>
  <pivotFields count="10">
    <pivotField showAll="0"/>
    <pivotField axis="axisRow" showAll="0" sortType="descending">
      <items count="27">
        <item x="5"/>
        <item x="18"/>
        <item x="14"/>
        <item x="4"/>
        <item x="12"/>
        <item x="8"/>
        <item x="13"/>
        <item x="15"/>
        <item x="21"/>
        <item x="23"/>
        <item x="3"/>
        <item x="19"/>
        <item x="1"/>
        <item x="10"/>
        <item x="25"/>
        <item x="17"/>
        <item x="7"/>
        <item x="2"/>
        <item x="9"/>
        <item x="22"/>
        <item x="24"/>
        <item x="11"/>
        <item x="16"/>
        <item x="0"/>
        <item x="20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numFmtId="165" showAll="0"/>
    <pivotField showAll="0"/>
    <pivotField showAll="0"/>
    <pivotField dataField="1" numFmtId="165" showAll="0"/>
    <pivotField dataField="1" showAll="0"/>
  </pivotFields>
  <rowFields count="1">
    <field x="1"/>
  </rowFields>
  <rowItems count="27">
    <i>
      <x v="11"/>
    </i>
    <i>
      <x v="18"/>
    </i>
    <i>
      <x v="7"/>
    </i>
    <i>
      <x/>
    </i>
    <i>
      <x v="2"/>
    </i>
    <i>
      <x v="5"/>
    </i>
    <i>
      <x v="3"/>
    </i>
    <i>
      <x v="19"/>
    </i>
    <i>
      <x v="12"/>
    </i>
    <i>
      <x v="6"/>
    </i>
    <i>
      <x v="22"/>
    </i>
    <i>
      <x v="15"/>
    </i>
    <i>
      <x v="23"/>
    </i>
    <i>
      <x v="25"/>
    </i>
    <i>
      <x v="8"/>
    </i>
    <i>
      <x v="16"/>
    </i>
    <i>
      <x v="1"/>
    </i>
    <i>
      <x v="20"/>
    </i>
    <i>
      <x v="17"/>
    </i>
    <i>
      <x v="24"/>
    </i>
    <i>
      <x v="9"/>
    </i>
    <i>
      <x v="13"/>
    </i>
    <i>
      <x v="10"/>
    </i>
    <i>
      <x v="21"/>
    </i>
    <i>
      <x v="4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Client_Impacte" fld="9" baseField="0" baseItem="0"/>
    <dataField name="Somme de Perte_Financiere" fld="8" baseField="0" baseItem="0"/>
  </dataFields>
  <formats count="14">
    <format dxfId="1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7">
      <pivotArea type="all" dataOnly="0" outline="0" fieldPosition="0"/>
    </format>
    <format dxfId="126">
      <pivotArea outline="0" collapsedLevelsAreSubtotals="1" fieldPosition="0"/>
    </format>
    <format dxfId="125">
      <pivotArea dataOnly="0" labelOnly="1" fieldPosition="0">
        <references count="1">
          <reference field="1" count="0"/>
        </references>
      </pivotArea>
    </format>
    <format dxfId="124">
      <pivotArea dataOnly="0" labelOnly="1" grandRow="1" outline="0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dataOnly="0" labelOnly="1" fieldPosition="0">
        <references count="1">
          <reference field="1" count="0"/>
        </references>
      </pivotArea>
    </format>
    <format dxfId="119">
      <pivotArea dataOnly="0" labelOnly="1" grandRow="1" outline="0" fieldPosition="0"/>
    </format>
    <format dxfId="1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5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3">
              <x v="7"/>
              <x v="11"/>
              <x v="1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6" minRefreshableVersion="3" showDrill="0" useAutoFormatting="1" itemPrintTitles="1" createdVersion="6" indent="0" showHeaders="0" outline="1" outlineData="1" multipleFieldFilters="0">
  <location ref="A3:E31" firstHeaderRow="1" firstDataRow="2" firstDataCol="1"/>
  <pivotFields count="12">
    <pivotField showAll="0"/>
    <pivotField showAll="0"/>
    <pivotField showAll="0"/>
    <pivotField showAll="0"/>
    <pivotField axis="axisRow" showAll="0" sortType="descending">
      <items count="29">
        <item h="1" x="27"/>
        <item x="4"/>
        <item x="3"/>
        <item x="7"/>
        <item x="6"/>
        <item x="24"/>
        <item x="13"/>
        <item x="10"/>
        <item x="15"/>
        <item x="17"/>
        <item x="11"/>
        <item x="8"/>
        <item x="26"/>
        <item x="21"/>
        <item x="12"/>
        <item x="23"/>
        <item x="1"/>
        <item x="19"/>
        <item x="14"/>
        <item h="1" x="2"/>
        <item x="16"/>
        <item x="0"/>
        <item x="9"/>
        <item x="22"/>
        <item x="18"/>
        <item x="25"/>
        <item x="5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27">
    <i>
      <x v="23"/>
    </i>
    <i>
      <x v="24"/>
    </i>
    <i>
      <x v="11"/>
    </i>
    <i>
      <x v="20"/>
    </i>
    <i>
      <x v="21"/>
    </i>
    <i>
      <x v="1"/>
    </i>
    <i>
      <x v="17"/>
    </i>
    <i>
      <x v="2"/>
    </i>
    <i>
      <x v="26"/>
    </i>
    <i>
      <x v="5"/>
    </i>
    <i>
      <x v="6"/>
    </i>
    <i>
      <x v="25"/>
    </i>
    <i>
      <x v="3"/>
    </i>
    <i>
      <x v="7"/>
    </i>
    <i>
      <x v="15"/>
    </i>
    <i>
      <x v="8"/>
    </i>
    <i>
      <x v="27"/>
    </i>
    <i>
      <x v="4"/>
    </i>
    <i>
      <x v="16"/>
    </i>
    <i>
      <x v="10"/>
    </i>
    <i>
      <x v="18"/>
    </i>
    <i>
      <x v="13"/>
    </i>
    <i>
      <x v="22"/>
    </i>
    <i>
      <x v="12"/>
    </i>
    <i>
      <x v="14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Somme de Duree_Totale_Pannes" fld="11" baseField="0" baseItem="0"/>
  </dataFields>
  <formats count="31">
    <format dxfId="150">
      <pivotArea type="origin" dataOnly="0" labelOnly="1" outline="0" fieldPosition="0"/>
    </format>
    <format dxfId="149">
      <pivotArea type="topRight" dataOnly="0" labelOnly="1" outline="0" fieldPosition="0"/>
    </format>
    <format dxfId="148">
      <pivotArea dataOnly="0" labelOnly="1" fieldPosition="0">
        <references count="1">
          <reference field="7" count="0"/>
        </references>
      </pivotArea>
    </format>
    <format dxfId="147">
      <pivotArea dataOnly="0" labelOnly="1" grandCol="1" outline="0" fieldPosition="0"/>
    </format>
    <format dxfId="146">
      <pivotArea type="origin" dataOnly="0" labelOnly="1" outline="0" fieldPosition="0"/>
    </format>
    <format dxfId="145">
      <pivotArea type="topRight" dataOnly="0" labelOnly="1" outline="0" fieldPosition="0"/>
    </format>
    <format dxfId="144">
      <pivotArea dataOnly="0" labelOnly="1" fieldPosition="0">
        <references count="1">
          <reference field="7" count="0"/>
        </references>
      </pivotArea>
    </format>
    <format dxfId="143">
      <pivotArea dataOnly="0" labelOnly="1" grandCol="1" outline="0" fieldPosition="0"/>
    </format>
    <format dxfId="142">
      <pivotArea type="all" dataOnly="0" outline="0" fieldPosition="0"/>
    </format>
    <format dxfId="141">
      <pivotArea outline="0" collapsedLevelsAreSubtotals="1" fieldPosition="0"/>
    </format>
    <format dxfId="140">
      <pivotArea type="origin" dataOnly="0" labelOnly="1" outline="0" fieldPosition="0"/>
    </format>
    <format dxfId="139">
      <pivotArea type="topRight" dataOnly="0" labelOnly="1" outline="0" fieldPosition="0"/>
    </format>
    <format dxfId="138">
      <pivotArea dataOnly="0" labelOnly="1" fieldPosition="0">
        <references count="1">
          <reference field="4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7" count="0"/>
        </references>
      </pivotArea>
    </format>
    <format dxfId="135">
      <pivotArea dataOnly="0" labelOnly="1" grandCol="1" outline="0" fieldPosition="0"/>
    </format>
    <format dxfId="134">
      <pivotArea type="origin" dataOnly="0" labelOnly="1" outline="0" fieldPosition="0"/>
    </format>
    <format dxfId="133">
      <pivotArea type="topRight" dataOnly="0" labelOnly="1" outline="0" fieldPosition="0"/>
    </format>
    <format dxfId="132">
      <pivotArea dataOnly="0" labelOnly="1" fieldPosition="0">
        <references count="1">
          <reference field="7" count="0"/>
        </references>
      </pivotArea>
    </format>
    <format dxfId="131">
      <pivotArea dataOnly="0" labelOnly="1" grandCol="1" outline="0" fieldPosition="0"/>
    </format>
    <format dxfId="62">
      <pivotArea type="origin" dataOnly="0" labelOnly="1" outline="0" fieldPosition="0"/>
    </format>
    <format dxfId="61">
      <pivotArea type="topRight" dataOnly="0" labelOnly="1" outline="0" fieldPosition="0"/>
    </format>
    <format dxfId="60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type="topRight" dataOnly="0" labelOnly="1" outline="0" fieldPosition="0"/>
    </format>
    <format dxfId="56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55">
      <pivotArea dataOnly="0" labelOnly="1" grandCol="1" outline="0" fieldPosition="0"/>
    </format>
    <format dxfId="54">
      <pivotArea type="topRight" dataOnly="0" labelOnly="1" outline="0" fieldPosition="0"/>
    </format>
    <format dxfId="53">
      <pivotArea dataOnly="0" labelOnly="1" fieldPosition="0">
        <references count="1">
          <reference field="7" count="3">
            <x v="0"/>
            <x v="1"/>
            <x v="2"/>
          </reference>
        </references>
      </pivotArea>
    </format>
    <format dxfId="52">
      <pivotArea dataOnly="0" labelOnly="1" grandCol="1" outline="0" fieldPosition="0"/>
    </format>
  </formats>
  <conditionalFormats count="1">
    <conditionalFormat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3">
              <x v="11"/>
              <x v="23"/>
              <x v="2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eau croisé dynamique5" cacheId="0" applyNumberFormats="0" applyBorderFormats="0" applyFontFormats="0" applyPatternFormats="0" applyAlignmentFormats="0" applyWidthHeightFormats="1" dataCaption="Valeurs" updatedVersion="6" minRefreshableVersion="3" useAutoFormatting="1" itemPrintTitles="1" createdVersion="6" indent="0" showHeaders="0" outline="1" outlineData="1" multipleFieldFilters="0">
  <location ref="L3:M31" firstHeaderRow="1" firstDataRow="1" firstDataCol="1"/>
  <pivotFields count="12">
    <pivotField showAll="0"/>
    <pivotField showAll="0"/>
    <pivotField showAll="0"/>
    <pivotField showAll="0"/>
    <pivotField axis="axisRow" showAll="0" sortType="descending">
      <items count="29">
        <item h="1" x="27"/>
        <item x="4"/>
        <item x="3"/>
        <item x="7"/>
        <item x="6"/>
        <item x="24"/>
        <item x="13"/>
        <item x="10"/>
        <item x="15"/>
        <item x="17"/>
        <item x="11"/>
        <item x="8"/>
        <item x="26"/>
        <item x="21"/>
        <item x="12"/>
        <item x="23"/>
        <item x="1"/>
        <item x="19"/>
        <item x="14"/>
        <item x="2"/>
        <item x="16"/>
        <item x="0"/>
        <item x="9"/>
        <item x="22"/>
        <item x="18"/>
        <item x="25"/>
        <item x="5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28">
    <i>
      <x v="24"/>
    </i>
    <i>
      <x v="21"/>
    </i>
    <i>
      <x v="16"/>
    </i>
    <i>
      <x v="2"/>
    </i>
    <i>
      <x v="23"/>
    </i>
    <i>
      <x v="19"/>
    </i>
    <i>
      <x v="6"/>
    </i>
    <i>
      <x v="17"/>
    </i>
    <i>
      <x v="1"/>
    </i>
    <i>
      <x v="11"/>
    </i>
    <i>
      <x v="5"/>
    </i>
    <i>
      <x v="8"/>
    </i>
    <i>
      <x v="7"/>
    </i>
    <i>
      <x v="27"/>
    </i>
    <i>
      <x v="20"/>
    </i>
    <i>
      <x v="26"/>
    </i>
    <i>
      <x v="4"/>
    </i>
    <i>
      <x v="25"/>
    </i>
    <i>
      <x v="18"/>
    </i>
    <i>
      <x v="10"/>
    </i>
    <i>
      <x v="22"/>
    </i>
    <i>
      <x v="15"/>
    </i>
    <i>
      <x v="12"/>
    </i>
    <i>
      <x v="3"/>
    </i>
    <i>
      <x v="13"/>
    </i>
    <i>
      <x v="9"/>
    </i>
    <i>
      <x v="14"/>
    </i>
    <i t="grand">
      <x/>
    </i>
  </rowItems>
  <colItems count="1">
    <i/>
  </colItems>
  <dataFields count="1">
    <dataField name="Moyenne de Nb_Pannes" fld="10" subtotal="average" baseField="4" baseItem="0"/>
  </dataFields>
  <formats count="26">
    <format dxfId="176">
      <pivotArea dataOnly="0" labelOnly="1" outline="0" axis="axisValues" fieldPosition="0"/>
    </format>
    <format dxfId="175">
      <pivotArea dataOnly="0" labelOnly="1" outline="0" axis="axisValues" fieldPosition="0"/>
    </format>
    <format dxfId="174">
      <pivotArea dataOnly="0" labelOnly="1" outline="0" axis="axisValues" fieldPosition="0"/>
    </format>
    <format dxfId="173">
      <pivotArea dataOnly="0" labelOnly="1" outline="0" axis="axisValues" fieldPosition="0"/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dataOnly="0" labelOnly="1" outline="0" axis="axisValues" fieldPosition="0"/>
    </format>
    <format dxfId="169">
      <pivotArea dataOnly="0" labelOnly="1" fieldPosition="0">
        <references count="1">
          <reference field="4" count="0"/>
        </references>
      </pivotArea>
    </format>
    <format dxfId="168">
      <pivotArea dataOnly="0" labelOnly="1" grandRow="1" outline="0" fieldPosition="0"/>
    </format>
    <format dxfId="167">
      <pivotArea dataOnly="0" labelOnly="1" outline="0" axis="axisValues" fieldPosition="0"/>
    </format>
    <format dxfId="166">
      <pivotArea type="all" dataOnly="0" outline="0" fieldPosition="0"/>
    </format>
    <format dxfId="165">
      <pivotArea outline="0" collapsedLevelsAreSubtotals="1" fieldPosition="0"/>
    </format>
    <format dxfId="164">
      <pivotArea dataOnly="0" labelOnly="1" outline="0" axis="axisValues" fieldPosition="0"/>
    </format>
    <format dxfId="163">
      <pivotArea dataOnly="0" labelOnly="1" fieldPosition="0">
        <references count="1">
          <reference field="4" count="0"/>
        </references>
      </pivotArea>
    </format>
    <format dxfId="162">
      <pivotArea dataOnly="0" labelOnly="1" grandRow="1" outline="0" fieldPosition="0"/>
    </format>
    <format dxfId="161">
      <pivotArea dataOnly="0" labelOnly="1" outline="0" axis="axisValues" fieldPosition="0"/>
    </format>
    <format dxfId="160">
      <pivotArea dataOnly="0" labelOnly="1" outline="0" axis="axisValues" fieldPosition="0"/>
    </format>
    <format dxfId="159">
      <pivotArea dataOnly="0" labelOnly="1" outline="0" axis="axisValues" fieldPosition="0"/>
    </format>
    <format dxfId="158">
      <pivotArea dataOnly="0" labelOnly="1" outline="0" axis="axisValues" fieldPosition="0"/>
    </format>
    <format dxfId="157">
      <pivotArea dataOnly="0" labelOnly="1" outline="0" axis="axisValues" fieldPosition="0"/>
    </format>
    <format dxfId="156">
      <pivotArea dataOnly="0" labelOnly="1" outline="0" axis="axisValues" fieldPosition="0"/>
    </format>
    <format dxfId="155">
      <pivotArea dataOnly="0" labelOnly="1" outline="0" axis="axisValues" fieldPosition="0"/>
    </format>
    <format dxfId="154">
      <pivotArea dataOnly="0" labelOnly="1" outline="0" axis="axisValues" fieldPosition="0"/>
    </format>
    <format dxfId="153">
      <pivotArea dataOnly="0" labelOnly="1" outline="0" axis="axisValues" fieldPosition="0"/>
    </format>
    <format dxfId="152">
      <pivotArea dataOnly="0" labelOnly="1" outline="0" axis="axisValues" fieldPosition="0"/>
    </format>
    <format dxfId="151">
      <pivotArea dataOnly="0" labelOnly="1" outline="0" axis="axisValues" fieldPosition="0"/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4" count="3">
              <x v="16"/>
              <x v="21"/>
              <x v="2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15" unboundColumnsLeft="1" unboundColumnsRight="4">
    <queryTableFields count="12">
      <queryTableField id="13" dataBound="0" tableColumnId="2"/>
      <queryTableField id="2" name="ID_Client" tableColumnId="18"/>
      <queryTableField id="3" name="Province_Client" tableColumnId="19"/>
      <queryTableField id="4" name="Anciennete_Mois" tableColumnId="20"/>
      <queryTableField id="5" name="Type_Forfait" tableColumnId="21"/>
      <queryTableField id="6" name="Duree_Cumulee_Panne_Min" tableColumnId="22"/>
      <queryTableField id="7" name="Facture_Mensuelle" tableColumnId="23"/>
      <queryTableField id="8" name="Plaintes_Service_Client" tableColumnId="24"/>
      <queryTableField id="9" dataBound="0" tableColumnId="25"/>
      <queryTableField id="10" dataBound="0" tableColumnId="26"/>
      <queryTableField id="11" dataBound="0" tableColumnId="27"/>
      <queryTableField id="12" dataBound="0" tableColumnId="1"/>
    </queryTableFields>
    <queryTableDeletedFields count="1">
      <deletedField name="Source.Name"/>
    </queryTableDeletedFields>
  </queryTableRefresh>
</queryTable>
</file>

<file path=xl/queryTables/queryTable2.xml><?xml version="1.0" encoding="utf-8"?>
<queryTable xmlns="http://schemas.openxmlformats.org/spreadsheetml/2006/main" name="DonnéesExternes_1" connectionId="5" autoFormatId="0" applyNumberFormats="0" applyBorderFormats="0" applyFontFormats="1" applyPatternFormats="1" applyAlignmentFormats="0" applyWidthHeightFormats="0">
  <queryTableRefresh preserveSortFilterLayout="0" nextId="16" unboundColumnsRight="8">
    <queryTableFields count="12">
      <queryTableField id="3" name="Cell_ID" tableColumnId="13"/>
      <queryTableField id="2" name="Date_Heure_Panne" tableColumnId="12"/>
      <queryTableField id="4" name="Duree_Panne_Min" tableColumnId="14"/>
      <queryTableField id="5" name="Statut_Resolution" tableColumnId="15"/>
      <queryTableField id="7" dataBound="0" tableColumnId="16"/>
      <queryTableField id="8" dataBound="0" tableColumnId="17"/>
      <queryTableField id="9" dataBound="0" tableColumnId="18"/>
      <queryTableField id="10" dataBound="0" tableColumnId="19"/>
      <queryTableField id="11" dataBound="0" tableColumnId="20"/>
      <queryTableField id="12" dataBound="0" tableColumnId="21"/>
      <queryTableField id="13" dataBound="0" tableColumnId="22"/>
      <queryTableField id="15" dataBound="0" tableColumnId="24"/>
    </queryTableFields>
    <queryTableDeletedFields count="1">
      <deletedField name="Source.Name"/>
    </queryTableDeletedFields>
  </queryTableRefresh>
</queryTable>
</file>

<file path=xl/queryTables/queryTable3.xml><?xml version="1.0" encoding="utf-8"?>
<queryTable xmlns="http://schemas.openxmlformats.org/spreadsheetml/2006/main" name="DonnéesExternes_1" connectionId="9" autoFormatId="0" applyNumberFormats="0" applyBorderFormats="0" applyFontFormats="1" applyPatternFormats="1" applyAlignmentFormats="0" applyWidthHeightFormats="0">
  <queryTableRefresh preserveSortFilterLayout="0" nextId="8">
    <queryTableFields count="6">
      <queryTableField id="2" name="ID_Antenne" tableColumnId="16"/>
      <queryTableField id="3" name="Province_RDC" tableColumnId="17"/>
      <queryTableField id="4" name="Latitude" tableColumnId="18"/>
      <queryTableField id="5" name="Longitude" tableColumnId="19"/>
      <queryTableField id="6" name="Technologie" tableColumnId="20"/>
      <queryTableField id="7" name="Equipementier" tableColumnId="21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CLIENTS_CHURN" displayName="CLIENTS_CHURN" ref="A1:L751" tableType="queryTable" totalsRowShown="0">
  <autoFilter ref="A1:L751"/>
  <sortState ref="B2:K751">
    <sortCondition ref="B1:B751"/>
  </sortState>
  <tableColumns count="12">
    <tableColumn id="2" uniqueName="2" name="Nb_Client" queryTableFieldId="13" dataDxfId="183"/>
    <tableColumn id="18" uniqueName="18" name="ID_Client" queryTableFieldId="2"/>
    <tableColumn id="19" uniqueName="19" name="Province_Client" queryTableFieldId="3"/>
    <tableColumn id="20" uniqueName="20" name="Anciennete_Mois" queryTableFieldId="4"/>
    <tableColumn id="21" uniqueName="21" name="Type_Forfait" queryTableFieldId="5"/>
    <tableColumn id="22" uniqueName="22" name="Duree_Cumulee_Panne_Min" queryTableFieldId="6"/>
    <tableColumn id="23" uniqueName="23" name="Facture_Mensuelle" queryTableFieldId="7" dataDxfId="182"/>
    <tableColumn id="24" uniqueName="24" name="Plaintes_Service_Client" queryTableFieldId="8"/>
    <tableColumn id="25" uniqueName="25" name="Remise (%)" queryTableFieldId="9" dataDxfId="181">
      <calculatedColumnFormula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calculatedColumnFormula>
    </tableColumn>
    <tableColumn id="26" uniqueName="26" name="Perte_Financiere" queryTableFieldId="10" dataDxfId="180">
      <calculatedColumnFormula>CLIENTS_CHURN[[#This Row],[Facture_Mensuelle]]*CLIENTS_CHURN[[#This Row],[Remise (%)]]</calculatedColumnFormula>
    </tableColumn>
    <tableColumn id="27" uniqueName="27" name="Client_Impacte" queryTableFieldId="11" dataDxfId="179">
      <calculatedColumnFormula>IF(CLIENTS_CHURN[[#This Row],[Duree_Cumulee_Panne_Min]]&gt;0,1,0)</calculatedColumnFormula>
    </tableColumn>
    <tableColumn id="1" uniqueName="1" name="Type_client" queryTableFieldId="12" dataDxfId="178">
      <calculatedColumnFormula>IF(CLIENTS_CHURN[[#This Row],[Type_Forfait]]="Pro Monde","B2B","B2C")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Tableau4" displayName="Tableau4" ref="A1:J27" totalsRowShown="0">
  <autoFilter ref="A1:J27"/>
  <tableColumns count="10">
    <tableColumn id="1" name="ID_Client"/>
    <tableColumn id="2" name="Province_Client"/>
    <tableColumn id="3" name="Anciennete_Mois"/>
    <tableColumn id="4" name="Type_Forfait"/>
    <tableColumn id="5" name="Duree_Cumulee_Panne_Min"/>
    <tableColumn id="6" name="Facture_Mensuelle"/>
    <tableColumn id="7" name="Plaintes_Service_Client"/>
    <tableColumn id="8" name="Remise (%)"/>
    <tableColumn id="9" name="Perte_Financiere"/>
    <tableColumn id="10" name="Client_Impac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au6" displayName="Tableau6" ref="A1:L40" totalsRowShown="0">
  <autoFilter ref="A1:L40"/>
  <tableColumns count="12">
    <tableColumn id="1" name="Cell_ID"/>
    <tableColumn id="2" name="Date_Heure_Panne" dataDxfId="177"/>
    <tableColumn id="3" name="Duree_Panne_Min"/>
    <tableColumn id="4" name="Statut_Resolution"/>
    <tableColumn id="5" name="Province_RDC"/>
    <tableColumn id="6" name="Latitude"/>
    <tableColumn id="7" name="Longitude"/>
    <tableColumn id="8" name="Technologie"/>
    <tableColumn id="9" name="Equipementier"/>
    <tableColumn id="10" name="Statut_Data"/>
    <tableColumn id="11" name="Nb_Pannes"/>
    <tableColumn id="12" name="Duree_Totale_Pan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2" name="LOG_RESEAU" displayName="LOG_RESEAU" ref="A1:L1930" tableType="queryTable" totalsRowShown="0" headerRowDxfId="116" dataDxfId="115">
  <autoFilter ref="A1:L1930">
    <filterColumn colId="0">
      <customFilters>
        <customFilter operator="notEqual" val=" "/>
      </customFilters>
    </filterColumn>
  </autoFilter>
  <sortState ref="A2:L1930">
    <sortCondition ref="A1:A1930"/>
  </sortState>
  <tableColumns count="12">
    <tableColumn id="13" uniqueName="13" name="Cell_ID" queryTableFieldId="3" dataDxfId="114"/>
    <tableColumn id="12" uniqueName="12" name="Date_Heure_Panne" queryTableFieldId="2" dataDxfId="113"/>
    <tableColumn id="14" uniqueName="14" name="Duree_Panne_Min" queryTableFieldId="4" dataDxfId="112"/>
    <tableColumn id="15" uniqueName="15" name="Statut_Resolution" queryTableFieldId="5" dataDxfId="111"/>
    <tableColumn id="16" uniqueName="16" name="Province_RDC" queryTableFieldId="7" dataDxfId="110">
      <calculatedColumnFormula>IFERROR(VLOOKUP(LOG_RESEAU[[#This Row],[Cell_ID]],Registre_Maintenance!A:B,2,FALSE),"Non trouvé")</calculatedColumnFormula>
    </tableColumn>
    <tableColumn id="17" uniqueName="17" name="Latitude" queryTableFieldId="8" dataDxfId="109">
      <calculatedColumnFormula>IFERROR(VLOOKUP(LOG_RESEAU[[#This Row],[Cell_ID]],Registre_Maintenance!A:C,3,FALSE),"Non trouvé")</calculatedColumnFormula>
    </tableColumn>
    <tableColumn id="18" uniqueName="18" name="Longitude" queryTableFieldId="9" dataDxfId="108">
      <calculatedColumnFormula>IFERROR(VLOOKUP(LOG_RESEAU[[#This Row],[Cell_ID]],Registre_Maintenance!A:D,4,FALSE),"Non trouvé")</calculatedColumnFormula>
    </tableColumn>
    <tableColumn id="19" uniqueName="19" name="Technologie" queryTableFieldId="10" dataDxfId="107">
      <calculatedColumnFormula>IFERROR(VLOOKUP(LOG_RESEAU[[#This Row],[Cell_ID]],Registre_Maintenance!A:E,5,FALSE),"Non trouvé")</calculatedColumnFormula>
    </tableColumn>
    <tableColumn id="20" uniqueName="20" name="Equipementier" queryTableFieldId="11" dataDxfId="106">
      <calculatedColumnFormula>IFERROR(VLOOKUP(LOG_RESEAU[[#This Row],[Cell_ID]],Registre_Maintenance!A:F,6,FALSE),"Non trouvé")</calculatedColumnFormula>
    </tableColumn>
    <tableColumn id="21" uniqueName="21" name="Statut_Data" queryTableFieldId="12" dataDxfId="105">
      <calculatedColumnFormula>IF(ISERROR(SEARCH("Non trouvé",F2)),"OK","Antenne inconnue")</calculatedColumnFormula>
    </tableColumn>
    <tableColumn id="22" uniqueName="22" name="Nb_Pannes" queryTableFieldId="13" dataDxfId="104">
      <calculatedColumnFormula>COUNTIF(A:A,A2)</calculatedColumnFormula>
    </tableColumn>
    <tableColumn id="24" uniqueName="24" name="Duree_Totale_Pannes" queryTableFieldId="15" dataDxfId="103">
      <calculatedColumnFormula>SUMIF(A:A,A2,C:C)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3" name="REGISTRE_MAINTENANCE" displayName="REGISTRE_MAINTENANCE" ref="A1:F501" tableType="queryTable" totalsRowShown="0">
  <autoFilter ref="A1:F501"/>
  <tableColumns count="6">
    <tableColumn id="16" uniqueName="16" name="ID_Antenne" queryTableFieldId="2"/>
    <tableColumn id="17" uniqueName="17" name="Province_RDC" queryTableFieldId="3"/>
    <tableColumn id="18" uniqueName="18" name="Latitude" queryTableFieldId="4"/>
    <tableColumn id="19" uniqueName="19" name="Longitude" queryTableFieldId="5"/>
    <tableColumn id="20" uniqueName="20" name="Technologie" queryTableFieldId="6"/>
    <tableColumn id="21" uniqueName="21" name="Equipementier" queryTableField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1"/>
  <sheetViews>
    <sheetView workbookViewId="0">
      <selection activeCell="A2" sqref="A2"/>
    </sheetView>
  </sheetViews>
  <sheetFormatPr baseColWidth="10" defaultRowHeight="15" x14ac:dyDescent="0.25"/>
  <cols>
    <col min="1" max="1" width="17.28515625" bestFit="1" customWidth="1"/>
    <col min="4" max="4" width="19.140625" bestFit="1" customWidth="1"/>
    <col min="5" max="5" width="17.85546875" bestFit="1" customWidth="1"/>
    <col min="6" max="6" width="29.28515625" bestFit="1" customWidth="1"/>
    <col min="7" max="7" width="20.5703125" style="9" bestFit="1" customWidth="1"/>
    <col min="8" max="8" width="24.42578125" bestFit="1" customWidth="1"/>
    <col min="9" max="9" width="13.28515625" bestFit="1" customWidth="1"/>
    <col min="10" max="10" width="18.5703125" style="9" bestFit="1" customWidth="1"/>
    <col min="11" max="11" width="16.7109375" bestFit="1" customWidth="1"/>
    <col min="12" max="12" width="13.5703125" bestFit="1" customWidth="1"/>
  </cols>
  <sheetData>
    <row r="1" spans="1:12" x14ac:dyDescent="0.25">
      <c r="A1" s="1" t="s">
        <v>1725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9" t="s">
        <v>5</v>
      </c>
      <c r="H1" s="1" t="s">
        <v>6</v>
      </c>
      <c r="I1" s="1" t="s">
        <v>1711</v>
      </c>
      <c r="J1" s="9" t="s">
        <v>1712</v>
      </c>
      <c r="K1" t="s">
        <v>1713</v>
      </c>
      <c r="L1" t="s">
        <v>1720</v>
      </c>
    </row>
    <row r="2" spans="1:12" x14ac:dyDescent="0.25">
      <c r="A2" s="1">
        <v>1</v>
      </c>
      <c r="B2" s="1" t="s">
        <v>252</v>
      </c>
      <c r="C2" s="1" t="s">
        <v>35</v>
      </c>
      <c r="D2" s="1">
        <v>110</v>
      </c>
      <c r="E2" s="1" t="s">
        <v>17</v>
      </c>
      <c r="F2" s="1">
        <v>112</v>
      </c>
      <c r="G2" s="9">
        <v>98.95</v>
      </c>
      <c r="H2" s="1">
        <v>5</v>
      </c>
      <c r="I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" s="9">
        <f>CLIENTS_CHURN[[#This Row],[Facture_Mensuelle]]*CLIENTS_CHURN[[#This Row],[Remise (%)]]</f>
        <v>0</v>
      </c>
      <c r="K2">
        <f>IF(CLIENTS_CHURN[[#This Row],[Duree_Cumulee_Panne_Min]]&gt;0,1,0)</f>
        <v>1</v>
      </c>
      <c r="L2" t="str">
        <f>IF(CLIENTS_CHURN[[#This Row],[Type_Forfait]]="Pro Monde","B2B","B2C")</f>
        <v>B2C</v>
      </c>
    </row>
    <row r="3" spans="1:12" x14ac:dyDescent="0.25">
      <c r="A3" s="1">
        <f>A2+1</f>
        <v>2</v>
      </c>
      <c r="B3" s="1" t="s">
        <v>498</v>
      </c>
      <c r="C3" s="1" t="s">
        <v>49</v>
      </c>
      <c r="D3" s="1">
        <v>105</v>
      </c>
      <c r="E3" s="1" t="s">
        <v>12</v>
      </c>
      <c r="F3" s="1">
        <v>297</v>
      </c>
      <c r="G3" s="9">
        <v>84.66</v>
      </c>
      <c r="H3" s="1">
        <v>2</v>
      </c>
      <c r="I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" s="9">
        <f>CLIENTS_CHURN[[#This Row],[Facture_Mensuelle]]*CLIENTS_CHURN[[#This Row],[Remise (%)]]</f>
        <v>38.097000000000001</v>
      </c>
      <c r="K3">
        <f>IF(CLIENTS_CHURN[[#This Row],[Duree_Cumulee_Panne_Min]]&gt;0,1,0)</f>
        <v>1</v>
      </c>
      <c r="L3" t="str">
        <f>IF(CLIENTS_CHURN[[#This Row],[Type_Forfait]]="Pro Monde","B2B","B2C")</f>
        <v>B2B</v>
      </c>
    </row>
    <row r="4" spans="1:12" x14ac:dyDescent="0.25">
      <c r="A4" s="1">
        <f t="shared" ref="A4:A67" si="0">A3+1</f>
        <v>3</v>
      </c>
      <c r="B4" s="1" t="s">
        <v>402</v>
      </c>
      <c r="C4" s="1" t="s">
        <v>14</v>
      </c>
      <c r="D4" s="1">
        <v>49</v>
      </c>
      <c r="E4" s="1" t="s">
        <v>20</v>
      </c>
      <c r="F4" s="1">
        <v>86</v>
      </c>
      <c r="G4" s="9">
        <v>65.400000000000006</v>
      </c>
      <c r="H4" s="1">
        <v>2</v>
      </c>
      <c r="I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" s="9">
        <f>CLIENTS_CHURN[[#This Row],[Facture_Mensuelle]]*CLIENTS_CHURN[[#This Row],[Remise (%)]]</f>
        <v>0</v>
      </c>
      <c r="K4">
        <f>IF(CLIENTS_CHURN[[#This Row],[Duree_Cumulee_Panne_Min]]&gt;0,1,0)</f>
        <v>1</v>
      </c>
      <c r="L4" t="str">
        <f>IF(CLIENTS_CHURN[[#This Row],[Type_Forfait]]="Pro Monde","B2B","B2C")</f>
        <v>B2C</v>
      </c>
    </row>
    <row r="5" spans="1:12" x14ac:dyDescent="0.25">
      <c r="A5" s="1">
        <f t="shared" si="0"/>
        <v>4</v>
      </c>
      <c r="B5" s="1" t="s">
        <v>531</v>
      </c>
      <c r="C5" s="1" t="s">
        <v>60</v>
      </c>
      <c r="D5" s="1">
        <v>105</v>
      </c>
      <c r="E5" s="1" t="s">
        <v>20</v>
      </c>
      <c r="F5" s="1">
        <v>172</v>
      </c>
      <c r="G5" s="9">
        <v>15.88</v>
      </c>
      <c r="H5" s="1">
        <v>5</v>
      </c>
      <c r="I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" s="9">
        <f>CLIENTS_CHURN[[#This Row],[Facture_Mensuelle]]*CLIENTS_CHURN[[#This Row],[Remise (%)]]</f>
        <v>0</v>
      </c>
      <c r="K5">
        <f>IF(CLIENTS_CHURN[[#This Row],[Duree_Cumulee_Panne_Min]]&gt;0,1,0)</f>
        <v>1</v>
      </c>
      <c r="L5" t="str">
        <f>IF(CLIENTS_CHURN[[#This Row],[Type_Forfait]]="Pro Monde","B2B","B2C")</f>
        <v>B2C</v>
      </c>
    </row>
    <row r="6" spans="1:12" x14ac:dyDescent="0.25">
      <c r="A6" s="1">
        <f t="shared" si="0"/>
        <v>5</v>
      </c>
      <c r="B6" s="1" t="s">
        <v>186</v>
      </c>
      <c r="C6" s="1" t="s">
        <v>35</v>
      </c>
      <c r="D6" s="1">
        <v>29</v>
      </c>
      <c r="E6" s="1" t="s">
        <v>20</v>
      </c>
      <c r="F6" s="1">
        <v>124</v>
      </c>
      <c r="G6" s="9">
        <v>43.83</v>
      </c>
      <c r="H6" s="1">
        <v>5</v>
      </c>
      <c r="I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" s="9">
        <f>CLIENTS_CHURN[[#This Row],[Facture_Mensuelle]]*CLIENTS_CHURN[[#This Row],[Remise (%)]]</f>
        <v>0</v>
      </c>
      <c r="K6">
        <f>IF(CLIENTS_CHURN[[#This Row],[Duree_Cumulee_Panne_Min]]&gt;0,1,0)</f>
        <v>1</v>
      </c>
      <c r="L6" t="str">
        <f>IF(CLIENTS_CHURN[[#This Row],[Type_Forfait]]="Pro Monde","B2B","B2C")</f>
        <v>B2C</v>
      </c>
    </row>
    <row r="7" spans="1:12" x14ac:dyDescent="0.25">
      <c r="A7" s="1">
        <f t="shared" si="0"/>
        <v>6</v>
      </c>
      <c r="B7" s="1" t="s">
        <v>372</v>
      </c>
      <c r="C7" s="1" t="s">
        <v>16</v>
      </c>
      <c r="D7" s="1">
        <v>77</v>
      </c>
      <c r="E7" s="1" t="s">
        <v>9</v>
      </c>
      <c r="F7" s="1">
        <v>488</v>
      </c>
      <c r="G7" s="9">
        <v>21.17</v>
      </c>
      <c r="H7" s="1">
        <v>0</v>
      </c>
      <c r="I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" s="9">
        <f>CLIENTS_CHURN[[#This Row],[Facture_Mensuelle]]*CLIENTS_CHURN[[#This Row],[Remise (%)]]</f>
        <v>9.5265000000000004</v>
      </c>
      <c r="K7">
        <f>IF(CLIENTS_CHURN[[#This Row],[Duree_Cumulee_Panne_Min]]&gt;0,1,0)</f>
        <v>1</v>
      </c>
      <c r="L7" t="str">
        <f>IF(CLIENTS_CHURN[[#This Row],[Type_Forfait]]="Pro Monde","B2B","B2C")</f>
        <v>B2C</v>
      </c>
    </row>
    <row r="8" spans="1:12" x14ac:dyDescent="0.25">
      <c r="A8" s="1">
        <f t="shared" si="0"/>
        <v>7</v>
      </c>
      <c r="B8" s="1" t="s">
        <v>679</v>
      </c>
      <c r="C8" s="1" t="s">
        <v>49</v>
      </c>
      <c r="D8" s="1">
        <v>18</v>
      </c>
      <c r="E8" s="1" t="s">
        <v>12</v>
      </c>
      <c r="F8" s="1">
        <v>216</v>
      </c>
      <c r="G8" s="9">
        <v>33.74</v>
      </c>
      <c r="H8" s="1">
        <v>5</v>
      </c>
      <c r="I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8" s="9">
        <f>CLIENTS_CHURN[[#This Row],[Facture_Mensuelle]]*CLIENTS_CHURN[[#This Row],[Remise (%)]]</f>
        <v>3.3740000000000006</v>
      </c>
      <c r="K8">
        <f>IF(CLIENTS_CHURN[[#This Row],[Duree_Cumulee_Panne_Min]]&gt;0,1,0)</f>
        <v>1</v>
      </c>
      <c r="L8" t="str">
        <f>IF(CLIENTS_CHURN[[#This Row],[Type_Forfait]]="Pro Monde","B2B","B2C")</f>
        <v>B2B</v>
      </c>
    </row>
    <row r="9" spans="1:12" x14ac:dyDescent="0.25">
      <c r="A9" s="1">
        <f t="shared" si="0"/>
        <v>8</v>
      </c>
      <c r="B9" s="1" t="s">
        <v>323</v>
      </c>
      <c r="C9" s="1" t="s">
        <v>24</v>
      </c>
      <c r="D9" s="1">
        <v>119</v>
      </c>
      <c r="E9" s="1" t="s">
        <v>12</v>
      </c>
      <c r="F9" s="1">
        <v>344</v>
      </c>
      <c r="G9" s="9">
        <v>10.28</v>
      </c>
      <c r="H9" s="1">
        <v>0</v>
      </c>
      <c r="I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9" s="9">
        <f>CLIENTS_CHURN[[#This Row],[Facture_Mensuelle]]*CLIENTS_CHURN[[#This Row],[Remise (%)]]</f>
        <v>4.6259999999999994</v>
      </c>
      <c r="K9">
        <f>IF(CLIENTS_CHURN[[#This Row],[Duree_Cumulee_Panne_Min]]&gt;0,1,0)</f>
        <v>1</v>
      </c>
      <c r="L9" t="str">
        <f>IF(CLIENTS_CHURN[[#This Row],[Type_Forfait]]="Pro Monde","B2B","B2C")</f>
        <v>B2B</v>
      </c>
    </row>
    <row r="10" spans="1:12" x14ac:dyDescent="0.25">
      <c r="A10" s="1">
        <f t="shared" si="0"/>
        <v>9</v>
      </c>
      <c r="B10" s="1" t="s">
        <v>700</v>
      </c>
      <c r="C10" s="1" t="s">
        <v>11</v>
      </c>
      <c r="D10" s="1">
        <v>2</v>
      </c>
      <c r="E10" s="1" t="s">
        <v>9</v>
      </c>
      <c r="F10" s="1">
        <v>201</v>
      </c>
      <c r="G10" s="9">
        <v>71.900000000000006</v>
      </c>
      <c r="H10" s="1">
        <v>2</v>
      </c>
      <c r="I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0" s="9">
        <f>CLIENTS_CHURN[[#This Row],[Facture_Mensuelle]]*CLIENTS_CHURN[[#This Row],[Remise (%)]]</f>
        <v>0</v>
      </c>
      <c r="K10">
        <f>IF(CLIENTS_CHURN[[#This Row],[Duree_Cumulee_Panne_Min]]&gt;0,1,0)</f>
        <v>1</v>
      </c>
      <c r="L10" t="str">
        <f>IF(CLIENTS_CHURN[[#This Row],[Type_Forfait]]="Pro Monde","B2B","B2C")</f>
        <v>B2C</v>
      </c>
    </row>
    <row r="11" spans="1:12" x14ac:dyDescent="0.25">
      <c r="A11" s="1">
        <f t="shared" si="0"/>
        <v>10</v>
      </c>
      <c r="B11" s="1" t="s">
        <v>647</v>
      </c>
      <c r="C11" s="1" t="s">
        <v>60</v>
      </c>
      <c r="D11" s="1">
        <v>25</v>
      </c>
      <c r="E11" s="1" t="s">
        <v>17</v>
      </c>
      <c r="F11" s="1">
        <v>95</v>
      </c>
      <c r="G11" s="9">
        <v>15.93</v>
      </c>
      <c r="H11" s="1">
        <v>4</v>
      </c>
      <c r="I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" s="9">
        <f>CLIENTS_CHURN[[#This Row],[Facture_Mensuelle]]*CLIENTS_CHURN[[#This Row],[Remise (%)]]</f>
        <v>0</v>
      </c>
      <c r="K11">
        <f>IF(CLIENTS_CHURN[[#This Row],[Duree_Cumulee_Panne_Min]]&gt;0,1,0)</f>
        <v>1</v>
      </c>
      <c r="L11" t="str">
        <f>IF(CLIENTS_CHURN[[#This Row],[Type_Forfait]]="Pro Monde","B2B","B2C")</f>
        <v>B2C</v>
      </c>
    </row>
    <row r="12" spans="1:12" x14ac:dyDescent="0.25">
      <c r="A12" s="1">
        <f t="shared" si="0"/>
        <v>11</v>
      </c>
      <c r="B12" s="1" t="s">
        <v>675</v>
      </c>
      <c r="C12" s="1" t="s">
        <v>35</v>
      </c>
      <c r="D12" s="1">
        <v>35</v>
      </c>
      <c r="E12" s="1" t="s">
        <v>9</v>
      </c>
      <c r="F12" s="1">
        <v>332</v>
      </c>
      <c r="G12" s="9">
        <v>11.15</v>
      </c>
      <c r="H12" s="1">
        <v>0</v>
      </c>
      <c r="I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2" s="9">
        <f>CLIENTS_CHURN[[#This Row],[Facture_Mensuelle]]*CLIENTS_CHURN[[#This Row],[Remise (%)]]</f>
        <v>5.0175000000000001</v>
      </c>
      <c r="K12">
        <f>IF(CLIENTS_CHURN[[#This Row],[Duree_Cumulee_Panne_Min]]&gt;0,1,0)</f>
        <v>1</v>
      </c>
      <c r="L12" t="str">
        <f>IF(CLIENTS_CHURN[[#This Row],[Type_Forfait]]="Pro Monde","B2B","B2C")</f>
        <v>B2C</v>
      </c>
    </row>
    <row r="13" spans="1:12" x14ac:dyDescent="0.25">
      <c r="A13" s="1">
        <f t="shared" si="0"/>
        <v>12</v>
      </c>
      <c r="B13" s="1" t="s">
        <v>756</v>
      </c>
      <c r="C13" s="1" t="s">
        <v>76</v>
      </c>
      <c r="D13" s="1">
        <v>119</v>
      </c>
      <c r="E13" s="1" t="s">
        <v>12</v>
      </c>
      <c r="F13" s="1">
        <v>31</v>
      </c>
      <c r="G13" s="9">
        <v>21.27</v>
      </c>
      <c r="H13" s="1">
        <v>5</v>
      </c>
      <c r="I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3" s="9">
        <f>CLIENTS_CHURN[[#This Row],[Facture_Mensuelle]]*CLIENTS_CHURN[[#This Row],[Remise (%)]]</f>
        <v>2.1270000000000002</v>
      </c>
      <c r="K13">
        <f>IF(CLIENTS_CHURN[[#This Row],[Duree_Cumulee_Panne_Min]]&gt;0,1,0)</f>
        <v>1</v>
      </c>
      <c r="L13" t="str">
        <f>IF(CLIENTS_CHURN[[#This Row],[Type_Forfait]]="Pro Monde","B2B","B2C")</f>
        <v>B2B</v>
      </c>
    </row>
    <row r="14" spans="1:12" x14ac:dyDescent="0.25">
      <c r="A14" s="1">
        <f t="shared" si="0"/>
        <v>13</v>
      </c>
      <c r="B14" s="1" t="s">
        <v>51</v>
      </c>
      <c r="C14" s="1" t="s">
        <v>8</v>
      </c>
      <c r="D14" s="1">
        <v>103</v>
      </c>
      <c r="E14" s="1" t="s">
        <v>12</v>
      </c>
      <c r="F14" s="1">
        <v>105</v>
      </c>
      <c r="G14" s="9">
        <v>61.52</v>
      </c>
      <c r="H14" s="1">
        <v>3</v>
      </c>
      <c r="I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4" s="9">
        <f>CLIENTS_CHURN[[#This Row],[Facture_Mensuelle]]*CLIENTS_CHURN[[#This Row],[Remise (%)]]</f>
        <v>6.152000000000001</v>
      </c>
      <c r="K14">
        <f>IF(CLIENTS_CHURN[[#This Row],[Duree_Cumulee_Panne_Min]]&gt;0,1,0)</f>
        <v>1</v>
      </c>
      <c r="L14" t="str">
        <f>IF(CLIENTS_CHURN[[#This Row],[Type_Forfait]]="Pro Monde","B2B","B2C")</f>
        <v>B2B</v>
      </c>
    </row>
    <row r="15" spans="1:12" x14ac:dyDescent="0.25">
      <c r="A15" s="1">
        <f t="shared" si="0"/>
        <v>14</v>
      </c>
      <c r="B15" s="1" t="s">
        <v>298</v>
      </c>
      <c r="C15" s="1" t="s">
        <v>128</v>
      </c>
      <c r="D15" s="1">
        <v>118</v>
      </c>
      <c r="E15" s="1" t="s">
        <v>12</v>
      </c>
      <c r="F15" s="1">
        <v>132</v>
      </c>
      <c r="G15" s="9">
        <v>40.880000000000003</v>
      </c>
      <c r="H15" s="1">
        <v>4</v>
      </c>
      <c r="I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5" s="9">
        <f>CLIENTS_CHURN[[#This Row],[Facture_Mensuelle]]*CLIENTS_CHURN[[#This Row],[Remise (%)]]</f>
        <v>4.0880000000000001</v>
      </c>
      <c r="K15">
        <f>IF(CLIENTS_CHURN[[#This Row],[Duree_Cumulee_Panne_Min]]&gt;0,1,0)</f>
        <v>1</v>
      </c>
      <c r="L15" t="str">
        <f>IF(CLIENTS_CHURN[[#This Row],[Type_Forfait]]="Pro Monde","B2B","B2C")</f>
        <v>B2B</v>
      </c>
    </row>
    <row r="16" spans="1:12" x14ac:dyDescent="0.25">
      <c r="A16" s="1">
        <f t="shared" si="0"/>
        <v>15</v>
      </c>
      <c r="B16" s="1" t="s">
        <v>155</v>
      </c>
      <c r="C16" s="1" t="s">
        <v>65</v>
      </c>
      <c r="D16" s="1">
        <v>53</v>
      </c>
      <c r="E16" s="1" t="s">
        <v>20</v>
      </c>
      <c r="F16" s="1">
        <v>345</v>
      </c>
      <c r="G16" s="9">
        <v>83.73</v>
      </c>
      <c r="H16" s="1">
        <v>0</v>
      </c>
      <c r="I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" s="9">
        <f>CLIENTS_CHURN[[#This Row],[Facture_Mensuelle]]*CLIENTS_CHURN[[#This Row],[Remise (%)]]</f>
        <v>37.6785</v>
      </c>
      <c r="K16">
        <f>IF(CLIENTS_CHURN[[#This Row],[Duree_Cumulee_Panne_Min]]&gt;0,1,0)</f>
        <v>1</v>
      </c>
      <c r="L16" t="str">
        <f>IF(CLIENTS_CHURN[[#This Row],[Type_Forfait]]="Pro Monde","B2B","B2C")</f>
        <v>B2C</v>
      </c>
    </row>
    <row r="17" spans="1:12" x14ac:dyDescent="0.25">
      <c r="A17" s="1">
        <f t="shared" si="0"/>
        <v>16</v>
      </c>
      <c r="B17" s="1" t="s">
        <v>718</v>
      </c>
      <c r="C17" s="1" t="s">
        <v>35</v>
      </c>
      <c r="D17" s="1">
        <v>33</v>
      </c>
      <c r="E17" s="1" t="s">
        <v>17</v>
      </c>
      <c r="F17" s="1">
        <v>54</v>
      </c>
      <c r="G17" s="9">
        <v>71.319999999999993</v>
      </c>
      <c r="H17" s="1">
        <v>4</v>
      </c>
      <c r="I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7" s="9">
        <f>CLIENTS_CHURN[[#This Row],[Facture_Mensuelle]]*CLIENTS_CHURN[[#This Row],[Remise (%)]]</f>
        <v>0</v>
      </c>
      <c r="K17">
        <f>IF(CLIENTS_CHURN[[#This Row],[Duree_Cumulee_Panne_Min]]&gt;0,1,0)</f>
        <v>1</v>
      </c>
      <c r="L17" t="str">
        <f>IF(CLIENTS_CHURN[[#This Row],[Type_Forfait]]="Pro Monde","B2B","B2C")</f>
        <v>B2C</v>
      </c>
    </row>
    <row r="18" spans="1:12" x14ac:dyDescent="0.25">
      <c r="A18" s="1">
        <f t="shared" si="0"/>
        <v>17</v>
      </c>
      <c r="B18" s="1" t="s">
        <v>299</v>
      </c>
      <c r="C18" s="1" t="s">
        <v>8</v>
      </c>
      <c r="D18" s="1">
        <v>16</v>
      </c>
      <c r="E18" s="1" t="s">
        <v>17</v>
      </c>
      <c r="F18" s="1">
        <v>461</v>
      </c>
      <c r="G18" s="9">
        <v>38.369999999999997</v>
      </c>
      <c r="H18" s="1">
        <v>4</v>
      </c>
      <c r="I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" s="9">
        <f>CLIENTS_CHURN[[#This Row],[Facture_Mensuelle]]*CLIENTS_CHURN[[#This Row],[Remise (%)]]</f>
        <v>17.266500000000001</v>
      </c>
      <c r="K18">
        <f>IF(CLIENTS_CHURN[[#This Row],[Duree_Cumulee_Panne_Min]]&gt;0,1,0)</f>
        <v>1</v>
      </c>
      <c r="L18" t="str">
        <f>IF(CLIENTS_CHURN[[#This Row],[Type_Forfait]]="Pro Monde","B2B","B2C")</f>
        <v>B2C</v>
      </c>
    </row>
    <row r="19" spans="1:12" x14ac:dyDescent="0.25">
      <c r="A19" s="1">
        <f t="shared" si="0"/>
        <v>18</v>
      </c>
      <c r="B19" s="1" t="s">
        <v>509</v>
      </c>
      <c r="C19" s="1" t="s">
        <v>19</v>
      </c>
      <c r="D19" s="1">
        <v>34</v>
      </c>
      <c r="E19" s="1" t="s">
        <v>17</v>
      </c>
      <c r="F19" s="1">
        <v>40</v>
      </c>
      <c r="G19" s="9">
        <v>65.709999999999994</v>
      </c>
      <c r="H19" s="1">
        <v>5</v>
      </c>
      <c r="I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" s="9">
        <f>CLIENTS_CHURN[[#This Row],[Facture_Mensuelle]]*CLIENTS_CHURN[[#This Row],[Remise (%)]]</f>
        <v>0</v>
      </c>
      <c r="K19">
        <f>IF(CLIENTS_CHURN[[#This Row],[Duree_Cumulee_Panne_Min]]&gt;0,1,0)</f>
        <v>1</v>
      </c>
      <c r="L19" t="str">
        <f>IF(CLIENTS_CHURN[[#This Row],[Type_Forfait]]="Pro Monde","B2B","B2C")</f>
        <v>B2C</v>
      </c>
    </row>
    <row r="20" spans="1:12" x14ac:dyDescent="0.25">
      <c r="A20" s="1">
        <f t="shared" si="0"/>
        <v>19</v>
      </c>
      <c r="B20" s="1" t="s">
        <v>702</v>
      </c>
      <c r="C20" s="1" t="s">
        <v>124</v>
      </c>
      <c r="D20" s="1">
        <v>6</v>
      </c>
      <c r="E20" s="1" t="s">
        <v>12</v>
      </c>
      <c r="F20" s="1">
        <v>206</v>
      </c>
      <c r="G20" s="9">
        <v>10</v>
      </c>
      <c r="H20" s="1">
        <v>5</v>
      </c>
      <c r="I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0" s="9">
        <f>CLIENTS_CHURN[[#This Row],[Facture_Mensuelle]]*CLIENTS_CHURN[[#This Row],[Remise (%)]]</f>
        <v>1</v>
      </c>
      <c r="K20">
        <f>IF(CLIENTS_CHURN[[#This Row],[Duree_Cumulee_Panne_Min]]&gt;0,1,0)</f>
        <v>1</v>
      </c>
      <c r="L20" t="str">
        <f>IF(CLIENTS_CHURN[[#This Row],[Type_Forfait]]="Pro Monde","B2B","B2C")</f>
        <v>B2B</v>
      </c>
    </row>
    <row r="21" spans="1:12" x14ac:dyDescent="0.25">
      <c r="A21" s="1">
        <f t="shared" si="0"/>
        <v>20</v>
      </c>
      <c r="B21" s="1" t="s">
        <v>241</v>
      </c>
      <c r="C21" s="1" t="s">
        <v>27</v>
      </c>
      <c r="D21" s="1">
        <v>4</v>
      </c>
      <c r="E21" s="1" t="s">
        <v>17</v>
      </c>
      <c r="F21" s="1">
        <v>182</v>
      </c>
      <c r="G21" s="9">
        <v>89.56</v>
      </c>
      <c r="H21" s="1">
        <v>4</v>
      </c>
      <c r="I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1" s="9">
        <f>CLIENTS_CHURN[[#This Row],[Facture_Mensuelle]]*CLIENTS_CHURN[[#This Row],[Remise (%)]]</f>
        <v>0</v>
      </c>
      <c r="K21">
        <f>IF(CLIENTS_CHURN[[#This Row],[Duree_Cumulee_Panne_Min]]&gt;0,1,0)</f>
        <v>1</v>
      </c>
      <c r="L21" t="str">
        <f>IF(CLIENTS_CHURN[[#This Row],[Type_Forfait]]="Pro Monde","B2B","B2C")</f>
        <v>B2C</v>
      </c>
    </row>
    <row r="22" spans="1:12" x14ac:dyDescent="0.25">
      <c r="A22" s="1">
        <f t="shared" si="0"/>
        <v>21</v>
      </c>
      <c r="B22" s="1" t="s">
        <v>359</v>
      </c>
      <c r="C22" s="1" t="s">
        <v>22</v>
      </c>
      <c r="D22" s="1">
        <v>69</v>
      </c>
      <c r="E22" s="1" t="s">
        <v>12</v>
      </c>
      <c r="F22" s="1">
        <v>76</v>
      </c>
      <c r="G22" s="9">
        <v>91.8</v>
      </c>
      <c r="H22" s="1">
        <v>5</v>
      </c>
      <c r="I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2" s="9">
        <f>CLIENTS_CHURN[[#This Row],[Facture_Mensuelle]]*CLIENTS_CHURN[[#This Row],[Remise (%)]]</f>
        <v>9.18</v>
      </c>
      <c r="K22">
        <f>IF(CLIENTS_CHURN[[#This Row],[Duree_Cumulee_Panne_Min]]&gt;0,1,0)</f>
        <v>1</v>
      </c>
      <c r="L22" t="str">
        <f>IF(CLIENTS_CHURN[[#This Row],[Type_Forfait]]="Pro Monde","B2B","B2C")</f>
        <v>B2B</v>
      </c>
    </row>
    <row r="23" spans="1:12" x14ac:dyDescent="0.25">
      <c r="A23" s="1">
        <f t="shared" si="0"/>
        <v>22</v>
      </c>
      <c r="B23" s="1" t="s">
        <v>30</v>
      </c>
      <c r="C23" s="1" t="s">
        <v>31</v>
      </c>
      <c r="D23" s="1">
        <v>72</v>
      </c>
      <c r="E23" s="1" t="s">
        <v>12</v>
      </c>
      <c r="F23" s="1">
        <v>160</v>
      </c>
      <c r="G23" s="9">
        <v>90.13</v>
      </c>
      <c r="H23" s="1">
        <v>2</v>
      </c>
      <c r="I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3" s="9">
        <f>CLIENTS_CHURN[[#This Row],[Facture_Mensuelle]]*CLIENTS_CHURN[[#This Row],[Remise (%)]]</f>
        <v>9.0129999999999999</v>
      </c>
      <c r="K23">
        <f>IF(CLIENTS_CHURN[[#This Row],[Duree_Cumulee_Panne_Min]]&gt;0,1,0)</f>
        <v>1</v>
      </c>
      <c r="L23" t="str">
        <f>IF(CLIENTS_CHURN[[#This Row],[Type_Forfait]]="Pro Monde","B2B","B2C")</f>
        <v>B2B</v>
      </c>
    </row>
    <row r="24" spans="1:12" x14ac:dyDescent="0.25">
      <c r="A24" s="1">
        <f t="shared" si="0"/>
        <v>23</v>
      </c>
      <c r="B24" s="1" t="s">
        <v>208</v>
      </c>
      <c r="C24" s="1" t="s">
        <v>29</v>
      </c>
      <c r="D24" s="1">
        <v>52</v>
      </c>
      <c r="E24" s="1" t="s">
        <v>20</v>
      </c>
      <c r="F24" s="1">
        <v>119</v>
      </c>
      <c r="G24" s="9">
        <v>64.709999999999994</v>
      </c>
      <c r="H24" s="1">
        <v>4</v>
      </c>
      <c r="I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4" s="9">
        <f>CLIENTS_CHURN[[#This Row],[Facture_Mensuelle]]*CLIENTS_CHURN[[#This Row],[Remise (%)]]</f>
        <v>0</v>
      </c>
      <c r="K24">
        <f>IF(CLIENTS_CHURN[[#This Row],[Duree_Cumulee_Panne_Min]]&gt;0,1,0)</f>
        <v>1</v>
      </c>
      <c r="L24" t="str">
        <f>IF(CLIENTS_CHURN[[#This Row],[Type_Forfait]]="Pro Monde","B2B","B2C")</f>
        <v>B2C</v>
      </c>
    </row>
    <row r="25" spans="1:12" x14ac:dyDescent="0.25">
      <c r="A25" s="1">
        <f t="shared" si="0"/>
        <v>24</v>
      </c>
      <c r="B25" s="1" t="s">
        <v>159</v>
      </c>
      <c r="C25" s="1" t="s">
        <v>27</v>
      </c>
      <c r="D25" s="1">
        <v>67</v>
      </c>
      <c r="E25" s="1" t="s">
        <v>20</v>
      </c>
      <c r="F25" s="1">
        <v>264</v>
      </c>
      <c r="G25" s="9">
        <v>97.89</v>
      </c>
      <c r="H25" s="1">
        <v>1</v>
      </c>
      <c r="I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" s="9">
        <f>CLIENTS_CHURN[[#This Row],[Facture_Mensuelle]]*CLIENTS_CHURN[[#This Row],[Remise (%)]]</f>
        <v>44.0505</v>
      </c>
      <c r="K25">
        <f>IF(CLIENTS_CHURN[[#This Row],[Duree_Cumulee_Panne_Min]]&gt;0,1,0)</f>
        <v>1</v>
      </c>
      <c r="L25" t="str">
        <f>IF(CLIENTS_CHURN[[#This Row],[Type_Forfait]]="Pro Monde","B2B","B2C")</f>
        <v>B2C</v>
      </c>
    </row>
    <row r="26" spans="1:12" x14ac:dyDescent="0.25">
      <c r="A26" s="1">
        <f t="shared" si="0"/>
        <v>25</v>
      </c>
      <c r="B26" s="1" t="s">
        <v>463</v>
      </c>
      <c r="C26" s="1" t="s">
        <v>60</v>
      </c>
      <c r="D26" s="1">
        <v>78</v>
      </c>
      <c r="E26" s="1" t="s">
        <v>9</v>
      </c>
      <c r="F26" s="1">
        <v>60</v>
      </c>
      <c r="G26" s="9">
        <v>33.159999999999997</v>
      </c>
      <c r="H26" s="1">
        <v>5</v>
      </c>
      <c r="I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" s="9">
        <f>CLIENTS_CHURN[[#This Row],[Facture_Mensuelle]]*CLIENTS_CHURN[[#This Row],[Remise (%)]]</f>
        <v>0</v>
      </c>
      <c r="K26">
        <f>IF(CLIENTS_CHURN[[#This Row],[Duree_Cumulee_Panne_Min]]&gt;0,1,0)</f>
        <v>1</v>
      </c>
      <c r="L26" t="str">
        <f>IF(CLIENTS_CHURN[[#This Row],[Type_Forfait]]="Pro Monde","B2B","B2C")</f>
        <v>B2C</v>
      </c>
    </row>
    <row r="27" spans="1:12" x14ac:dyDescent="0.25">
      <c r="A27" s="1">
        <f t="shared" si="0"/>
        <v>26</v>
      </c>
      <c r="B27" s="1" t="s">
        <v>21</v>
      </c>
      <c r="C27" s="1" t="s">
        <v>22</v>
      </c>
      <c r="D27" s="1">
        <v>46</v>
      </c>
      <c r="E27" s="1" t="s">
        <v>9</v>
      </c>
      <c r="F27" s="1">
        <v>283</v>
      </c>
      <c r="G27" s="9">
        <v>56.05</v>
      </c>
      <c r="H27" s="1">
        <v>1</v>
      </c>
      <c r="I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" s="9">
        <f>CLIENTS_CHURN[[#This Row],[Facture_Mensuelle]]*CLIENTS_CHURN[[#This Row],[Remise (%)]]</f>
        <v>25.2225</v>
      </c>
      <c r="K27">
        <f>IF(CLIENTS_CHURN[[#This Row],[Duree_Cumulee_Panne_Min]]&gt;0,1,0)</f>
        <v>1</v>
      </c>
      <c r="L27" t="str">
        <f>IF(CLIENTS_CHURN[[#This Row],[Type_Forfait]]="Pro Monde","B2B","B2C")</f>
        <v>B2C</v>
      </c>
    </row>
    <row r="28" spans="1:12" x14ac:dyDescent="0.25">
      <c r="A28" s="1">
        <f t="shared" si="0"/>
        <v>27</v>
      </c>
      <c r="B28" s="1" t="s">
        <v>598</v>
      </c>
      <c r="C28" s="1" t="s">
        <v>124</v>
      </c>
      <c r="D28" s="1">
        <v>17</v>
      </c>
      <c r="E28" s="1" t="s">
        <v>9</v>
      </c>
      <c r="F28" s="1">
        <v>499</v>
      </c>
      <c r="G28" s="9">
        <v>27.81</v>
      </c>
      <c r="H28" s="1">
        <v>2</v>
      </c>
      <c r="I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8" s="9">
        <f>CLIENTS_CHURN[[#This Row],[Facture_Mensuelle]]*CLIENTS_CHURN[[#This Row],[Remise (%)]]</f>
        <v>12.5145</v>
      </c>
      <c r="K28">
        <f>IF(CLIENTS_CHURN[[#This Row],[Duree_Cumulee_Panne_Min]]&gt;0,1,0)</f>
        <v>1</v>
      </c>
      <c r="L28" t="str">
        <f>IF(CLIENTS_CHURN[[#This Row],[Type_Forfait]]="Pro Monde","B2B","B2C")</f>
        <v>B2C</v>
      </c>
    </row>
    <row r="29" spans="1:12" x14ac:dyDescent="0.25">
      <c r="A29" s="1">
        <f t="shared" si="0"/>
        <v>28</v>
      </c>
      <c r="B29" s="1" t="s">
        <v>472</v>
      </c>
      <c r="C29" s="1" t="s">
        <v>60</v>
      </c>
      <c r="D29" s="1">
        <v>15</v>
      </c>
      <c r="E29" s="1" t="s">
        <v>9</v>
      </c>
      <c r="F29" s="1">
        <v>75</v>
      </c>
      <c r="G29" s="9">
        <v>45.59</v>
      </c>
      <c r="H29" s="1">
        <v>0</v>
      </c>
      <c r="I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9" s="9">
        <f>CLIENTS_CHURN[[#This Row],[Facture_Mensuelle]]*CLIENTS_CHURN[[#This Row],[Remise (%)]]</f>
        <v>0</v>
      </c>
      <c r="K29">
        <f>IF(CLIENTS_CHURN[[#This Row],[Duree_Cumulee_Panne_Min]]&gt;0,1,0)</f>
        <v>1</v>
      </c>
      <c r="L29" t="str">
        <f>IF(CLIENTS_CHURN[[#This Row],[Type_Forfait]]="Pro Monde","B2B","B2C")</f>
        <v>B2C</v>
      </c>
    </row>
    <row r="30" spans="1:12" x14ac:dyDescent="0.25">
      <c r="A30" s="1">
        <f t="shared" si="0"/>
        <v>29</v>
      </c>
      <c r="B30" s="1" t="s">
        <v>413</v>
      </c>
      <c r="C30" s="1" t="s">
        <v>14</v>
      </c>
      <c r="D30" s="1">
        <v>106</v>
      </c>
      <c r="E30" s="1" t="s">
        <v>12</v>
      </c>
      <c r="F30" s="1">
        <v>429</v>
      </c>
      <c r="G30" s="9">
        <v>23.83</v>
      </c>
      <c r="H30" s="1">
        <v>1</v>
      </c>
      <c r="I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0" s="9">
        <f>CLIENTS_CHURN[[#This Row],[Facture_Mensuelle]]*CLIENTS_CHURN[[#This Row],[Remise (%)]]</f>
        <v>10.7235</v>
      </c>
      <c r="K30">
        <f>IF(CLIENTS_CHURN[[#This Row],[Duree_Cumulee_Panne_Min]]&gt;0,1,0)</f>
        <v>1</v>
      </c>
      <c r="L30" t="str">
        <f>IF(CLIENTS_CHURN[[#This Row],[Type_Forfait]]="Pro Monde","B2B","B2C")</f>
        <v>B2B</v>
      </c>
    </row>
    <row r="31" spans="1:12" x14ac:dyDescent="0.25">
      <c r="A31" s="1">
        <f t="shared" si="0"/>
        <v>30</v>
      </c>
      <c r="B31" s="1" t="s">
        <v>45</v>
      </c>
      <c r="C31" s="1" t="s">
        <v>27</v>
      </c>
      <c r="D31" s="1">
        <v>14</v>
      </c>
      <c r="E31" s="1" t="s">
        <v>9</v>
      </c>
      <c r="F31" s="1">
        <v>75</v>
      </c>
      <c r="G31" s="9">
        <v>55.67</v>
      </c>
      <c r="H31" s="1">
        <v>3</v>
      </c>
      <c r="I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1" s="9">
        <f>CLIENTS_CHURN[[#This Row],[Facture_Mensuelle]]*CLIENTS_CHURN[[#This Row],[Remise (%)]]</f>
        <v>0</v>
      </c>
      <c r="K31">
        <f>IF(CLIENTS_CHURN[[#This Row],[Duree_Cumulee_Panne_Min]]&gt;0,1,0)</f>
        <v>1</v>
      </c>
      <c r="L31" t="str">
        <f>IF(CLIENTS_CHURN[[#This Row],[Type_Forfait]]="Pro Monde","B2B","B2C")</f>
        <v>B2C</v>
      </c>
    </row>
    <row r="32" spans="1:12" x14ac:dyDescent="0.25">
      <c r="A32" s="1">
        <f t="shared" si="0"/>
        <v>31</v>
      </c>
      <c r="B32" s="1" t="s">
        <v>533</v>
      </c>
      <c r="C32" s="1" t="s">
        <v>42</v>
      </c>
      <c r="D32" s="1">
        <v>15</v>
      </c>
      <c r="E32" s="1" t="s">
        <v>17</v>
      </c>
      <c r="F32" s="1">
        <v>400</v>
      </c>
      <c r="G32" s="9">
        <v>78.09</v>
      </c>
      <c r="H32" s="1">
        <v>0</v>
      </c>
      <c r="I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" s="9">
        <f>CLIENTS_CHURN[[#This Row],[Facture_Mensuelle]]*CLIENTS_CHURN[[#This Row],[Remise (%)]]</f>
        <v>35.140500000000003</v>
      </c>
      <c r="K32">
        <f>IF(CLIENTS_CHURN[[#This Row],[Duree_Cumulee_Panne_Min]]&gt;0,1,0)</f>
        <v>1</v>
      </c>
      <c r="L32" t="str">
        <f>IF(CLIENTS_CHURN[[#This Row],[Type_Forfait]]="Pro Monde","B2B","B2C")</f>
        <v>B2C</v>
      </c>
    </row>
    <row r="33" spans="1:12" x14ac:dyDescent="0.25">
      <c r="A33" s="1">
        <f t="shared" si="0"/>
        <v>32</v>
      </c>
      <c r="B33" s="1" t="s">
        <v>432</v>
      </c>
      <c r="C33" s="1" t="s">
        <v>58</v>
      </c>
      <c r="D33" s="1">
        <v>50</v>
      </c>
      <c r="E33" s="1" t="s">
        <v>17</v>
      </c>
      <c r="F33" s="1">
        <v>435</v>
      </c>
      <c r="G33" s="9">
        <v>27.86</v>
      </c>
      <c r="H33" s="1">
        <v>3</v>
      </c>
      <c r="I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3" s="9">
        <f>CLIENTS_CHURN[[#This Row],[Facture_Mensuelle]]*CLIENTS_CHURN[[#This Row],[Remise (%)]]</f>
        <v>12.537000000000001</v>
      </c>
      <c r="K33">
        <f>IF(CLIENTS_CHURN[[#This Row],[Duree_Cumulee_Panne_Min]]&gt;0,1,0)</f>
        <v>1</v>
      </c>
      <c r="L33" t="str">
        <f>IF(CLIENTS_CHURN[[#This Row],[Type_Forfait]]="Pro Monde","B2B","B2C")</f>
        <v>B2C</v>
      </c>
    </row>
    <row r="34" spans="1:12" x14ac:dyDescent="0.25">
      <c r="A34" s="1">
        <f t="shared" si="0"/>
        <v>33</v>
      </c>
      <c r="B34" s="1" t="s">
        <v>631</v>
      </c>
      <c r="C34" s="1" t="s">
        <v>76</v>
      </c>
      <c r="D34" s="1">
        <v>12</v>
      </c>
      <c r="E34" s="1" t="s">
        <v>12</v>
      </c>
      <c r="F34" s="1">
        <v>42</v>
      </c>
      <c r="G34" s="9">
        <v>48.64</v>
      </c>
      <c r="H34" s="1">
        <v>0</v>
      </c>
      <c r="I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" s="9">
        <f>CLIENTS_CHURN[[#This Row],[Facture_Mensuelle]]*CLIENTS_CHURN[[#This Row],[Remise (%)]]</f>
        <v>4.8640000000000008</v>
      </c>
      <c r="K34">
        <f>IF(CLIENTS_CHURN[[#This Row],[Duree_Cumulee_Panne_Min]]&gt;0,1,0)</f>
        <v>1</v>
      </c>
      <c r="L34" t="str">
        <f>IF(CLIENTS_CHURN[[#This Row],[Type_Forfait]]="Pro Monde","B2B","B2C")</f>
        <v>B2B</v>
      </c>
    </row>
    <row r="35" spans="1:12" x14ac:dyDescent="0.25">
      <c r="A35" s="1">
        <f t="shared" si="0"/>
        <v>34</v>
      </c>
      <c r="B35" s="1" t="s">
        <v>401</v>
      </c>
      <c r="C35" s="1" t="s">
        <v>38</v>
      </c>
      <c r="D35" s="1">
        <v>29</v>
      </c>
      <c r="E35" s="1" t="s">
        <v>12</v>
      </c>
      <c r="F35" s="1">
        <v>493</v>
      </c>
      <c r="G35" s="9">
        <v>42.02</v>
      </c>
      <c r="H35" s="1">
        <v>1</v>
      </c>
      <c r="I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" s="9">
        <f>CLIENTS_CHURN[[#This Row],[Facture_Mensuelle]]*CLIENTS_CHURN[[#This Row],[Remise (%)]]</f>
        <v>18.909000000000002</v>
      </c>
      <c r="K35">
        <f>IF(CLIENTS_CHURN[[#This Row],[Duree_Cumulee_Panne_Min]]&gt;0,1,0)</f>
        <v>1</v>
      </c>
      <c r="L35" t="str">
        <f>IF(CLIENTS_CHURN[[#This Row],[Type_Forfait]]="Pro Monde","B2B","B2C")</f>
        <v>B2B</v>
      </c>
    </row>
    <row r="36" spans="1:12" x14ac:dyDescent="0.25">
      <c r="A36" s="1">
        <f t="shared" si="0"/>
        <v>35</v>
      </c>
      <c r="B36" s="1" t="s">
        <v>628</v>
      </c>
      <c r="C36" s="1" t="s">
        <v>16</v>
      </c>
      <c r="D36" s="1">
        <v>42</v>
      </c>
      <c r="E36" s="1" t="s">
        <v>12</v>
      </c>
      <c r="F36" s="1">
        <v>167</v>
      </c>
      <c r="G36" s="9">
        <v>45.85</v>
      </c>
      <c r="H36" s="1">
        <v>2</v>
      </c>
      <c r="I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6" s="9">
        <f>CLIENTS_CHURN[[#This Row],[Facture_Mensuelle]]*CLIENTS_CHURN[[#This Row],[Remise (%)]]</f>
        <v>4.585</v>
      </c>
      <c r="K36">
        <f>IF(CLIENTS_CHURN[[#This Row],[Duree_Cumulee_Panne_Min]]&gt;0,1,0)</f>
        <v>1</v>
      </c>
      <c r="L36" t="str">
        <f>IF(CLIENTS_CHURN[[#This Row],[Type_Forfait]]="Pro Monde","B2B","B2C")</f>
        <v>B2B</v>
      </c>
    </row>
    <row r="37" spans="1:12" x14ac:dyDescent="0.25">
      <c r="A37" s="1">
        <f t="shared" si="0"/>
        <v>36</v>
      </c>
      <c r="B37" s="1" t="s">
        <v>542</v>
      </c>
      <c r="C37" s="1" t="s">
        <v>71</v>
      </c>
      <c r="D37" s="1">
        <v>74</v>
      </c>
      <c r="E37" s="1" t="s">
        <v>17</v>
      </c>
      <c r="F37" s="1">
        <v>388</v>
      </c>
      <c r="G37" s="9">
        <v>10.89</v>
      </c>
      <c r="H37" s="1">
        <v>4</v>
      </c>
      <c r="I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" s="9">
        <f>CLIENTS_CHURN[[#This Row],[Facture_Mensuelle]]*CLIENTS_CHURN[[#This Row],[Remise (%)]]</f>
        <v>4.9005000000000001</v>
      </c>
      <c r="K37">
        <f>IF(CLIENTS_CHURN[[#This Row],[Duree_Cumulee_Panne_Min]]&gt;0,1,0)</f>
        <v>1</v>
      </c>
      <c r="L37" t="str">
        <f>IF(CLIENTS_CHURN[[#This Row],[Type_Forfait]]="Pro Monde","B2B","B2C")</f>
        <v>B2C</v>
      </c>
    </row>
    <row r="38" spans="1:12" x14ac:dyDescent="0.25">
      <c r="A38" s="1">
        <f t="shared" si="0"/>
        <v>37</v>
      </c>
      <c r="B38" s="1" t="s">
        <v>311</v>
      </c>
      <c r="C38" s="1" t="s">
        <v>124</v>
      </c>
      <c r="D38" s="1">
        <v>93</v>
      </c>
      <c r="E38" s="1" t="s">
        <v>9</v>
      </c>
      <c r="F38" s="1">
        <v>150</v>
      </c>
      <c r="G38" s="9">
        <v>93.25</v>
      </c>
      <c r="H38" s="1">
        <v>3</v>
      </c>
      <c r="I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" s="9">
        <f>CLIENTS_CHURN[[#This Row],[Facture_Mensuelle]]*CLIENTS_CHURN[[#This Row],[Remise (%)]]</f>
        <v>0</v>
      </c>
      <c r="K38">
        <f>IF(CLIENTS_CHURN[[#This Row],[Duree_Cumulee_Panne_Min]]&gt;0,1,0)</f>
        <v>1</v>
      </c>
      <c r="L38" t="str">
        <f>IF(CLIENTS_CHURN[[#This Row],[Type_Forfait]]="Pro Monde","B2B","B2C")</f>
        <v>B2C</v>
      </c>
    </row>
    <row r="39" spans="1:12" x14ac:dyDescent="0.25">
      <c r="A39" s="1">
        <f t="shared" si="0"/>
        <v>38</v>
      </c>
      <c r="B39" s="1" t="s">
        <v>733</v>
      </c>
      <c r="C39" s="1" t="s">
        <v>11</v>
      </c>
      <c r="D39" s="1">
        <v>19</v>
      </c>
      <c r="E39" s="1" t="s">
        <v>17</v>
      </c>
      <c r="F39" s="1">
        <v>345</v>
      </c>
      <c r="G39" s="9">
        <v>54.37</v>
      </c>
      <c r="H39" s="1">
        <v>2</v>
      </c>
      <c r="I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9" s="9">
        <f>CLIENTS_CHURN[[#This Row],[Facture_Mensuelle]]*CLIENTS_CHURN[[#This Row],[Remise (%)]]</f>
        <v>24.4665</v>
      </c>
      <c r="K39">
        <f>IF(CLIENTS_CHURN[[#This Row],[Duree_Cumulee_Panne_Min]]&gt;0,1,0)</f>
        <v>1</v>
      </c>
      <c r="L39" t="str">
        <f>IF(CLIENTS_CHURN[[#This Row],[Type_Forfait]]="Pro Monde","B2B","B2C")</f>
        <v>B2C</v>
      </c>
    </row>
    <row r="40" spans="1:12" x14ac:dyDescent="0.25">
      <c r="A40" s="1">
        <f t="shared" si="0"/>
        <v>39</v>
      </c>
      <c r="B40" s="1" t="s">
        <v>243</v>
      </c>
      <c r="C40" s="1" t="s">
        <v>55</v>
      </c>
      <c r="D40" s="1">
        <v>82</v>
      </c>
      <c r="E40" s="1" t="s">
        <v>9</v>
      </c>
      <c r="F40" s="1">
        <v>88</v>
      </c>
      <c r="G40" s="9">
        <v>86.64</v>
      </c>
      <c r="H40" s="1">
        <v>1</v>
      </c>
      <c r="I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" s="9">
        <f>CLIENTS_CHURN[[#This Row],[Facture_Mensuelle]]*CLIENTS_CHURN[[#This Row],[Remise (%)]]</f>
        <v>0</v>
      </c>
      <c r="K40">
        <f>IF(CLIENTS_CHURN[[#This Row],[Duree_Cumulee_Panne_Min]]&gt;0,1,0)</f>
        <v>1</v>
      </c>
      <c r="L40" t="str">
        <f>IF(CLIENTS_CHURN[[#This Row],[Type_Forfait]]="Pro Monde","B2B","B2C")</f>
        <v>B2C</v>
      </c>
    </row>
    <row r="41" spans="1:12" x14ac:dyDescent="0.25">
      <c r="A41" s="1">
        <f t="shared" si="0"/>
        <v>40</v>
      </c>
      <c r="B41" s="1" t="s">
        <v>457</v>
      </c>
      <c r="C41" s="1" t="s">
        <v>14</v>
      </c>
      <c r="D41" s="1">
        <v>42</v>
      </c>
      <c r="E41" s="1" t="s">
        <v>17</v>
      </c>
      <c r="F41" s="1">
        <v>436</v>
      </c>
      <c r="G41" s="9">
        <v>88.12</v>
      </c>
      <c r="H41" s="1">
        <v>0</v>
      </c>
      <c r="I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" s="9">
        <f>CLIENTS_CHURN[[#This Row],[Facture_Mensuelle]]*CLIENTS_CHURN[[#This Row],[Remise (%)]]</f>
        <v>39.654000000000003</v>
      </c>
      <c r="K41">
        <f>IF(CLIENTS_CHURN[[#This Row],[Duree_Cumulee_Panne_Min]]&gt;0,1,0)</f>
        <v>1</v>
      </c>
      <c r="L41" t="str">
        <f>IF(CLIENTS_CHURN[[#This Row],[Type_Forfait]]="Pro Monde","B2B","B2C")</f>
        <v>B2C</v>
      </c>
    </row>
    <row r="42" spans="1:12" x14ac:dyDescent="0.25">
      <c r="A42" s="1">
        <f t="shared" si="0"/>
        <v>41</v>
      </c>
      <c r="B42" s="1" t="s">
        <v>164</v>
      </c>
      <c r="C42" s="1" t="s">
        <v>86</v>
      </c>
      <c r="D42" s="1">
        <v>98</v>
      </c>
      <c r="E42" s="1" t="s">
        <v>17</v>
      </c>
      <c r="F42" s="1">
        <v>52</v>
      </c>
      <c r="G42" s="9">
        <v>52.82</v>
      </c>
      <c r="H42" s="1">
        <v>2</v>
      </c>
      <c r="I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2" s="9">
        <f>CLIENTS_CHURN[[#This Row],[Facture_Mensuelle]]*CLIENTS_CHURN[[#This Row],[Remise (%)]]</f>
        <v>0</v>
      </c>
      <c r="K42">
        <f>IF(CLIENTS_CHURN[[#This Row],[Duree_Cumulee_Panne_Min]]&gt;0,1,0)</f>
        <v>1</v>
      </c>
      <c r="L42" t="str">
        <f>IF(CLIENTS_CHURN[[#This Row],[Type_Forfait]]="Pro Monde","B2B","B2C")</f>
        <v>B2C</v>
      </c>
    </row>
    <row r="43" spans="1:12" x14ac:dyDescent="0.25">
      <c r="A43" s="1">
        <f t="shared" si="0"/>
        <v>42</v>
      </c>
      <c r="B43" s="1" t="s">
        <v>52</v>
      </c>
      <c r="C43" s="1" t="s">
        <v>24</v>
      </c>
      <c r="D43" s="1">
        <v>59</v>
      </c>
      <c r="E43" s="1" t="s">
        <v>20</v>
      </c>
      <c r="F43" s="1">
        <v>454</v>
      </c>
      <c r="G43" s="9">
        <v>10.47</v>
      </c>
      <c r="H43" s="1">
        <v>5</v>
      </c>
      <c r="I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" s="9">
        <f>CLIENTS_CHURN[[#This Row],[Facture_Mensuelle]]*CLIENTS_CHURN[[#This Row],[Remise (%)]]</f>
        <v>4.7115</v>
      </c>
      <c r="K43">
        <f>IF(CLIENTS_CHURN[[#This Row],[Duree_Cumulee_Panne_Min]]&gt;0,1,0)</f>
        <v>1</v>
      </c>
      <c r="L43" t="str">
        <f>IF(CLIENTS_CHURN[[#This Row],[Type_Forfait]]="Pro Monde","B2B","B2C")</f>
        <v>B2C</v>
      </c>
    </row>
    <row r="44" spans="1:12" x14ac:dyDescent="0.25">
      <c r="A44" s="1">
        <f t="shared" si="0"/>
        <v>43</v>
      </c>
      <c r="B44" s="1" t="s">
        <v>132</v>
      </c>
      <c r="C44" s="1" t="s">
        <v>42</v>
      </c>
      <c r="D44" s="1">
        <v>25</v>
      </c>
      <c r="E44" s="1" t="s">
        <v>9</v>
      </c>
      <c r="F44" s="1">
        <v>64</v>
      </c>
      <c r="G44" s="9">
        <v>38.950000000000003</v>
      </c>
      <c r="H44" s="1">
        <v>5</v>
      </c>
      <c r="I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4" s="9">
        <f>CLIENTS_CHURN[[#This Row],[Facture_Mensuelle]]*CLIENTS_CHURN[[#This Row],[Remise (%)]]</f>
        <v>0</v>
      </c>
      <c r="K44">
        <f>IF(CLIENTS_CHURN[[#This Row],[Duree_Cumulee_Panne_Min]]&gt;0,1,0)</f>
        <v>1</v>
      </c>
      <c r="L44" t="str">
        <f>IF(CLIENTS_CHURN[[#This Row],[Type_Forfait]]="Pro Monde","B2B","B2C")</f>
        <v>B2C</v>
      </c>
    </row>
    <row r="45" spans="1:12" x14ac:dyDescent="0.25">
      <c r="A45" s="1">
        <f t="shared" si="0"/>
        <v>44</v>
      </c>
      <c r="B45" s="1" t="s">
        <v>390</v>
      </c>
      <c r="C45" s="1" t="s">
        <v>27</v>
      </c>
      <c r="D45" s="1">
        <v>43</v>
      </c>
      <c r="E45" s="1" t="s">
        <v>9</v>
      </c>
      <c r="F45" s="1">
        <v>486</v>
      </c>
      <c r="G45" s="9">
        <v>76.42</v>
      </c>
      <c r="H45" s="1">
        <v>1</v>
      </c>
      <c r="I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" s="9">
        <f>CLIENTS_CHURN[[#This Row],[Facture_Mensuelle]]*CLIENTS_CHURN[[#This Row],[Remise (%)]]</f>
        <v>34.389000000000003</v>
      </c>
      <c r="K45">
        <f>IF(CLIENTS_CHURN[[#This Row],[Duree_Cumulee_Panne_Min]]&gt;0,1,0)</f>
        <v>1</v>
      </c>
      <c r="L45" t="str">
        <f>IF(CLIENTS_CHURN[[#This Row],[Type_Forfait]]="Pro Monde","B2B","B2C")</f>
        <v>B2C</v>
      </c>
    </row>
    <row r="46" spans="1:12" x14ac:dyDescent="0.25">
      <c r="A46" s="1">
        <f t="shared" si="0"/>
        <v>45</v>
      </c>
      <c r="B46" s="1" t="s">
        <v>754</v>
      </c>
      <c r="C46" s="1" t="s">
        <v>42</v>
      </c>
      <c r="D46" s="1">
        <v>108</v>
      </c>
      <c r="E46" s="1" t="s">
        <v>17</v>
      </c>
      <c r="F46" s="1">
        <v>467</v>
      </c>
      <c r="G46" s="9">
        <v>44.84</v>
      </c>
      <c r="H46" s="1">
        <v>4</v>
      </c>
      <c r="I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" s="9">
        <f>CLIENTS_CHURN[[#This Row],[Facture_Mensuelle]]*CLIENTS_CHURN[[#This Row],[Remise (%)]]</f>
        <v>20.178000000000001</v>
      </c>
      <c r="K46">
        <f>IF(CLIENTS_CHURN[[#This Row],[Duree_Cumulee_Panne_Min]]&gt;0,1,0)</f>
        <v>1</v>
      </c>
      <c r="L46" t="str">
        <f>IF(CLIENTS_CHURN[[#This Row],[Type_Forfait]]="Pro Monde","B2B","B2C")</f>
        <v>B2C</v>
      </c>
    </row>
    <row r="47" spans="1:12" x14ac:dyDescent="0.25">
      <c r="A47" s="1">
        <f t="shared" si="0"/>
        <v>46</v>
      </c>
      <c r="B47" s="1" t="s">
        <v>64</v>
      </c>
      <c r="C47" s="1" t="s">
        <v>65</v>
      </c>
      <c r="D47" s="1">
        <v>101</v>
      </c>
      <c r="E47" s="1" t="s">
        <v>12</v>
      </c>
      <c r="F47" s="1">
        <v>176</v>
      </c>
      <c r="G47" s="9">
        <v>86</v>
      </c>
      <c r="H47" s="1">
        <v>3</v>
      </c>
      <c r="I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7" s="9">
        <f>CLIENTS_CHURN[[#This Row],[Facture_Mensuelle]]*CLIENTS_CHURN[[#This Row],[Remise (%)]]</f>
        <v>8.6</v>
      </c>
      <c r="K47">
        <f>IF(CLIENTS_CHURN[[#This Row],[Duree_Cumulee_Panne_Min]]&gt;0,1,0)</f>
        <v>1</v>
      </c>
      <c r="L47" t="str">
        <f>IF(CLIENTS_CHURN[[#This Row],[Type_Forfait]]="Pro Monde","B2B","B2C")</f>
        <v>B2B</v>
      </c>
    </row>
    <row r="48" spans="1:12" x14ac:dyDescent="0.25">
      <c r="A48" s="1">
        <f t="shared" si="0"/>
        <v>47</v>
      </c>
      <c r="B48" s="1" t="s">
        <v>230</v>
      </c>
      <c r="C48" s="1" t="s">
        <v>22</v>
      </c>
      <c r="D48" s="1">
        <v>120</v>
      </c>
      <c r="E48" s="1" t="s">
        <v>20</v>
      </c>
      <c r="F48" s="1">
        <v>224</v>
      </c>
      <c r="G48" s="9">
        <v>69.36</v>
      </c>
      <c r="H48" s="1">
        <v>0</v>
      </c>
      <c r="I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8" s="9">
        <f>CLIENTS_CHURN[[#This Row],[Facture_Mensuelle]]*CLIENTS_CHURN[[#This Row],[Remise (%)]]</f>
        <v>0</v>
      </c>
      <c r="K48">
        <f>IF(CLIENTS_CHURN[[#This Row],[Duree_Cumulee_Panne_Min]]&gt;0,1,0)</f>
        <v>1</v>
      </c>
      <c r="L48" t="str">
        <f>IF(CLIENTS_CHURN[[#This Row],[Type_Forfait]]="Pro Monde","B2B","B2C")</f>
        <v>B2C</v>
      </c>
    </row>
    <row r="49" spans="1:12" x14ac:dyDescent="0.25">
      <c r="A49" s="1">
        <f t="shared" si="0"/>
        <v>48</v>
      </c>
      <c r="B49" s="1" t="s">
        <v>547</v>
      </c>
      <c r="C49" s="1" t="s">
        <v>71</v>
      </c>
      <c r="D49" s="1">
        <v>23</v>
      </c>
      <c r="E49" s="1" t="s">
        <v>17</v>
      </c>
      <c r="F49" s="1">
        <v>325</v>
      </c>
      <c r="G49" s="9">
        <v>65.489999999999995</v>
      </c>
      <c r="H49" s="1">
        <v>1</v>
      </c>
      <c r="I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" s="9">
        <f>CLIENTS_CHURN[[#This Row],[Facture_Mensuelle]]*CLIENTS_CHURN[[#This Row],[Remise (%)]]</f>
        <v>29.470499999999998</v>
      </c>
      <c r="K49">
        <f>IF(CLIENTS_CHURN[[#This Row],[Duree_Cumulee_Panne_Min]]&gt;0,1,0)</f>
        <v>1</v>
      </c>
      <c r="L49" t="str">
        <f>IF(CLIENTS_CHURN[[#This Row],[Type_Forfait]]="Pro Monde","B2B","B2C")</f>
        <v>B2C</v>
      </c>
    </row>
    <row r="50" spans="1:12" x14ac:dyDescent="0.25">
      <c r="A50" s="1">
        <f t="shared" si="0"/>
        <v>49</v>
      </c>
      <c r="B50" s="1" t="s">
        <v>387</v>
      </c>
      <c r="C50" s="1" t="s">
        <v>65</v>
      </c>
      <c r="D50" s="1">
        <v>12</v>
      </c>
      <c r="E50" s="1" t="s">
        <v>12</v>
      </c>
      <c r="F50" s="1">
        <v>125</v>
      </c>
      <c r="G50" s="9">
        <v>36.93</v>
      </c>
      <c r="H50" s="1">
        <v>0</v>
      </c>
      <c r="I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0" s="9">
        <f>CLIENTS_CHURN[[#This Row],[Facture_Mensuelle]]*CLIENTS_CHURN[[#This Row],[Remise (%)]]</f>
        <v>3.6930000000000001</v>
      </c>
      <c r="K50">
        <f>IF(CLIENTS_CHURN[[#This Row],[Duree_Cumulee_Panne_Min]]&gt;0,1,0)</f>
        <v>1</v>
      </c>
      <c r="L50" t="str">
        <f>IF(CLIENTS_CHURN[[#This Row],[Type_Forfait]]="Pro Monde","B2B","B2C")</f>
        <v>B2B</v>
      </c>
    </row>
    <row r="51" spans="1:12" x14ac:dyDescent="0.25">
      <c r="A51" s="1">
        <f t="shared" si="0"/>
        <v>50</v>
      </c>
      <c r="B51" s="1" t="s">
        <v>630</v>
      </c>
      <c r="C51" s="1" t="s">
        <v>76</v>
      </c>
      <c r="D51" s="1">
        <v>12</v>
      </c>
      <c r="E51" s="1" t="s">
        <v>20</v>
      </c>
      <c r="F51" s="1">
        <v>112</v>
      </c>
      <c r="G51" s="9">
        <v>82.81</v>
      </c>
      <c r="H51" s="1">
        <v>0</v>
      </c>
      <c r="I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1" s="9">
        <f>CLIENTS_CHURN[[#This Row],[Facture_Mensuelle]]*CLIENTS_CHURN[[#This Row],[Remise (%)]]</f>
        <v>0</v>
      </c>
      <c r="K51">
        <f>IF(CLIENTS_CHURN[[#This Row],[Duree_Cumulee_Panne_Min]]&gt;0,1,0)</f>
        <v>1</v>
      </c>
      <c r="L51" t="str">
        <f>IF(CLIENTS_CHURN[[#This Row],[Type_Forfait]]="Pro Monde","B2B","B2C")</f>
        <v>B2C</v>
      </c>
    </row>
    <row r="52" spans="1:12" x14ac:dyDescent="0.25">
      <c r="A52" s="1">
        <f t="shared" si="0"/>
        <v>51</v>
      </c>
      <c r="B52" s="1" t="s">
        <v>503</v>
      </c>
      <c r="C52" s="1" t="s">
        <v>55</v>
      </c>
      <c r="D52" s="1">
        <v>35</v>
      </c>
      <c r="E52" s="1" t="s">
        <v>12</v>
      </c>
      <c r="F52" s="1">
        <v>445</v>
      </c>
      <c r="G52" s="9">
        <v>24.11</v>
      </c>
      <c r="H52" s="1">
        <v>2</v>
      </c>
      <c r="I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2" s="9">
        <f>CLIENTS_CHURN[[#This Row],[Facture_Mensuelle]]*CLIENTS_CHURN[[#This Row],[Remise (%)]]</f>
        <v>10.849500000000001</v>
      </c>
      <c r="K52">
        <f>IF(CLIENTS_CHURN[[#This Row],[Duree_Cumulee_Panne_Min]]&gt;0,1,0)</f>
        <v>1</v>
      </c>
      <c r="L52" t="str">
        <f>IF(CLIENTS_CHURN[[#This Row],[Type_Forfait]]="Pro Monde","B2B","B2C")</f>
        <v>B2B</v>
      </c>
    </row>
    <row r="53" spans="1:12" x14ac:dyDescent="0.25">
      <c r="A53" s="1">
        <f t="shared" si="0"/>
        <v>52</v>
      </c>
      <c r="B53" s="1" t="s">
        <v>669</v>
      </c>
      <c r="C53" s="1" t="s">
        <v>76</v>
      </c>
      <c r="D53" s="1">
        <v>43</v>
      </c>
      <c r="E53" s="1" t="s">
        <v>9</v>
      </c>
      <c r="F53" s="1">
        <v>27</v>
      </c>
      <c r="G53" s="9">
        <v>31.48</v>
      </c>
      <c r="H53" s="1">
        <v>5</v>
      </c>
      <c r="I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" s="9">
        <f>CLIENTS_CHURN[[#This Row],[Facture_Mensuelle]]*CLIENTS_CHURN[[#This Row],[Remise (%)]]</f>
        <v>0</v>
      </c>
      <c r="K53">
        <f>IF(CLIENTS_CHURN[[#This Row],[Duree_Cumulee_Panne_Min]]&gt;0,1,0)</f>
        <v>1</v>
      </c>
      <c r="L53" t="str">
        <f>IF(CLIENTS_CHURN[[#This Row],[Type_Forfait]]="Pro Monde","B2B","B2C")</f>
        <v>B2C</v>
      </c>
    </row>
    <row r="54" spans="1:12" x14ac:dyDescent="0.25">
      <c r="A54" s="1">
        <f t="shared" si="0"/>
        <v>53</v>
      </c>
      <c r="B54" s="1" t="s">
        <v>616</v>
      </c>
      <c r="C54" s="1" t="s">
        <v>8</v>
      </c>
      <c r="D54" s="1">
        <v>81</v>
      </c>
      <c r="E54" s="1" t="s">
        <v>20</v>
      </c>
      <c r="F54" s="1">
        <v>11</v>
      </c>
      <c r="G54" s="9">
        <v>41.76</v>
      </c>
      <c r="H54" s="1">
        <v>5</v>
      </c>
      <c r="I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4" s="9">
        <f>CLIENTS_CHURN[[#This Row],[Facture_Mensuelle]]*CLIENTS_CHURN[[#This Row],[Remise (%)]]</f>
        <v>0</v>
      </c>
      <c r="K54">
        <f>IF(CLIENTS_CHURN[[#This Row],[Duree_Cumulee_Panne_Min]]&gt;0,1,0)</f>
        <v>1</v>
      </c>
      <c r="L54" t="str">
        <f>IF(CLIENTS_CHURN[[#This Row],[Type_Forfait]]="Pro Monde","B2B","B2C")</f>
        <v>B2C</v>
      </c>
    </row>
    <row r="55" spans="1:12" x14ac:dyDescent="0.25">
      <c r="A55" s="1">
        <f t="shared" si="0"/>
        <v>54</v>
      </c>
      <c r="B55" s="1" t="s">
        <v>211</v>
      </c>
      <c r="C55" s="1" t="s">
        <v>58</v>
      </c>
      <c r="D55" s="1">
        <v>102</v>
      </c>
      <c r="E55" s="1" t="s">
        <v>9</v>
      </c>
      <c r="F55" s="1">
        <v>402</v>
      </c>
      <c r="G55" s="9">
        <v>28.38</v>
      </c>
      <c r="H55" s="1">
        <v>5</v>
      </c>
      <c r="I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5" s="9">
        <f>CLIENTS_CHURN[[#This Row],[Facture_Mensuelle]]*CLIENTS_CHURN[[#This Row],[Remise (%)]]</f>
        <v>12.770999999999999</v>
      </c>
      <c r="K55">
        <f>IF(CLIENTS_CHURN[[#This Row],[Duree_Cumulee_Panne_Min]]&gt;0,1,0)</f>
        <v>1</v>
      </c>
      <c r="L55" t="str">
        <f>IF(CLIENTS_CHURN[[#This Row],[Type_Forfait]]="Pro Monde","B2B","B2C")</f>
        <v>B2C</v>
      </c>
    </row>
    <row r="56" spans="1:12" x14ac:dyDescent="0.25">
      <c r="A56" s="1">
        <f t="shared" si="0"/>
        <v>55</v>
      </c>
      <c r="B56" s="1" t="s">
        <v>521</v>
      </c>
      <c r="C56" s="1" t="s">
        <v>55</v>
      </c>
      <c r="D56" s="1">
        <v>84</v>
      </c>
      <c r="E56" s="1" t="s">
        <v>17</v>
      </c>
      <c r="F56" s="1">
        <v>380</v>
      </c>
      <c r="G56" s="9">
        <v>82.3</v>
      </c>
      <c r="H56" s="1">
        <v>1</v>
      </c>
      <c r="I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" s="9">
        <f>CLIENTS_CHURN[[#This Row],[Facture_Mensuelle]]*CLIENTS_CHURN[[#This Row],[Remise (%)]]</f>
        <v>37.034999999999997</v>
      </c>
      <c r="K56">
        <f>IF(CLIENTS_CHURN[[#This Row],[Duree_Cumulee_Panne_Min]]&gt;0,1,0)</f>
        <v>1</v>
      </c>
      <c r="L56" t="str">
        <f>IF(CLIENTS_CHURN[[#This Row],[Type_Forfait]]="Pro Monde","B2B","B2C")</f>
        <v>B2C</v>
      </c>
    </row>
    <row r="57" spans="1:12" x14ac:dyDescent="0.25">
      <c r="A57" s="1">
        <f t="shared" si="0"/>
        <v>56</v>
      </c>
      <c r="B57" s="1" t="s">
        <v>645</v>
      </c>
      <c r="C57" s="1" t="s">
        <v>42</v>
      </c>
      <c r="D57" s="1">
        <v>22</v>
      </c>
      <c r="E57" s="1" t="s">
        <v>12</v>
      </c>
      <c r="F57" s="1">
        <v>457</v>
      </c>
      <c r="G57" s="9">
        <v>13.21</v>
      </c>
      <c r="H57" s="1">
        <v>1</v>
      </c>
      <c r="I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" s="9">
        <f>CLIENTS_CHURN[[#This Row],[Facture_Mensuelle]]*CLIENTS_CHURN[[#This Row],[Remise (%)]]</f>
        <v>5.9445000000000006</v>
      </c>
      <c r="K57">
        <f>IF(CLIENTS_CHURN[[#This Row],[Duree_Cumulee_Panne_Min]]&gt;0,1,0)</f>
        <v>1</v>
      </c>
      <c r="L57" t="str">
        <f>IF(CLIENTS_CHURN[[#This Row],[Type_Forfait]]="Pro Monde","B2B","B2C")</f>
        <v>B2B</v>
      </c>
    </row>
    <row r="58" spans="1:12" x14ac:dyDescent="0.25">
      <c r="A58" s="1">
        <f t="shared" si="0"/>
        <v>57</v>
      </c>
      <c r="B58" s="1" t="s">
        <v>259</v>
      </c>
      <c r="C58" s="1" t="s">
        <v>27</v>
      </c>
      <c r="D58" s="1">
        <v>91</v>
      </c>
      <c r="E58" s="1" t="s">
        <v>17</v>
      </c>
      <c r="F58" s="1">
        <v>188</v>
      </c>
      <c r="G58" s="9">
        <v>65.78</v>
      </c>
      <c r="H58" s="1">
        <v>4</v>
      </c>
      <c r="I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8" s="9">
        <f>CLIENTS_CHURN[[#This Row],[Facture_Mensuelle]]*CLIENTS_CHURN[[#This Row],[Remise (%)]]</f>
        <v>0</v>
      </c>
      <c r="K58">
        <f>IF(CLIENTS_CHURN[[#This Row],[Duree_Cumulee_Panne_Min]]&gt;0,1,0)</f>
        <v>1</v>
      </c>
      <c r="L58" t="str">
        <f>IF(CLIENTS_CHURN[[#This Row],[Type_Forfait]]="Pro Monde","B2B","B2C")</f>
        <v>B2C</v>
      </c>
    </row>
    <row r="59" spans="1:12" x14ac:dyDescent="0.25">
      <c r="A59" s="1">
        <f t="shared" si="0"/>
        <v>58</v>
      </c>
      <c r="B59" s="1" t="s">
        <v>655</v>
      </c>
      <c r="C59" s="1" t="s">
        <v>24</v>
      </c>
      <c r="D59" s="1">
        <v>1</v>
      </c>
      <c r="E59" s="1" t="s">
        <v>17</v>
      </c>
      <c r="F59" s="1">
        <v>135</v>
      </c>
      <c r="G59" s="9">
        <v>89.16</v>
      </c>
      <c r="H59" s="1">
        <v>3</v>
      </c>
      <c r="I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" s="9">
        <f>CLIENTS_CHURN[[#This Row],[Facture_Mensuelle]]*CLIENTS_CHURN[[#This Row],[Remise (%)]]</f>
        <v>0</v>
      </c>
      <c r="K59">
        <f>IF(CLIENTS_CHURN[[#This Row],[Duree_Cumulee_Panne_Min]]&gt;0,1,0)</f>
        <v>1</v>
      </c>
      <c r="L59" t="str">
        <f>IF(CLIENTS_CHURN[[#This Row],[Type_Forfait]]="Pro Monde","B2B","B2C")</f>
        <v>B2C</v>
      </c>
    </row>
    <row r="60" spans="1:12" x14ac:dyDescent="0.25">
      <c r="A60" s="1">
        <f t="shared" si="0"/>
        <v>59</v>
      </c>
      <c r="B60" s="1" t="s">
        <v>56</v>
      </c>
      <c r="C60" s="1" t="s">
        <v>31</v>
      </c>
      <c r="D60" s="1">
        <v>15</v>
      </c>
      <c r="E60" s="1" t="s">
        <v>12</v>
      </c>
      <c r="F60" s="1">
        <v>403</v>
      </c>
      <c r="G60" s="9">
        <v>77.12</v>
      </c>
      <c r="H60" s="1">
        <v>1</v>
      </c>
      <c r="I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0" s="9">
        <f>CLIENTS_CHURN[[#This Row],[Facture_Mensuelle]]*CLIENTS_CHURN[[#This Row],[Remise (%)]]</f>
        <v>34.704000000000001</v>
      </c>
      <c r="K60">
        <f>IF(CLIENTS_CHURN[[#This Row],[Duree_Cumulee_Panne_Min]]&gt;0,1,0)</f>
        <v>1</v>
      </c>
      <c r="L60" t="str">
        <f>IF(CLIENTS_CHURN[[#This Row],[Type_Forfait]]="Pro Monde","B2B","B2C")</f>
        <v>B2B</v>
      </c>
    </row>
    <row r="61" spans="1:12" x14ac:dyDescent="0.25">
      <c r="A61" s="1">
        <f t="shared" si="0"/>
        <v>60</v>
      </c>
      <c r="B61" s="1" t="s">
        <v>289</v>
      </c>
      <c r="C61" s="1" t="s">
        <v>29</v>
      </c>
      <c r="D61" s="1">
        <v>50</v>
      </c>
      <c r="E61" s="1" t="s">
        <v>12</v>
      </c>
      <c r="F61" s="1">
        <v>108</v>
      </c>
      <c r="G61" s="9">
        <v>43.81</v>
      </c>
      <c r="H61" s="1">
        <v>5</v>
      </c>
      <c r="I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1" s="9">
        <f>CLIENTS_CHURN[[#This Row],[Facture_Mensuelle]]*CLIENTS_CHURN[[#This Row],[Remise (%)]]</f>
        <v>4.3810000000000002</v>
      </c>
      <c r="K61">
        <f>IF(CLIENTS_CHURN[[#This Row],[Duree_Cumulee_Panne_Min]]&gt;0,1,0)</f>
        <v>1</v>
      </c>
      <c r="L61" t="str">
        <f>IF(CLIENTS_CHURN[[#This Row],[Type_Forfait]]="Pro Monde","B2B","B2C")</f>
        <v>B2B</v>
      </c>
    </row>
    <row r="62" spans="1:12" x14ac:dyDescent="0.25">
      <c r="A62" s="1">
        <f t="shared" si="0"/>
        <v>61</v>
      </c>
      <c r="B62" s="1" t="s">
        <v>371</v>
      </c>
      <c r="C62" s="1" t="s">
        <v>76</v>
      </c>
      <c r="D62" s="1">
        <v>19</v>
      </c>
      <c r="E62" s="1" t="s">
        <v>17</v>
      </c>
      <c r="F62" s="1">
        <v>305</v>
      </c>
      <c r="G62" s="9">
        <v>81.11</v>
      </c>
      <c r="H62" s="1">
        <v>1</v>
      </c>
      <c r="I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" s="9">
        <f>CLIENTS_CHURN[[#This Row],[Facture_Mensuelle]]*CLIENTS_CHURN[[#This Row],[Remise (%)]]</f>
        <v>36.499499999999998</v>
      </c>
      <c r="K62">
        <f>IF(CLIENTS_CHURN[[#This Row],[Duree_Cumulee_Panne_Min]]&gt;0,1,0)</f>
        <v>1</v>
      </c>
      <c r="L62" t="str">
        <f>IF(CLIENTS_CHURN[[#This Row],[Type_Forfait]]="Pro Monde","B2B","B2C")</f>
        <v>B2C</v>
      </c>
    </row>
    <row r="63" spans="1:12" x14ac:dyDescent="0.25">
      <c r="A63" s="1">
        <f t="shared" si="0"/>
        <v>62</v>
      </c>
      <c r="B63" s="1" t="s">
        <v>712</v>
      </c>
      <c r="C63" s="1" t="s">
        <v>65</v>
      </c>
      <c r="D63" s="1">
        <v>56</v>
      </c>
      <c r="E63" s="1" t="s">
        <v>17</v>
      </c>
      <c r="F63" s="1">
        <v>27</v>
      </c>
      <c r="G63" s="9">
        <v>46.41</v>
      </c>
      <c r="H63" s="1">
        <v>3</v>
      </c>
      <c r="I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" s="9">
        <f>CLIENTS_CHURN[[#This Row],[Facture_Mensuelle]]*CLIENTS_CHURN[[#This Row],[Remise (%)]]</f>
        <v>0</v>
      </c>
      <c r="K63">
        <f>IF(CLIENTS_CHURN[[#This Row],[Duree_Cumulee_Panne_Min]]&gt;0,1,0)</f>
        <v>1</v>
      </c>
      <c r="L63" t="str">
        <f>IF(CLIENTS_CHURN[[#This Row],[Type_Forfait]]="Pro Monde","B2B","B2C")</f>
        <v>B2C</v>
      </c>
    </row>
    <row r="64" spans="1:12" x14ac:dyDescent="0.25">
      <c r="A64" s="1">
        <f t="shared" si="0"/>
        <v>63</v>
      </c>
      <c r="B64" s="1" t="s">
        <v>694</v>
      </c>
      <c r="C64" s="1" t="s">
        <v>31</v>
      </c>
      <c r="D64" s="1">
        <v>39</v>
      </c>
      <c r="E64" s="1" t="s">
        <v>12</v>
      </c>
      <c r="F64" s="1">
        <v>289</v>
      </c>
      <c r="G64" s="9">
        <v>86.7</v>
      </c>
      <c r="H64" s="1">
        <v>3</v>
      </c>
      <c r="I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" s="9">
        <f>CLIENTS_CHURN[[#This Row],[Facture_Mensuelle]]*CLIENTS_CHURN[[#This Row],[Remise (%)]]</f>
        <v>39.015000000000001</v>
      </c>
      <c r="K64">
        <f>IF(CLIENTS_CHURN[[#This Row],[Duree_Cumulee_Panne_Min]]&gt;0,1,0)</f>
        <v>1</v>
      </c>
      <c r="L64" t="str">
        <f>IF(CLIENTS_CHURN[[#This Row],[Type_Forfait]]="Pro Monde","B2B","B2C")</f>
        <v>B2B</v>
      </c>
    </row>
    <row r="65" spans="1:12" x14ac:dyDescent="0.25">
      <c r="A65" s="1">
        <f t="shared" si="0"/>
        <v>64</v>
      </c>
      <c r="B65" s="1" t="s">
        <v>305</v>
      </c>
      <c r="C65" s="1" t="s">
        <v>42</v>
      </c>
      <c r="D65" s="1">
        <v>98</v>
      </c>
      <c r="E65" s="1" t="s">
        <v>9</v>
      </c>
      <c r="F65" s="1">
        <v>319</v>
      </c>
      <c r="G65" s="9">
        <v>88.58</v>
      </c>
      <c r="H65" s="1">
        <v>0</v>
      </c>
      <c r="I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" s="9">
        <f>CLIENTS_CHURN[[#This Row],[Facture_Mensuelle]]*CLIENTS_CHURN[[#This Row],[Remise (%)]]</f>
        <v>39.860999999999997</v>
      </c>
      <c r="K65">
        <f>IF(CLIENTS_CHURN[[#This Row],[Duree_Cumulee_Panne_Min]]&gt;0,1,0)</f>
        <v>1</v>
      </c>
      <c r="L65" t="str">
        <f>IF(CLIENTS_CHURN[[#This Row],[Type_Forfait]]="Pro Monde","B2B","B2C")</f>
        <v>B2C</v>
      </c>
    </row>
    <row r="66" spans="1:12" x14ac:dyDescent="0.25">
      <c r="A66" s="1">
        <f t="shared" si="0"/>
        <v>65</v>
      </c>
      <c r="B66" s="1" t="s">
        <v>423</v>
      </c>
      <c r="C66" s="1" t="s">
        <v>62</v>
      </c>
      <c r="D66" s="1">
        <v>71</v>
      </c>
      <c r="E66" s="1" t="s">
        <v>9</v>
      </c>
      <c r="F66" s="1">
        <v>191</v>
      </c>
      <c r="G66" s="9">
        <v>83.04</v>
      </c>
      <c r="H66" s="1">
        <v>4</v>
      </c>
      <c r="I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6" s="9">
        <f>CLIENTS_CHURN[[#This Row],[Facture_Mensuelle]]*CLIENTS_CHURN[[#This Row],[Remise (%)]]</f>
        <v>0</v>
      </c>
      <c r="K66">
        <f>IF(CLIENTS_CHURN[[#This Row],[Duree_Cumulee_Panne_Min]]&gt;0,1,0)</f>
        <v>1</v>
      </c>
      <c r="L66" t="str">
        <f>IF(CLIENTS_CHURN[[#This Row],[Type_Forfait]]="Pro Monde","B2B","B2C")</f>
        <v>B2C</v>
      </c>
    </row>
    <row r="67" spans="1:12" x14ac:dyDescent="0.25">
      <c r="A67" s="1">
        <f t="shared" si="0"/>
        <v>66</v>
      </c>
      <c r="B67" s="1" t="s">
        <v>75</v>
      </c>
      <c r="C67" s="1" t="s">
        <v>76</v>
      </c>
      <c r="D67" s="1">
        <v>81</v>
      </c>
      <c r="E67" s="1" t="s">
        <v>12</v>
      </c>
      <c r="F67" s="1">
        <v>154</v>
      </c>
      <c r="G67" s="9">
        <v>19.47</v>
      </c>
      <c r="H67" s="1">
        <v>3</v>
      </c>
      <c r="I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7" s="9">
        <f>CLIENTS_CHURN[[#This Row],[Facture_Mensuelle]]*CLIENTS_CHURN[[#This Row],[Remise (%)]]</f>
        <v>1.9470000000000001</v>
      </c>
      <c r="K67">
        <f>IF(CLIENTS_CHURN[[#This Row],[Duree_Cumulee_Panne_Min]]&gt;0,1,0)</f>
        <v>1</v>
      </c>
      <c r="L67" t="str">
        <f>IF(CLIENTS_CHURN[[#This Row],[Type_Forfait]]="Pro Monde","B2B","B2C")</f>
        <v>B2B</v>
      </c>
    </row>
    <row r="68" spans="1:12" x14ac:dyDescent="0.25">
      <c r="A68" s="1">
        <f t="shared" ref="A68:A131" si="1">A67+1</f>
        <v>67</v>
      </c>
      <c r="B68" s="1" t="s">
        <v>551</v>
      </c>
      <c r="C68" s="1" t="s">
        <v>22</v>
      </c>
      <c r="D68" s="1">
        <v>34</v>
      </c>
      <c r="E68" s="1" t="s">
        <v>17</v>
      </c>
      <c r="F68" s="1">
        <v>35</v>
      </c>
      <c r="G68" s="9">
        <v>76.86</v>
      </c>
      <c r="H68" s="1">
        <v>1</v>
      </c>
      <c r="I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8" s="9">
        <f>CLIENTS_CHURN[[#This Row],[Facture_Mensuelle]]*CLIENTS_CHURN[[#This Row],[Remise (%)]]</f>
        <v>0</v>
      </c>
      <c r="K68">
        <f>IF(CLIENTS_CHURN[[#This Row],[Duree_Cumulee_Panne_Min]]&gt;0,1,0)</f>
        <v>1</v>
      </c>
      <c r="L68" t="str">
        <f>IF(CLIENTS_CHURN[[#This Row],[Type_Forfait]]="Pro Monde","B2B","B2C")</f>
        <v>B2C</v>
      </c>
    </row>
    <row r="69" spans="1:12" x14ac:dyDescent="0.25">
      <c r="A69" s="1">
        <f t="shared" si="1"/>
        <v>68</v>
      </c>
      <c r="B69" s="1" t="s">
        <v>597</v>
      </c>
      <c r="C69" s="1" t="s">
        <v>22</v>
      </c>
      <c r="D69" s="1">
        <v>55</v>
      </c>
      <c r="E69" s="1" t="s">
        <v>20</v>
      </c>
      <c r="F69" s="1">
        <v>60</v>
      </c>
      <c r="G69" s="9">
        <v>32.51</v>
      </c>
      <c r="H69" s="1">
        <v>4</v>
      </c>
      <c r="I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9" s="9">
        <f>CLIENTS_CHURN[[#This Row],[Facture_Mensuelle]]*CLIENTS_CHURN[[#This Row],[Remise (%)]]</f>
        <v>0</v>
      </c>
      <c r="K69">
        <f>IF(CLIENTS_CHURN[[#This Row],[Duree_Cumulee_Panne_Min]]&gt;0,1,0)</f>
        <v>1</v>
      </c>
      <c r="L69" t="str">
        <f>IF(CLIENTS_CHURN[[#This Row],[Type_Forfait]]="Pro Monde","B2B","B2C")</f>
        <v>B2C</v>
      </c>
    </row>
    <row r="70" spans="1:12" x14ac:dyDescent="0.25">
      <c r="A70" s="1">
        <f t="shared" si="1"/>
        <v>69</v>
      </c>
      <c r="B70" s="1" t="s">
        <v>485</v>
      </c>
      <c r="C70" s="1" t="s">
        <v>71</v>
      </c>
      <c r="D70" s="1">
        <v>47</v>
      </c>
      <c r="E70" s="1" t="s">
        <v>12</v>
      </c>
      <c r="F70" s="1">
        <v>107</v>
      </c>
      <c r="G70" s="9">
        <v>35.380000000000003</v>
      </c>
      <c r="H70" s="1">
        <v>1</v>
      </c>
      <c r="I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0" s="9">
        <f>CLIENTS_CHURN[[#This Row],[Facture_Mensuelle]]*CLIENTS_CHURN[[#This Row],[Remise (%)]]</f>
        <v>3.5380000000000003</v>
      </c>
      <c r="K70">
        <f>IF(CLIENTS_CHURN[[#This Row],[Duree_Cumulee_Panne_Min]]&gt;0,1,0)</f>
        <v>1</v>
      </c>
      <c r="L70" t="str">
        <f>IF(CLIENTS_CHURN[[#This Row],[Type_Forfait]]="Pro Monde","B2B","B2C")</f>
        <v>B2B</v>
      </c>
    </row>
    <row r="71" spans="1:12" x14ac:dyDescent="0.25">
      <c r="A71" s="1">
        <f t="shared" si="1"/>
        <v>70</v>
      </c>
      <c r="B71" s="1" t="s">
        <v>507</v>
      </c>
      <c r="C71" s="1" t="s">
        <v>128</v>
      </c>
      <c r="D71" s="1">
        <v>48</v>
      </c>
      <c r="E71" s="1" t="s">
        <v>20</v>
      </c>
      <c r="F71" s="1">
        <v>187</v>
      </c>
      <c r="G71" s="9">
        <v>21.26</v>
      </c>
      <c r="H71" s="1">
        <v>2</v>
      </c>
      <c r="I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1" s="9">
        <f>CLIENTS_CHURN[[#This Row],[Facture_Mensuelle]]*CLIENTS_CHURN[[#This Row],[Remise (%)]]</f>
        <v>0</v>
      </c>
      <c r="K71">
        <f>IF(CLIENTS_CHURN[[#This Row],[Duree_Cumulee_Panne_Min]]&gt;0,1,0)</f>
        <v>1</v>
      </c>
      <c r="L71" t="str">
        <f>IF(CLIENTS_CHURN[[#This Row],[Type_Forfait]]="Pro Monde","B2B","B2C")</f>
        <v>B2C</v>
      </c>
    </row>
    <row r="72" spans="1:12" x14ac:dyDescent="0.25">
      <c r="A72" s="1">
        <f t="shared" si="1"/>
        <v>71</v>
      </c>
      <c r="B72" s="1" t="s">
        <v>388</v>
      </c>
      <c r="C72" s="1" t="s">
        <v>128</v>
      </c>
      <c r="D72" s="1">
        <v>47</v>
      </c>
      <c r="E72" s="1" t="s">
        <v>12</v>
      </c>
      <c r="F72" s="1">
        <v>378</v>
      </c>
      <c r="G72" s="9">
        <v>36.42</v>
      </c>
      <c r="H72" s="1">
        <v>1</v>
      </c>
      <c r="I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" s="9">
        <f>CLIENTS_CHURN[[#This Row],[Facture_Mensuelle]]*CLIENTS_CHURN[[#This Row],[Remise (%)]]</f>
        <v>16.389000000000003</v>
      </c>
      <c r="K72">
        <f>IF(CLIENTS_CHURN[[#This Row],[Duree_Cumulee_Panne_Min]]&gt;0,1,0)</f>
        <v>1</v>
      </c>
      <c r="L72" t="str">
        <f>IF(CLIENTS_CHURN[[#This Row],[Type_Forfait]]="Pro Monde","B2B","B2C")</f>
        <v>B2B</v>
      </c>
    </row>
    <row r="73" spans="1:12" x14ac:dyDescent="0.25">
      <c r="A73" s="1">
        <f t="shared" si="1"/>
        <v>72</v>
      </c>
      <c r="B73" s="1" t="s">
        <v>577</v>
      </c>
      <c r="C73" s="1" t="s">
        <v>33</v>
      </c>
      <c r="D73" s="1">
        <v>109</v>
      </c>
      <c r="E73" s="1" t="s">
        <v>20</v>
      </c>
      <c r="F73" s="1">
        <v>84</v>
      </c>
      <c r="G73" s="9">
        <v>97.46</v>
      </c>
      <c r="H73" s="1">
        <v>5</v>
      </c>
      <c r="I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3" s="9">
        <f>CLIENTS_CHURN[[#This Row],[Facture_Mensuelle]]*CLIENTS_CHURN[[#This Row],[Remise (%)]]</f>
        <v>0</v>
      </c>
      <c r="K73">
        <f>IF(CLIENTS_CHURN[[#This Row],[Duree_Cumulee_Panne_Min]]&gt;0,1,0)</f>
        <v>1</v>
      </c>
      <c r="L73" t="str">
        <f>IF(CLIENTS_CHURN[[#This Row],[Type_Forfait]]="Pro Monde","B2B","B2C")</f>
        <v>B2C</v>
      </c>
    </row>
    <row r="74" spans="1:12" x14ac:dyDescent="0.25">
      <c r="A74" s="1">
        <f t="shared" si="1"/>
        <v>73</v>
      </c>
      <c r="B74" s="1" t="s">
        <v>224</v>
      </c>
      <c r="C74" s="1" t="s">
        <v>24</v>
      </c>
      <c r="D74" s="1">
        <v>40</v>
      </c>
      <c r="E74" s="1" t="s">
        <v>20</v>
      </c>
      <c r="F74" s="1">
        <v>219</v>
      </c>
      <c r="G74" s="9">
        <v>53.98</v>
      </c>
      <c r="H74" s="1">
        <v>2</v>
      </c>
      <c r="I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4" s="9">
        <f>CLIENTS_CHURN[[#This Row],[Facture_Mensuelle]]*CLIENTS_CHURN[[#This Row],[Remise (%)]]</f>
        <v>0</v>
      </c>
      <c r="K74">
        <f>IF(CLIENTS_CHURN[[#This Row],[Duree_Cumulee_Panne_Min]]&gt;0,1,0)</f>
        <v>1</v>
      </c>
      <c r="L74" t="str">
        <f>IF(CLIENTS_CHURN[[#This Row],[Type_Forfait]]="Pro Monde","B2B","B2C")</f>
        <v>B2C</v>
      </c>
    </row>
    <row r="75" spans="1:12" x14ac:dyDescent="0.25">
      <c r="A75" s="1">
        <f t="shared" si="1"/>
        <v>74</v>
      </c>
      <c r="B75" s="1" t="s">
        <v>736</v>
      </c>
      <c r="C75" s="1" t="s">
        <v>11</v>
      </c>
      <c r="D75" s="1">
        <v>56</v>
      </c>
      <c r="E75" s="1" t="s">
        <v>20</v>
      </c>
      <c r="F75" s="1">
        <v>367</v>
      </c>
      <c r="G75" s="9">
        <v>72.790000000000006</v>
      </c>
      <c r="H75" s="1">
        <v>1</v>
      </c>
      <c r="I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5" s="9">
        <f>CLIENTS_CHURN[[#This Row],[Facture_Mensuelle]]*CLIENTS_CHURN[[#This Row],[Remise (%)]]</f>
        <v>32.755500000000005</v>
      </c>
      <c r="K75">
        <f>IF(CLIENTS_CHURN[[#This Row],[Duree_Cumulee_Panne_Min]]&gt;0,1,0)</f>
        <v>1</v>
      </c>
      <c r="L75" t="str">
        <f>IF(CLIENTS_CHURN[[#This Row],[Type_Forfait]]="Pro Monde","B2B","B2C")</f>
        <v>B2C</v>
      </c>
    </row>
    <row r="76" spans="1:12" x14ac:dyDescent="0.25">
      <c r="A76" s="1">
        <f t="shared" si="1"/>
        <v>75</v>
      </c>
      <c r="B76" s="1" t="s">
        <v>517</v>
      </c>
      <c r="C76" s="1" t="s">
        <v>49</v>
      </c>
      <c r="D76" s="1">
        <v>111</v>
      </c>
      <c r="E76" s="1" t="s">
        <v>17</v>
      </c>
      <c r="F76" s="1">
        <v>76</v>
      </c>
      <c r="G76" s="9">
        <v>38.19</v>
      </c>
      <c r="H76" s="1">
        <v>5</v>
      </c>
      <c r="I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6" s="9">
        <f>CLIENTS_CHURN[[#This Row],[Facture_Mensuelle]]*CLIENTS_CHURN[[#This Row],[Remise (%)]]</f>
        <v>0</v>
      </c>
      <c r="K76">
        <f>IF(CLIENTS_CHURN[[#This Row],[Duree_Cumulee_Panne_Min]]&gt;0,1,0)</f>
        <v>1</v>
      </c>
      <c r="L76" t="str">
        <f>IF(CLIENTS_CHURN[[#This Row],[Type_Forfait]]="Pro Monde","B2B","B2C")</f>
        <v>B2C</v>
      </c>
    </row>
    <row r="77" spans="1:12" x14ac:dyDescent="0.25">
      <c r="A77" s="1">
        <f t="shared" si="1"/>
        <v>76</v>
      </c>
      <c r="B77" s="1" t="s">
        <v>121</v>
      </c>
      <c r="C77" s="1" t="s">
        <v>33</v>
      </c>
      <c r="D77" s="1">
        <v>99</v>
      </c>
      <c r="E77" s="1" t="s">
        <v>20</v>
      </c>
      <c r="F77" s="1">
        <v>493</v>
      </c>
      <c r="G77" s="9">
        <v>55.43</v>
      </c>
      <c r="H77" s="1">
        <v>2</v>
      </c>
      <c r="I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7" s="9">
        <f>CLIENTS_CHURN[[#This Row],[Facture_Mensuelle]]*CLIENTS_CHURN[[#This Row],[Remise (%)]]</f>
        <v>24.9435</v>
      </c>
      <c r="K77">
        <f>IF(CLIENTS_CHURN[[#This Row],[Duree_Cumulee_Panne_Min]]&gt;0,1,0)</f>
        <v>1</v>
      </c>
      <c r="L77" t="str">
        <f>IF(CLIENTS_CHURN[[#This Row],[Type_Forfait]]="Pro Monde","B2B","B2C")</f>
        <v>B2C</v>
      </c>
    </row>
    <row r="78" spans="1:12" x14ac:dyDescent="0.25">
      <c r="A78" s="1">
        <f t="shared" si="1"/>
        <v>77</v>
      </c>
      <c r="B78" s="1" t="s">
        <v>633</v>
      </c>
      <c r="C78" s="1" t="s">
        <v>86</v>
      </c>
      <c r="D78" s="1">
        <v>56</v>
      </c>
      <c r="E78" s="1" t="s">
        <v>9</v>
      </c>
      <c r="F78" s="1">
        <v>354</v>
      </c>
      <c r="G78" s="9">
        <v>32.08</v>
      </c>
      <c r="H78" s="1">
        <v>1</v>
      </c>
      <c r="I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8" s="9">
        <f>CLIENTS_CHURN[[#This Row],[Facture_Mensuelle]]*CLIENTS_CHURN[[#This Row],[Remise (%)]]</f>
        <v>14.436</v>
      </c>
      <c r="K78">
        <f>IF(CLIENTS_CHURN[[#This Row],[Duree_Cumulee_Panne_Min]]&gt;0,1,0)</f>
        <v>1</v>
      </c>
      <c r="L78" t="str">
        <f>IF(CLIENTS_CHURN[[#This Row],[Type_Forfait]]="Pro Monde","B2B","B2C")</f>
        <v>B2C</v>
      </c>
    </row>
    <row r="79" spans="1:12" x14ac:dyDescent="0.25">
      <c r="A79" s="1">
        <f t="shared" si="1"/>
        <v>78</v>
      </c>
      <c r="B79" s="1" t="s">
        <v>260</v>
      </c>
      <c r="C79" s="1" t="s">
        <v>65</v>
      </c>
      <c r="D79" s="1">
        <v>118</v>
      </c>
      <c r="E79" s="1" t="s">
        <v>12</v>
      </c>
      <c r="F79" s="1">
        <v>22</v>
      </c>
      <c r="G79" s="9">
        <v>15.39</v>
      </c>
      <c r="H79" s="1">
        <v>1</v>
      </c>
      <c r="I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9" s="9">
        <f>CLIENTS_CHURN[[#This Row],[Facture_Mensuelle]]*CLIENTS_CHURN[[#This Row],[Remise (%)]]</f>
        <v>1.5390000000000001</v>
      </c>
      <c r="K79">
        <f>IF(CLIENTS_CHURN[[#This Row],[Duree_Cumulee_Panne_Min]]&gt;0,1,0)</f>
        <v>1</v>
      </c>
      <c r="L79" t="str">
        <f>IF(CLIENTS_CHURN[[#This Row],[Type_Forfait]]="Pro Monde","B2B","B2C")</f>
        <v>B2B</v>
      </c>
    </row>
    <row r="80" spans="1:12" x14ac:dyDescent="0.25">
      <c r="A80" s="1">
        <f t="shared" si="1"/>
        <v>79</v>
      </c>
      <c r="B80" s="1" t="s">
        <v>84</v>
      </c>
      <c r="C80" s="1" t="s">
        <v>19</v>
      </c>
      <c r="D80" s="1">
        <v>59</v>
      </c>
      <c r="E80" s="1" t="s">
        <v>20</v>
      </c>
      <c r="F80" s="1">
        <v>192</v>
      </c>
      <c r="G80" s="9">
        <v>86.17</v>
      </c>
      <c r="H80" s="1">
        <v>1</v>
      </c>
      <c r="I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80" s="9">
        <f>CLIENTS_CHURN[[#This Row],[Facture_Mensuelle]]*CLIENTS_CHURN[[#This Row],[Remise (%)]]</f>
        <v>0</v>
      </c>
      <c r="K80">
        <f>IF(CLIENTS_CHURN[[#This Row],[Duree_Cumulee_Panne_Min]]&gt;0,1,0)</f>
        <v>1</v>
      </c>
      <c r="L80" t="str">
        <f>IF(CLIENTS_CHURN[[#This Row],[Type_Forfait]]="Pro Monde","B2B","B2C")</f>
        <v>B2C</v>
      </c>
    </row>
    <row r="81" spans="1:12" x14ac:dyDescent="0.25">
      <c r="A81" s="1">
        <f t="shared" si="1"/>
        <v>80</v>
      </c>
      <c r="B81" s="1" t="s">
        <v>480</v>
      </c>
      <c r="C81" s="1" t="s">
        <v>55</v>
      </c>
      <c r="D81" s="1">
        <v>17</v>
      </c>
      <c r="E81" s="1" t="s">
        <v>17</v>
      </c>
      <c r="F81" s="1">
        <v>404</v>
      </c>
      <c r="G81" s="9">
        <v>83.4</v>
      </c>
      <c r="H81" s="1">
        <v>1</v>
      </c>
      <c r="I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1" s="9">
        <f>CLIENTS_CHURN[[#This Row],[Facture_Mensuelle]]*CLIENTS_CHURN[[#This Row],[Remise (%)]]</f>
        <v>37.53</v>
      </c>
      <c r="K81">
        <f>IF(CLIENTS_CHURN[[#This Row],[Duree_Cumulee_Panne_Min]]&gt;0,1,0)</f>
        <v>1</v>
      </c>
      <c r="L81" t="str">
        <f>IF(CLIENTS_CHURN[[#This Row],[Type_Forfait]]="Pro Monde","B2B","B2C")</f>
        <v>B2C</v>
      </c>
    </row>
    <row r="82" spans="1:12" x14ac:dyDescent="0.25">
      <c r="A82" s="1">
        <f t="shared" si="1"/>
        <v>81</v>
      </c>
      <c r="B82" s="1" t="s">
        <v>138</v>
      </c>
      <c r="C82" s="1" t="s">
        <v>35</v>
      </c>
      <c r="D82" s="1">
        <v>69</v>
      </c>
      <c r="E82" s="1" t="s">
        <v>17</v>
      </c>
      <c r="F82" s="1">
        <v>306</v>
      </c>
      <c r="G82" s="9">
        <v>13.97</v>
      </c>
      <c r="H82" s="1">
        <v>1</v>
      </c>
      <c r="I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2" s="9">
        <f>CLIENTS_CHURN[[#This Row],[Facture_Mensuelle]]*CLIENTS_CHURN[[#This Row],[Remise (%)]]</f>
        <v>6.2865000000000002</v>
      </c>
      <c r="K82">
        <f>IF(CLIENTS_CHURN[[#This Row],[Duree_Cumulee_Panne_Min]]&gt;0,1,0)</f>
        <v>1</v>
      </c>
      <c r="L82" t="str">
        <f>IF(CLIENTS_CHURN[[#This Row],[Type_Forfait]]="Pro Monde","B2B","B2C")</f>
        <v>B2C</v>
      </c>
    </row>
    <row r="83" spans="1:12" x14ac:dyDescent="0.25">
      <c r="A83" s="1">
        <f t="shared" si="1"/>
        <v>82</v>
      </c>
      <c r="B83" s="1" t="s">
        <v>648</v>
      </c>
      <c r="C83" s="1" t="s">
        <v>58</v>
      </c>
      <c r="D83" s="1">
        <v>93</v>
      </c>
      <c r="E83" s="1" t="s">
        <v>9</v>
      </c>
      <c r="F83" s="1">
        <v>136</v>
      </c>
      <c r="G83" s="9">
        <v>19.09</v>
      </c>
      <c r="H83" s="1">
        <v>1</v>
      </c>
      <c r="I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83" s="9">
        <f>CLIENTS_CHURN[[#This Row],[Facture_Mensuelle]]*CLIENTS_CHURN[[#This Row],[Remise (%)]]</f>
        <v>0</v>
      </c>
      <c r="K83">
        <f>IF(CLIENTS_CHURN[[#This Row],[Duree_Cumulee_Panne_Min]]&gt;0,1,0)</f>
        <v>1</v>
      </c>
      <c r="L83" t="str">
        <f>IF(CLIENTS_CHURN[[#This Row],[Type_Forfait]]="Pro Monde","B2B","B2C")</f>
        <v>B2C</v>
      </c>
    </row>
    <row r="84" spans="1:12" x14ac:dyDescent="0.25">
      <c r="A84" s="1">
        <f t="shared" si="1"/>
        <v>83</v>
      </c>
      <c r="B84" s="1" t="s">
        <v>470</v>
      </c>
      <c r="C84" s="1" t="s">
        <v>31</v>
      </c>
      <c r="D84" s="1">
        <v>43</v>
      </c>
      <c r="E84" s="1" t="s">
        <v>17</v>
      </c>
      <c r="F84" s="1">
        <v>20</v>
      </c>
      <c r="G84" s="9">
        <v>66.680000000000007</v>
      </c>
      <c r="H84" s="1">
        <v>5</v>
      </c>
      <c r="I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84" s="9">
        <f>CLIENTS_CHURN[[#This Row],[Facture_Mensuelle]]*CLIENTS_CHURN[[#This Row],[Remise (%)]]</f>
        <v>0</v>
      </c>
      <c r="K84">
        <f>IF(CLIENTS_CHURN[[#This Row],[Duree_Cumulee_Panne_Min]]&gt;0,1,0)</f>
        <v>1</v>
      </c>
      <c r="L84" t="str">
        <f>IF(CLIENTS_CHURN[[#This Row],[Type_Forfait]]="Pro Monde","B2B","B2C")</f>
        <v>B2C</v>
      </c>
    </row>
    <row r="85" spans="1:12" x14ac:dyDescent="0.25">
      <c r="A85" s="1">
        <f t="shared" si="1"/>
        <v>84</v>
      </c>
      <c r="B85" s="1" t="s">
        <v>678</v>
      </c>
      <c r="C85" s="1" t="s">
        <v>14</v>
      </c>
      <c r="D85" s="1">
        <v>119</v>
      </c>
      <c r="E85" s="1" t="s">
        <v>20</v>
      </c>
      <c r="F85" s="1">
        <v>475</v>
      </c>
      <c r="G85" s="9">
        <v>25.98</v>
      </c>
      <c r="H85" s="1">
        <v>4</v>
      </c>
      <c r="I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5" s="9">
        <f>CLIENTS_CHURN[[#This Row],[Facture_Mensuelle]]*CLIENTS_CHURN[[#This Row],[Remise (%)]]</f>
        <v>11.691000000000001</v>
      </c>
      <c r="K85">
        <f>IF(CLIENTS_CHURN[[#This Row],[Duree_Cumulee_Panne_Min]]&gt;0,1,0)</f>
        <v>1</v>
      </c>
      <c r="L85" t="str">
        <f>IF(CLIENTS_CHURN[[#This Row],[Type_Forfait]]="Pro Monde","B2B","B2C")</f>
        <v>B2C</v>
      </c>
    </row>
    <row r="86" spans="1:12" x14ac:dyDescent="0.25">
      <c r="A86" s="1">
        <f t="shared" si="1"/>
        <v>85</v>
      </c>
      <c r="B86" s="1" t="s">
        <v>430</v>
      </c>
      <c r="C86" s="1" t="s">
        <v>49</v>
      </c>
      <c r="D86" s="1">
        <v>41</v>
      </c>
      <c r="E86" s="1" t="s">
        <v>17</v>
      </c>
      <c r="F86" s="1">
        <v>425</v>
      </c>
      <c r="G86" s="9">
        <v>42.33</v>
      </c>
      <c r="H86" s="1">
        <v>3</v>
      </c>
      <c r="I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6" s="9">
        <f>CLIENTS_CHURN[[#This Row],[Facture_Mensuelle]]*CLIENTS_CHURN[[#This Row],[Remise (%)]]</f>
        <v>19.048500000000001</v>
      </c>
      <c r="K86">
        <f>IF(CLIENTS_CHURN[[#This Row],[Duree_Cumulee_Panne_Min]]&gt;0,1,0)</f>
        <v>1</v>
      </c>
      <c r="L86" t="str">
        <f>IF(CLIENTS_CHURN[[#This Row],[Type_Forfait]]="Pro Monde","B2B","B2C")</f>
        <v>B2C</v>
      </c>
    </row>
    <row r="87" spans="1:12" x14ac:dyDescent="0.25">
      <c r="A87" s="1">
        <f t="shared" si="1"/>
        <v>86</v>
      </c>
      <c r="B87" s="1" t="s">
        <v>322</v>
      </c>
      <c r="C87" s="1" t="s">
        <v>35</v>
      </c>
      <c r="D87" s="1">
        <v>50</v>
      </c>
      <c r="E87" s="1" t="s">
        <v>17</v>
      </c>
      <c r="F87" s="1">
        <v>248</v>
      </c>
      <c r="G87" s="9">
        <v>69.42</v>
      </c>
      <c r="H87" s="1">
        <v>0</v>
      </c>
      <c r="I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7" s="9">
        <f>CLIENTS_CHURN[[#This Row],[Facture_Mensuelle]]*CLIENTS_CHURN[[#This Row],[Remise (%)]]</f>
        <v>31.239000000000001</v>
      </c>
      <c r="K87">
        <f>IF(CLIENTS_CHURN[[#This Row],[Duree_Cumulee_Panne_Min]]&gt;0,1,0)</f>
        <v>1</v>
      </c>
      <c r="L87" t="str">
        <f>IF(CLIENTS_CHURN[[#This Row],[Type_Forfait]]="Pro Monde","B2B","B2C")</f>
        <v>B2C</v>
      </c>
    </row>
    <row r="88" spans="1:12" x14ac:dyDescent="0.25">
      <c r="A88" s="1">
        <f t="shared" si="1"/>
        <v>87</v>
      </c>
      <c r="B88" s="1" t="s">
        <v>332</v>
      </c>
      <c r="C88" s="1" t="s">
        <v>19</v>
      </c>
      <c r="D88" s="1">
        <v>47</v>
      </c>
      <c r="E88" s="1" t="s">
        <v>20</v>
      </c>
      <c r="F88" s="1">
        <v>340</v>
      </c>
      <c r="G88" s="9">
        <v>31.02</v>
      </c>
      <c r="H88" s="1">
        <v>5</v>
      </c>
      <c r="I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8" s="9">
        <f>CLIENTS_CHURN[[#This Row],[Facture_Mensuelle]]*CLIENTS_CHURN[[#This Row],[Remise (%)]]</f>
        <v>13.959</v>
      </c>
      <c r="K88">
        <f>IF(CLIENTS_CHURN[[#This Row],[Duree_Cumulee_Panne_Min]]&gt;0,1,0)</f>
        <v>1</v>
      </c>
      <c r="L88" t="str">
        <f>IF(CLIENTS_CHURN[[#This Row],[Type_Forfait]]="Pro Monde","B2B","B2C")</f>
        <v>B2C</v>
      </c>
    </row>
    <row r="89" spans="1:12" x14ac:dyDescent="0.25">
      <c r="A89" s="1">
        <f t="shared" si="1"/>
        <v>88</v>
      </c>
      <c r="B89" s="1" t="s">
        <v>567</v>
      </c>
      <c r="C89" s="1" t="s">
        <v>38</v>
      </c>
      <c r="D89" s="1">
        <v>52</v>
      </c>
      <c r="E89" s="1" t="s">
        <v>9</v>
      </c>
      <c r="F89" s="1">
        <v>425</v>
      </c>
      <c r="G89" s="9">
        <v>97.25</v>
      </c>
      <c r="H89" s="1">
        <v>0</v>
      </c>
      <c r="I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89" s="9">
        <f>CLIENTS_CHURN[[#This Row],[Facture_Mensuelle]]*CLIENTS_CHURN[[#This Row],[Remise (%)]]</f>
        <v>43.762500000000003</v>
      </c>
      <c r="K89">
        <f>IF(CLIENTS_CHURN[[#This Row],[Duree_Cumulee_Panne_Min]]&gt;0,1,0)</f>
        <v>1</v>
      </c>
      <c r="L89" t="str">
        <f>IF(CLIENTS_CHURN[[#This Row],[Type_Forfait]]="Pro Monde","B2B","B2C")</f>
        <v>B2C</v>
      </c>
    </row>
    <row r="90" spans="1:12" x14ac:dyDescent="0.25">
      <c r="A90" s="1">
        <f t="shared" si="1"/>
        <v>89</v>
      </c>
      <c r="B90" s="1" t="s">
        <v>90</v>
      </c>
      <c r="C90" s="1" t="s">
        <v>42</v>
      </c>
      <c r="D90" s="1">
        <v>20</v>
      </c>
      <c r="E90" s="1" t="s">
        <v>17</v>
      </c>
      <c r="F90" s="1">
        <v>26</v>
      </c>
      <c r="G90" s="9">
        <v>25.14</v>
      </c>
      <c r="H90" s="1">
        <v>0</v>
      </c>
      <c r="I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90" s="9">
        <f>CLIENTS_CHURN[[#This Row],[Facture_Mensuelle]]*CLIENTS_CHURN[[#This Row],[Remise (%)]]</f>
        <v>0</v>
      </c>
      <c r="K90">
        <f>IF(CLIENTS_CHURN[[#This Row],[Duree_Cumulee_Panne_Min]]&gt;0,1,0)</f>
        <v>1</v>
      </c>
      <c r="L90" t="str">
        <f>IF(CLIENTS_CHURN[[#This Row],[Type_Forfait]]="Pro Monde","B2B","B2C")</f>
        <v>B2C</v>
      </c>
    </row>
    <row r="91" spans="1:12" x14ac:dyDescent="0.25">
      <c r="A91" s="1">
        <f t="shared" si="1"/>
        <v>90</v>
      </c>
      <c r="B91" s="1" t="s">
        <v>179</v>
      </c>
      <c r="C91" s="1" t="s">
        <v>71</v>
      </c>
      <c r="D91" s="1">
        <v>43</v>
      </c>
      <c r="E91" s="1" t="s">
        <v>17</v>
      </c>
      <c r="F91" s="1">
        <v>181</v>
      </c>
      <c r="G91" s="9">
        <v>72.39</v>
      </c>
      <c r="H91" s="1">
        <v>2</v>
      </c>
      <c r="I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91" s="9">
        <f>CLIENTS_CHURN[[#This Row],[Facture_Mensuelle]]*CLIENTS_CHURN[[#This Row],[Remise (%)]]</f>
        <v>0</v>
      </c>
      <c r="K91">
        <f>IF(CLIENTS_CHURN[[#This Row],[Duree_Cumulee_Panne_Min]]&gt;0,1,0)</f>
        <v>1</v>
      </c>
      <c r="L91" t="str">
        <f>IF(CLIENTS_CHURN[[#This Row],[Type_Forfait]]="Pro Monde","B2B","B2C")</f>
        <v>B2C</v>
      </c>
    </row>
    <row r="92" spans="1:12" x14ac:dyDescent="0.25">
      <c r="A92" s="1">
        <f t="shared" si="1"/>
        <v>91</v>
      </c>
      <c r="B92" s="1" t="s">
        <v>104</v>
      </c>
      <c r="C92" s="1" t="s">
        <v>8</v>
      </c>
      <c r="D92" s="1">
        <v>44</v>
      </c>
      <c r="E92" s="1" t="s">
        <v>12</v>
      </c>
      <c r="F92" s="1">
        <v>137</v>
      </c>
      <c r="G92" s="9">
        <v>32.58</v>
      </c>
      <c r="H92" s="1">
        <v>0</v>
      </c>
      <c r="I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92" s="9">
        <f>CLIENTS_CHURN[[#This Row],[Facture_Mensuelle]]*CLIENTS_CHURN[[#This Row],[Remise (%)]]</f>
        <v>3.258</v>
      </c>
      <c r="K92">
        <f>IF(CLIENTS_CHURN[[#This Row],[Duree_Cumulee_Panne_Min]]&gt;0,1,0)</f>
        <v>1</v>
      </c>
      <c r="L92" t="str">
        <f>IF(CLIENTS_CHURN[[#This Row],[Type_Forfait]]="Pro Monde","B2B","B2C")</f>
        <v>B2B</v>
      </c>
    </row>
    <row r="93" spans="1:12" x14ac:dyDescent="0.25">
      <c r="A93" s="1">
        <f t="shared" si="1"/>
        <v>92</v>
      </c>
      <c r="B93" s="1" t="s">
        <v>483</v>
      </c>
      <c r="C93" s="1" t="s">
        <v>24</v>
      </c>
      <c r="D93" s="1">
        <v>95</v>
      </c>
      <c r="E93" s="1" t="s">
        <v>12</v>
      </c>
      <c r="F93" s="1">
        <v>127</v>
      </c>
      <c r="G93" s="9">
        <v>94.9</v>
      </c>
      <c r="H93" s="1">
        <v>4</v>
      </c>
      <c r="I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93" s="9">
        <f>CLIENTS_CHURN[[#This Row],[Facture_Mensuelle]]*CLIENTS_CHURN[[#This Row],[Remise (%)]]</f>
        <v>9.49</v>
      </c>
      <c r="K93">
        <f>IF(CLIENTS_CHURN[[#This Row],[Duree_Cumulee_Panne_Min]]&gt;0,1,0)</f>
        <v>1</v>
      </c>
      <c r="L93" t="str">
        <f>IF(CLIENTS_CHURN[[#This Row],[Type_Forfait]]="Pro Monde","B2B","B2C")</f>
        <v>B2B</v>
      </c>
    </row>
    <row r="94" spans="1:12" x14ac:dyDescent="0.25">
      <c r="A94" s="1">
        <f t="shared" si="1"/>
        <v>93</v>
      </c>
      <c r="B94" s="1" t="s">
        <v>695</v>
      </c>
      <c r="C94" s="1" t="s">
        <v>128</v>
      </c>
      <c r="D94" s="1">
        <v>63</v>
      </c>
      <c r="E94" s="1" t="s">
        <v>12</v>
      </c>
      <c r="F94" s="1">
        <v>449</v>
      </c>
      <c r="G94" s="9">
        <v>37.08</v>
      </c>
      <c r="H94" s="1">
        <v>0</v>
      </c>
      <c r="I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94" s="9">
        <f>CLIENTS_CHURN[[#This Row],[Facture_Mensuelle]]*CLIENTS_CHURN[[#This Row],[Remise (%)]]</f>
        <v>16.686</v>
      </c>
      <c r="K94">
        <f>IF(CLIENTS_CHURN[[#This Row],[Duree_Cumulee_Panne_Min]]&gt;0,1,0)</f>
        <v>1</v>
      </c>
      <c r="L94" t="str">
        <f>IF(CLIENTS_CHURN[[#This Row],[Type_Forfait]]="Pro Monde","B2B","B2C")</f>
        <v>B2B</v>
      </c>
    </row>
    <row r="95" spans="1:12" x14ac:dyDescent="0.25">
      <c r="A95" s="1">
        <f t="shared" si="1"/>
        <v>94</v>
      </c>
      <c r="B95" s="1" t="s">
        <v>433</v>
      </c>
      <c r="C95" s="1" t="s">
        <v>8</v>
      </c>
      <c r="D95" s="1">
        <v>24</v>
      </c>
      <c r="E95" s="1" t="s">
        <v>20</v>
      </c>
      <c r="F95" s="1">
        <v>392</v>
      </c>
      <c r="G95" s="9">
        <v>27.06</v>
      </c>
      <c r="H95" s="1">
        <v>1</v>
      </c>
      <c r="I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95" s="9">
        <f>CLIENTS_CHURN[[#This Row],[Facture_Mensuelle]]*CLIENTS_CHURN[[#This Row],[Remise (%)]]</f>
        <v>12.177</v>
      </c>
      <c r="K95">
        <f>IF(CLIENTS_CHURN[[#This Row],[Duree_Cumulee_Panne_Min]]&gt;0,1,0)</f>
        <v>1</v>
      </c>
      <c r="L95" t="str">
        <f>IF(CLIENTS_CHURN[[#This Row],[Type_Forfait]]="Pro Monde","B2B","B2C")</f>
        <v>B2C</v>
      </c>
    </row>
    <row r="96" spans="1:12" x14ac:dyDescent="0.25">
      <c r="A96" s="1">
        <f t="shared" si="1"/>
        <v>95</v>
      </c>
      <c r="B96" s="1" t="s">
        <v>540</v>
      </c>
      <c r="C96" s="1" t="s">
        <v>35</v>
      </c>
      <c r="D96" s="1">
        <v>9</v>
      </c>
      <c r="E96" s="1" t="s">
        <v>17</v>
      </c>
      <c r="F96" s="1">
        <v>11</v>
      </c>
      <c r="G96" s="9">
        <v>72.36</v>
      </c>
      <c r="H96" s="1">
        <v>2</v>
      </c>
      <c r="I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96" s="9">
        <f>CLIENTS_CHURN[[#This Row],[Facture_Mensuelle]]*CLIENTS_CHURN[[#This Row],[Remise (%)]]</f>
        <v>0</v>
      </c>
      <c r="K96">
        <f>IF(CLIENTS_CHURN[[#This Row],[Duree_Cumulee_Panne_Min]]&gt;0,1,0)</f>
        <v>1</v>
      </c>
      <c r="L96" t="str">
        <f>IF(CLIENTS_CHURN[[#This Row],[Type_Forfait]]="Pro Monde","B2B","B2C")</f>
        <v>B2C</v>
      </c>
    </row>
    <row r="97" spans="1:12" x14ac:dyDescent="0.25">
      <c r="A97" s="1">
        <f t="shared" si="1"/>
        <v>96</v>
      </c>
      <c r="B97" s="1" t="s">
        <v>269</v>
      </c>
      <c r="C97" s="1" t="s">
        <v>31</v>
      </c>
      <c r="D97" s="1">
        <v>11</v>
      </c>
      <c r="E97" s="1" t="s">
        <v>17</v>
      </c>
      <c r="F97" s="1">
        <v>52</v>
      </c>
      <c r="G97" s="9">
        <v>76.53</v>
      </c>
      <c r="H97" s="1">
        <v>5</v>
      </c>
      <c r="I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97" s="9">
        <f>CLIENTS_CHURN[[#This Row],[Facture_Mensuelle]]*CLIENTS_CHURN[[#This Row],[Remise (%)]]</f>
        <v>0</v>
      </c>
      <c r="K97">
        <f>IF(CLIENTS_CHURN[[#This Row],[Duree_Cumulee_Panne_Min]]&gt;0,1,0)</f>
        <v>1</v>
      </c>
      <c r="L97" t="str">
        <f>IF(CLIENTS_CHURN[[#This Row],[Type_Forfait]]="Pro Monde","B2B","B2C")</f>
        <v>B2C</v>
      </c>
    </row>
    <row r="98" spans="1:12" x14ac:dyDescent="0.25">
      <c r="A98" s="1">
        <f t="shared" si="1"/>
        <v>97</v>
      </c>
      <c r="B98" s="1" t="s">
        <v>574</v>
      </c>
      <c r="C98" s="1" t="s">
        <v>62</v>
      </c>
      <c r="D98" s="1">
        <v>57</v>
      </c>
      <c r="E98" s="1" t="s">
        <v>17</v>
      </c>
      <c r="F98" s="1">
        <v>493</v>
      </c>
      <c r="G98" s="9">
        <v>43.98</v>
      </c>
      <c r="H98" s="1">
        <v>3</v>
      </c>
      <c r="I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98" s="9">
        <f>CLIENTS_CHURN[[#This Row],[Facture_Mensuelle]]*CLIENTS_CHURN[[#This Row],[Remise (%)]]</f>
        <v>19.791</v>
      </c>
      <c r="K98">
        <f>IF(CLIENTS_CHURN[[#This Row],[Duree_Cumulee_Panne_Min]]&gt;0,1,0)</f>
        <v>1</v>
      </c>
      <c r="L98" t="str">
        <f>IF(CLIENTS_CHURN[[#This Row],[Type_Forfait]]="Pro Monde","B2B","B2C")</f>
        <v>B2C</v>
      </c>
    </row>
    <row r="99" spans="1:12" x14ac:dyDescent="0.25">
      <c r="A99" s="1">
        <f t="shared" si="1"/>
        <v>98</v>
      </c>
      <c r="B99" s="1" t="s">
        <v>411</v>
      </c>
      <c r="C99" s="1" t="s">
        <v>86</v>
      </c>
      <c r="D99" s="1">
        <v>40</v>
      </c>
      <c r="E99" s="1" t="s">
        <v>17</v>
      </c>
      <c r="F99" s="1">
        <v>38</v>
      </c>
      <c r="G99" s="9">
        <v>17.63</v>
      </c>
      <c r="H99" s="1">
        <v>0</v>
      </c>
      <c r="I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99" s="9">
        <f>CLIENTS_CHURN[[#This Row],[Facture_Mensuelle]]*CLIENTS_CHURN[[#This Row],[Remise (%)]]</f>
        <v>0</v>
      </c>
      <c r="K99">
        <f>IF(CLIENTS_CHURN[[#This Row],[Duree_Cumulee_Panne_Min]]&gt;0,1,0)</f>
        <v>1</v>
      </c>
      <c r="L99" t="str">
        <f>IF(CLIENTS_CHURN[[#This Row],[Type_Forfait]]="Pro Monde","B2B","B2C")</f>
        <v>B2C</v>
      </c>
    </row>
    <row r="100" spans="1:12" x14ac:dyDescent="0.25">
      <c r="A100" s="1">
        <f t="shared" si="1"/>
        <v>99</v>
      </c>
      <c r="B100" s="1" t="s">
        <v>374</v>
      </c>
      <c r="C100" s="1" t="s">
        <v>31</v>
      </c>
      <c r="D100" s="1">
        <v>19</v>
      </c>
      <c r="E100" s="1" t="s">
        <v>20</v>
      </c>
      <c r="F100" s="1">
        <v>334</v>
      </c>
      <c r="G100" s="9">
        <v>96.91</v>
      </c>
      <c r="H100" s="1">
        <v>1</v>
      </c>
      <c r="I1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0" s="9">
        <f>CLIENTS_CHURN[[#This Row],[Facture_Mensuelle]]*CLIENTS_CHURN[[#This Row],[Remise (%)]]</f>
        <v>43.609499999999997</v>
      </c>
      <c r="K100">
        <f>IF(CLIENTS_CHURN[[#This Row],[Duree_Cumulee_Panne_Min]]&gt;0,1,0)</f>
        <v>1</v>
      </c>
      <c r="L100" t="str">
        <f>IF(CLIENTS_CHURN[[#This Row],[Type_Forfait]]="Pro Monde","B2B","B2C")</f>
        <v>B2C</v>
      </c>
    </row>
    <row r="101" spans="1:12" x14ac:dyDescent="0.25">
      <c r="A101" s="1">
        <f t="shared" si="1"/>
        <v>100</v>
      </c>
      <c r="B101" s="1" t="s">
        <v>279</v>
      </c>
      <c r="C101" s="1" t="s">
        <v>71</v>
      </c>
      <c r="D101" s="1">
        <v>108</v>
      </c>
      <c r="E101" s="1" t="s">
        <v>12</v>
      </c>
      <c r="F101" s="1">
        <v>48</v>
      </c>
      <c r="G101" s="9">
        <v>86.22</v>
      </c>
      <c r="H101" s="1">
        <v>3</v>
      </c>
      <c r="I1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01" s="9">
        <f>CLIENTS_CHURN[[#This Row],[Facture_Mensuelle]]*CLIENTS_CHURN[[#This Row],[Remise (%)]]</f>
        <v>8.6219999999999999</v>
      </c>
      <c r="K101">
        <f>IF(CLIENTS_CHURN[[#This Row],[Duree_Cumulee_Panne_Min]]&gt;0,1,0)</f>
        <v>1</v>
      </c>
      <c r="L101" t="str">
        <f>IF(CLIENTS_CHURN[[#This Row],[Type_Forfait]]="Pro Monde","B2B","B2C")</f>
        <v>B2B</v>
      </c>
    </row>
    <row r="102" spans="1:12" x14ac:dyDescent="0.25">
      <c r="A102" s="1">
        <f t="shared" si="1"/>
        <v>101</v>
      </c>
      <c r="B102" s="1" t="s">
        <v>696</v>
      </c>
      <c r="C102" s="1" t="s">
        <v>14</v>
      </c>
      <c r="D102" s="1">
        <v>37</v>
      </c>
      <c r="E102" s="1" t="s">
        <v>12</v>
      </c>
      <c r="F102" s="1">
        <v>150</v>
      </c>
      <c r="G102" s="9">
        <v>37.979999999999997</v>
      </c>
      <c r="H102" s="1">
        <v>4</v>
      </c>
      <c r="I1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02" s="9">
        <f>CLIENTS_CHURN[[#This Row],[Facture_Mensuelle]]*CLIENTS_CHURN[[#This Row],[Remise (%)]]</f>
        <v>3.798</v>
      </c>
      <c r="K102">
        <f>IF(CLIENTS_CHURN[[#This Row],[Duree_Cumulee_Panne_Min]]&gt;0,1,0)</f>
        <v>1</v>
      </c>
      <c r="L102" t="str">
        <f>IF(CLIENTS_CHURN[[#This Row],[Type_Forfait]]="Pro Monde","B2B","B2C")</f>
        <v>B2B</v>
      </c>
    </row>
    <row r="103" spans="1:12" x14ac:dyDescent="0.25">
      <c r="A103" s="1">
        <f t="shared" si="1"/>
        <v>102</v>
      </c>
      <c r="B103" s="1" t="s">
        <v>251</v>
      </c>
      <c r="C103" s="1" t="s">
        <v>27</v>
      </c>
      <c r="D103" s="1">
        <v>52</v>
      </c>
      <c r="E103" s="1" t="s">
        <v>12</v>
      </c>
      <c r="F103" s="1">
        <v>234</v>
      </c>
      <c r="G103" s="9">
        <v>62.87</v>
      </c>
      <c r="H103" s="1">
        <v>0</v>
      </c>
      <c r="I1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03" s="9">
        <f>CLIENTS_CHURN[[#This Row],[Facture_Mensuelle]]*CLIENTS_CHURN[[#This Row],[Remise (%)]]</f>
        <v>6.2869999999999999</v>
      </c>
      <c r="K103">
        <f>IF(CLIENTS_CHURN[[#This Row],[Duree_Cumulee_Panne_Min]]&gt;0,1,0)</f>
        <v>1</v>
      </c>
      <c r="L103" t="str">
        <f>IF(CLIENTS_CHURN[[#This Row],[Type_Forfait]]="Pro Monde","B2B","B2C")</f>
        <v>B2B</v>
      </c>
    </row>
    <row r="104" spans="1:12" x14ac:dyDescent="0.25">
      <c r="A104" s="1">
        <f t="shared" si="1"/>
        <v>103</v>
      </c>
      <c r="B104" s="1" t="s">
        <v>28</v>
      </c>
      <c r="C104" s="1" t="s">
        <v>29</v>
      </c>
      <c r="D104" s="1">
        <v>113</v>
      </c>
      <c r="E104" s="1" t="s">
        <v>20</v>
      </c>
      <c r="F104" s="1">
        <v>380</v>
      </c>
      <c r="G104" s="9">
        <v>12.11</v>
      </c>
      <c r="H104" s="1">
        <v>0</v>
      </c>
      <c r="I1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4" s="9">
        <f>CLIENTS_CHURN[[#This Row],[Facture_Mensuelle]]*CLIENTS_CHURN[[#This Row],[Remise (%)]]</f>
        <v>5.4494999999999996</v>
      </c>
      <c r="K104">
        <f>IF(CLIENTS_CHURN[[#This Row],[Duree_Cumulee_Panne_Min]]&gt;0,1,0)</f>
        <v>1</v>
      </c>
      <c r="L104" t="str">
        <f>IF(CLIENTS_CHURN[[#This Row],[Type_Forfait]]="Pro Monde","B2B","B2C")</f>
        <v>B2C</v>
      </c>
    </row>
    <row r="105" spans="1:12" x14ac:dyDescent="0.25">
      <c r="A105" s="1">
        <f t="shared" si="1"/>
        <v>104</v>
      </c>
      <c r="B105" s="1" t="s">
        <v>82</v>
      </c>
      <c r="C105" s="1" t="s">
        <v>58</v>
      </c>
      <c r="D105" s="1">
        <v>21</v>
      </c>
      <c r="E105" s="1" t="s">
        <v>9</v>
      </c>
      <c r="F105" s="1">
        <v>371</v>
      </c>
      <c r="G105" s="9">
        <v>48.31</v>
      </c>
      <c r="H105" s="1">
        <v>0</v>
      </c>
      <c r="I1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5" s="9">
        <f>CLIENTS_CHURN[[#This Row],[Facture_Mensuelle]]*CLIENTS_CHURN[[#This Row],[Remise (%)]]</f>
        <v>21.739500000000003</v>
      </c>
      <c r="K105">
        <f>IF(CLIENTS_CHURN[[#This Row],[Duree_Cumulee_Panne_Min]]&gt;0,1,0)</f>
        <v>1</v>
      </c>
      <c r="L105" t="str">
        <f>IF(CLIENTS_CHURN[[#This Row],[Type_Forfait]]="Pro Monde","B2B","B2C")</f>
        <v>B2C</v>
      </c>
    </row>
    <row r="106" spans="1:12" x14ac:dyDescent="0.25">
      <c r="A106" s="1">
        <f t="shared" si="1"/>
        <v>105</v>
      </c>
      <c r="B106" s="1" t="s">
        <v>428</v>
      </c>
      <c r="C106" s="1" t="s">
        <v>49</v>
      </c>
      <c r="D106" s="1">
        <v>7</v>
      </c>
      <c r="E106" s="1" t="s">
        <v>12</v>
      </c>
      <c r="F106" s="1">
        <v>347</v>
      </c>
      <c r="G106" s="9">
        <v>41.84</v>
      </c>
      <c r="H106" s="1">
        <v>2</v>
      </c>
      <c r="I1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6" s="9">
        <f>CLIENTS_CHURN[[#This Row],[Facture_Mensuelle]]*CLIENTS_CHURN[[#This Row],[Remise (%)]]</f>
        <v>18.828000000000003</v>
      </c>
      <c r="K106">
        <f>IF(CLIENTS_CHURN[[#This Row],[Duree_Cumulee_Panne_Min]]&gt;0,1,0)</f>
        <v>1</v>
      </c>
      <c r="L106" t="str">
        <f>IF(CLIENTS_CHURN[[#This Row],[Type_Forfait]]="Pro Monde","B2B","B2C")</f>
        <v>B2B</v>
      </c>
    </row>
    <row r="107" spans="1:12" x14ac:dyDescent="0.25">
      <c r="A107" s="1">
        <f t="shared" si="1"/>
        <v>106</v>
      </c>
      <c r="B107" s="1" t="s">
        <v>120</v>
      </c>
      <c r="C107" s="1" t="s">
        <v>86</v>
      </c>
      <c r="D107" s="1">
        <v>102</v>
      </c>
      <c r="E107" s="1" t="s">
        <v>12</v>
      </c>
      <c r="F107" s="1">
        <v>283</v>
      </c>
      <c r="G107" s="9">
        <v>28.98</v>
      </c>
      <c r="H107" s="1">
        <v>3</v>
      </c>
      <c r="I1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7" s="9">
        <f>CLIENTS_CHURN[[#This Row],[Facture_Mensuelle]]*CLIENTS_CHURN[[#This Row],[Remise (%)]]</f>
        <v>13.041</v>
      </c>
      <c r="K107">
        <f>IF(CLIENTS_CHURN[[#This Row],[Duree_Cumulee_Panne_Min]]&gt;0,1,0)</f>
        <v>1</v>
      </c>
      <c r="L107" t="str">
        <f>IF(CLIENTS_CHURN[[#This Row],[Type_Forfait]]="Pro Monde","B2B","B2C")</f>
        <v>B2B</v>
      </c>
    </row>
    <row r="108" spans="1:12" x14ac:dyDescent="0.25">
      <c r="A108" s="1">
        <f t="shared" si="1"/>
        <v>107</v>
      </c>
      <c r="B108" s="1" t="s">
        <v>148</v>
      </c>
      <c r="C108" s="1" t="s">
        <v>29</v>
      </c>
      <c r="D108" s="1">
        <v>87</v>
      </c>
      <c r="E108" s="1" t="s">
        <v>12</v>
      </c>
      <c r="F108" s="1">
        <v>450</v>
      </c>
      <c r="G108" s="9">
        <v>64.3</v>
      </c>
      <c r="H108" s="1">
        <v>2</v>
      </c>
      <c r="I1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8" s="9">
        <f>CLIENTS_CHURN[[#This Row],[Facture_Mensuelle]]*CLIENTS_CHURN[[#This Row],[Remise (%)]]</f>
        <v>28.934999999999999</v>
      </c>
      <c r="K108">
        <f>IF(CLIENTS_CHURN[[#This Row],[Duree_Cumulee_Panne_Min]]&gt;0,1,0)</f>
        <v>1</v>
      </c>
      <c r="L108" t="str">
        <f>IF(CLIENTS_CHURN[[#This Row],[Type_Forfait]]="Pro Monde","B2B","B2C")</f>
        <v>B2B</v>
      </c>
    </row>
    <row r="109" spans="1:12" x14ac:dyDescent="0.25">
      <c r="A109" s="1">
        <f t="shared" si="1"/>
        <v>108</v>
      </c>
      <c r="B109" s="1" t="s">
        <v>706</v>
      </c>
      <c r="C109" s="1" t="s">
        <v>11</v>
      </c>
      <c r="D109" s="1">
        <v>76</v>
      </c>
      <c r="E109" s="1" t="s">
        <v>9</v>
      </c>
      <c r="F109" s="1">
        <v>413</v>
      </c>
      <c r="G109" s="9">
        <v>28.39</v>
      </c>
      <c r="H109" s="1">
        <v>3</v>
      </c>
      <c r="I1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09" s="9">
        <f>CLIENTS_CHURN[[#This Row],[Facture_Mensuelle]]*CLIENTS_CHURN[[#This Row],[Remise (%)]]</f>
        <v>12.775500000000001</v>
      </c>
      <c r="K109">
        <f>IF(CLIENTS_CHURN[[#This Row],[Duree_Cumulee_Panne_Min]]&gt;0,1,0)</f>
        <v>1</v>
      </c>
      <c r="L109" t="str">
        <f>IF(CLIENTS_CHURN[[#This Row],[Type_Forfait]]="Pro Monde","B2B","B2C")</f>
        <v>B2C</v>
      </c>
    </row>
    <row r="110" spans="1:12" x14ac:dyDescent="0.25">
      <c r="A110" s="1">
        <f t="shared" si="1"/>
        <v>109</v>
      </c>
      <c r="B110" s="1" t="s">
        <v>358</v>
      </c>
      <c r="C110" s="1" t="s">
        <v>14</v>
      </c>
      <c r="D110" s="1">
        <v>2</v>
      </c>
      <c r="E110" s="1" t="s">
        <v>12</v>
      </c>
      <c r="F110" s="1">
        <v>496</v>
      </c>
      <c r="G110" s="9">
        <v>15.71</v>
      </c>
      <c r="H110" s="1">
        <v>3</v>
      </c>
      <c r="I1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10" s="9">
        <f>CLIENTS_CHURN[[#This Row],[Facture_Mensuelle]]*CLIENTS_CHURN[[#This Row],[Remise (%)]]</f>
        <v>7.0695000000000006</v>
      </c>
      <c r="K110">
        <f>IF(CLIENTS_CHURN[[#This Row],[Duree_Cumulee_Panne_Min]]&gt;0,1,0)</f>
        <v>1</v>
      </c>
      <c r="L110" t="str">
        <f>IF(CLIENTS_CHURN[[#This Row],[Type_Forfait]]="Pro Monde","B2B","B2C")</f>
        <v>B2B</v>
      </c>
    </row>
    <row r="111" spans="1:12" x14ac:dyDescent="0.25">
      <c r="A111" s="1">
        <f t="shared" si="1"/>
        <v>110</v>
      </c>
      <c r="B111" s="1" t="s">
        <v>482</v>
      </c>
      <c r="C111" s="1" t="s">
        <v>8</v>
      </c>
      <c r="D111" s="1">
        <v>47</v>
      </c>
      <c r="E111" s="1" t="s">
        <v>12</v>
      </c>
      <c r="F111" s="1">
        <v>328</v>
      </c>
      <c r="G111" s="9">
        <v>61.27</v>
      </c>
      <c r="H111" s="1">
        <v>3</v>
      </c>
      <c r="I1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11" s="9">
        <f>CLIENTS_CHURN[[#This Row],[Facture_Mensuelle]]*CLIENTS_CHURN[[#This Row],[Remise (%)]]</f>
        <v>27.5715</v>
      </c>
      <c r="K111">
        <f>IF(CLIENTS_CHURN[[#This Row],[Duree_Cumulee_Panne_Min]]&gt;0,1,0)</f>
        <v>1</v>
      </c>
      <c r="L111" t="str">
        <f>IF(CLIENTS_CHURN[[#This Row],[Type_Forfait]]="Pro Monde","B2B","B2C")</f>
        <v>B2B</v>
      </c>
    </row>
    <row r="112" spans="1:12" x14ac:dyDescent="0.25">
      <c r="A112" s="1">
        <f t="shared" si="1"/>
        <v>111</v>
      </c>
      <c r="B112" s="1" t="s">
        <v>459</v>
      </c>
      <c r="C112" s="1" t="s">
        <v>55</v>
      </c>
      <c r="D112" s="1">
        <v>37</v>
      </c>
      <c r="E112" s="1" t="s">
        <v>20</v>
      </c>
      <c r="F112" s="1">
        <v>151</v>
      </c>
      <c r="G112" s="9">
        <v>62.49</v>
      </c>
      <c r="H112" s="1">
        <v>3</v>
      </c>
      <c r="I1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2" s="9">
        <f>CLIENTS_CHURN[[#This Row],[Facture_Mensuelle]]*CLIENTS_CHURN[[#This Row],[Remise (%)]]</f>
        <v>0</v>
      </c>
      <c r="K112">
        <f>IF(CLIENTS_CHURN[[#This Row],[Duree_Cumulee_Panne_Min]]&gt;0,1,0)</f>
        <v>1</v>
      </c>
      <c r="L112" t="str">
        <f>IF(CLIENTS_CHURN[[#This Row],[Type_Forfait]]="Pro Monde","B2B","B2C")</f>
        <v>B2C</v>
      </c>
    </row>
    <row r="113" spans="1:12" x14ac:dyDescent="0.25">
      <c r="A113" s="1">
        <f t="shared" si="1"/>
        <v>112</v>
      </c>
      <c r="B113" s="1" t="s">
        <v>317</v>
      </c>
      <c r="C113" s="1" t="s">
        <v>29</v>
      </c>
      <c r="D113" s="1">
        <v>89</v>
      </c>
      <c r="E113" s="1" t="s">
        <v>17</v>
      </c>
      <c r="F113" s="1">
        <v>175</v>
      </c>
      <c r="G113" s="9">
        <v>32.369999999999997</v>
      </c>
      <c r="H113" s="1">
        <v>1</v>
      </c>
      <c r="I1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3" s="9">
        <f>CLIENTS_CHURN[[#This Row],[Facture_Mensuelle]]*CLIENTS_CHURN[[#This Row],[Remise (%)]]</f>
        <v>0</v>
      </c>
      <c r="K113">
        <f>IF(CLIENTS_CHURN[[#This Row],[Duree_Cumulee_Panne_Min]]&gt;0,1,0)</f>
        <v>1</v>
      </c>
      <c r="L113" t="str">
        <f>IF(CLIENTS_CHURN[[#This Row],[Type_Forfait]]="Pro Monde","B2B","B2C")</f>
        <v>B2C</v>
      </c>
    </row>
    <row r="114" spans="1:12" x14ac:dyDescent="0.25">
      <c r="A114" s="1">
        <f t="shared" si="1"/>
        <v>113</v>
      </c>
      <c r="B114" s="1" t="s">
        <v>452</v>
      </c>
      <c r="C114" s="1" t="s">
        <v>29</v>
      </c>
      <c r="D114" s="1">
        <v>6</v>
      </c>
      <c r="E114" s="1" t="s">
        <v>9</v>
      </c>
      <c r="F114" s="1">
        <v>362</v>
      </c>
      <c r="G114" s="9">
        <v>75.739999999999995</v>
      </c>
      <c r="H114" s="1">
        <v>4</v>
      </c>
      <c r="I1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14" s="9">
        <f>CLIENTS_CHURN[[#This Row],[Facture_Mensuelle]]*CLIENTS_CHURN[[#This Row],[Remise (%)]]</f>
        <v>34.082999999999998</v>
      </c>
      <c r="K114">
        <f>IF(CLIENTS_CHURN[[#This Row],[Duree_Cumulee_Panne_Min]]&gt;0,1,0)</f>
        <v>1</v>
      </c>
      <c r="L114" t="str">
        <f>IF(CLIENTS_CHURN[[#This Row],[Type_Forfait]]="Pro Monde","B2B","B2C")</f>
        <v>B2C</v>
      </c>
    </row>
    <row r="115" spans="1:12" x14ac:dyDescent="0.25">
      <c r="A115" s="1">
        <f t="shared" si="1"/>
        <v>114</v>
      </c>
      <c r="B115" s="1" t="s">
        <v>721</v>
      </c>
      <c r="C115" s="1" t="s">
        <v>49</v>
      </c>
      <c r="D115" s="1">
        <v>113</v>
      </c>
      <c r="E115" s="1" t="s">
        <v>9</v>
      </c>
      <c r="F115" s="1">
        <v>49</v>
      </c>
      <c r="G115" s="9">
        <v>48.91</v>
      </c>
      <c r="H115" s="1">
        <v>5</v>
      </c>
      <c r="I1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5" s="9">
        <f>CLIENTS_CHURN[[#This Row],[Facture_Mensuelle]]*CLIENTS_CHURN[[#This Row],[Remise (%)]]</f>
        <v>0</v>
      </c>
      <c r="K115">
        <f>IF(CLIENTS_CHURN[[#This Row],[Duree_Cumulee_Panne_Min]]&gt;0,1,0)</f>
        <v>1</v>
      </c>
      <c r="L115" t="str">
        <f>IF(CLIENTS_CHURN[[#This Row],[Type_Forfait]]="Pro Monde","B2B","B2C")</f>
        <v>B2C</v>
      </c>
    </row>
    <row r="116" spans="1:12" x14ac:dyDescent="0.25">
      <c r="A116" s="1">
        <f t="shared" si="1"/>
        <v>115</v>
      </c>
      <c r="B116" s="1" t="s">
        <v>519</v>
      </c>
      <c r="C116" s="1" t="s">
        <v>27</v>
      </c>
      <c r="D116" s="1">
        <v>20</v>
      </c>
      <c r="E116" s="1" t="s">
        <v>12</v>
      </c>
      <c r="F116" s="1">
        <v>93</v>
      </c>
      <c r="G116" s="9">
        <v>84.45</v>
      </c>
      <c r="H116" s="1">
        <v>0</v>
      </c>
      <c r="I1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16" s="9">
        <f>CLIENTS_CHURN[[#This Row],[Facture_Mensuelle]]*CLIENTS_CHURN[[#This Row],[Remise (%)]]</f>
        <v>8.4450000000000003</v>
      </c>
      <c r="K116">
        <f>IF(CLIENTS_CHURN[[#This Row],[Duree_Cumulee_Panne_Min]]&gt;0,1,0)</f>
        <v>1</v>
      </c>
      <c r="L116" t="str">
        <f>IF(CLIENTS_CHURN[[#This Row],[Type_Forfait]]="Pro Monde","B2B","B2C")</f>
        <v>B2B</v>
      </c>
    </row>
    <row r="117" spans="1:12" x14ac:dyDescent="0.25">
      <c r="A117" s="1">
        <f t="shared" si="1"/>
        <v>116</v>
      </c>
      <c r="B117" s="1" t="s">
        <v>566</v>
      </c>
      <c r="C117" s="1" t="s">
        <v>29</v>
      </c>
      <c r="D117" s="1">
        <v>37</v>
      </c>
      <c r="E117" s="1" t="s">
        <v>9</v>
      </c>
      <c r="F117" s="1">
        <v>94</v>
      </c>
      <c r="G117" s="9">
        <v>50.44</v>
      </c>
      <c r="H117" s="1">
        <v>4</v>
      </c>
      <c r="I1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7" s="9">
        <f>CLIENTS_CHURN[[#This Row],[Facture_Mensuelle]]*CLIENTS_CHURN[[#This Row],[Remise (%)]]</f>
        <v>0</v>
      </c>
      <c r="K117">
        <f>IF(CLIENTS_CHURN[[#This Row],[Duree_Cumulee_Panne_Min]]&gt;0,1,0)</f>
        <v>1</v>
      </c>
      <c r="L117" t="str">
        <f>IF(CLIENTS_CHURN[[#This Row],[Type_Forfait]]="Pro Monde","B2B","B2C")</f>
        <v>B2C</v>
      </c>
    </row>
    <row r="118" spans="1:12" x14ac:dyDescent="0.25">
      <c r="A118" s="1">
        <f t="shared" si="1"/>
        <v>117</v>
      </c>
      <c r="B118" s="1" t="s">
        <v>606</v>
      </c>
      <c r="C118" s="1" t="s">
        <v>19</v>
      </c>
      <c r="D118" s="1">
        <v>67</v>
      </c>
      <c r="E118" s="1" t="s">
        <v>20</v>
      </c>
      <c r="F118" s="1">
        <v>81</v>
      </c>
      <c r="G118" s="9">
        <v>28.52</v>
      </c>
      <c r="H118" s="1">
        <v>4</v>
      </c>
      <c r="I1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8" s="9">
        <f>CLIENTS_CHURN[[#This Row],[Facture_Mensuelle]]*CLIENTS_CHURN[[#This Row],[Remise (%)]]</f>
        <v>0</v>
      </c>
      <c r="K118">
        <f>IF(CLIENTS_CHURN[[#This Row],[Duree_Cumulee_Panne_Min]]&gt;0,1,0)</f>
        <v>1</v>
      </c>
      <c r="L118" t="str">
        <f>IF(CLIENTS_CHURN[[#This Row],[Type_Forfait]]="Pro Monde","B2B","B2C")</f>
        <v>B2C</v>
      </c>
    </row>
    <row r="119" spans="1:12" x14ac:dyDescent="0.25">
      <c r="A119" s="1">
        <f t="shared" si="1"/>
        <v>118</v>
      </c>
      <c r="B119" s="1" t="s">
        <v>261</v>
      </c>
      <c r="C119" s="1" t="s">
        <v>14</v>
      </c>
      <c r="D119" s="1">
        <v>18</v>
      </c>
      <c r="E119" s="1" t="s">
        <v>20</v>
      </c>
      <c r="F119" s="1">
        <v>34</v>
      </c>
      <c r="G119" s="9">
        <v>43.71</v>
      </c>
      <c r="H119" s="1">
        <v>1</v>
      </c>
      <c r="I1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19" s="9">
        <f>CLIENTS_CHURN[[#This Row],[Facture_Mensuelle]]*CLIENTS_CHURN[[#This Row],[Remise (%)]]</f>
        <v>0</v>
      </c>
      <c r="K119">
        <f>IF(CLIENTS_CHURN[[#This Row],[Duree_Cumulee_Panne_Min]]&gt;0,1,0)</f>
        <v>1</v>
      </c>
      <c r="L119" t="str">
        <f>IF(CLIENTS_CHURN[[#This Row],[Type_Forfait]]="Pro Monde","B2B","B2C")</f>
        <v>B2C</v>
      </c>
    </row>
    <row r="120" spans="1:12" x14ac:dyDescent="0.25">
      <c r="A120" s="1">
        <f t="shared" si="1"/>
        <v>119</v>
      </c>
      <c r="B120" s="1" t="s">
        <v>25</v>
      </c>
      <c r="C120" s="1" t="s">
        <v>22</v>
      </c>
      <c r="D120" s="1">
        <v>6</v>
      </c>
      <c r="E120" s="1" t="s">
        <v>20</v>
      </c>
      <c r="F120" s="1">
        <v>155</v>
      </c>
      <c r="G120" s="9">
        <v>40.659999999999997</v>
      </c>
      <c r="H120" s="1">
        <v>1</v>
      </c>
      <c r="I1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20" s="9">
        <f>CLIENTS_CHURN[[#This Row],[Facture_Mensuelle]]*CLIENTS_CHURN[[#This Row],[Remise (%)]]</f>
        <v>0</v>
      </c>
      <c r="K120">
        <f>IF(CLIENTS_CHURN[[#This Row],[Duree_Cumulee_Panne_Min]]&gt;0,1,0)</f>
        <v>1</v>
      </c>
      <c r="L120" t="str">
        <f>IF(CLIENTS_CHURN[[#This Row],[Type_Forfait]]="Pro Monde","B2B","B2C")</f>
        <v>B2C</v>
      </c>
    </row>
    <row r="121" spans="1:12" x14ac:dyDescent="0.25">
      <c r="A121" s="1">
        <f t="shared" si="1"/>
        <v>120</v>
      </c>
      <c r="B121" s="1" t="s">
        <v>198</v>
      </c>
      <c r="C121" s="1" t="s">
        <v>128</v>
      </c>
      <c r="D121" s="1">
        <v>92</v>
      </c>
      <c r="E121" s="1" t="s">
        <v>12</v>
      </c>
      <c r="F121" s="1">
        <v>487</v>
      </c>
      <c r="G121" s="9">
        <v>58.38</v>
      </c>
      <c r="H121" s="1">
        <v>1</v>
      </c>
      <c r="I1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21" s="9">
        <f>CLIENTS_CHURN[[#This Row],[Facture_Mensuelle]]*CLIENTS_CHURN[[#This Row],[Remise (%)]]</f>
        <v>26.271000000000001</v>
      </c>
      <c r="K121">
        <f>IF(CLIENTS_CHURN[[#This Row],[Duree_Cumulee_Panne_Min]]&gt;0,1,0)</f>
        <v>1</v>
      </c>
      <c r="L121" t="str">
        <f>IF(CLIENTS_CHURN[[#This Row],[Type_Forfait]]="Pro Monde","B2B","B2C")</f>
        <v>B2B</v>
      </c>
    </row>
    <row r="122" spans="1:12" x14ac:dyDescent="0.25">
      <c r="A122" s="1">
        <f t="shared" si="1"/>
        <v>121</v>
      </c>
      <c r="B122" s="1" t="s">
        <v>771</v>
      </c>
      <c r="C122" s="1" t="s">
        <v>49</v>
      </c>
      <c r="D122" s="1">
        <v>57</v>
      </c>
      <c r="E122" s="1" t="s">
        <v>9</v>
      </c>
      <c r="F122" s="1">
        <v>36</v>
      </c>
      <c r="G122" s="9">
        <v>82.7</v>
      </c>
      <c r="H122" s="1">
        <v>2</v>
      </c>
      <c r="I1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22" s="9">
        <f>CLIENTS_CHURN[[#This Row],[Facture_Mensuelle]]*CLIENTS_CHURN[[#This Row],[Remise (%)]]</f>
        <v>0</v>
      </c>
      <c r="K122">
        <f>IF(CLIENTS_CHURN[[#This Row],[Duree_Cumulee_Panne_Min]]&gt;0,1,0)</f>
        <v>1</v>
      </c>
      <c r="L122" t="str">
        <f>IF(CLIENTS_CHURN[[#This Row],[Type_Forfait]]="Pro Monde","B2B","B2C")</f>
        <v>B2C</v>
      </c>
    </row>
    <row r="123" spans="1:12" x14ac:dyDescent="0.25">
      <c r="A123" s="1">
        <f t="shared" si="1"/>
        <v>122</v>
      </c>
      <c r="B123" s="1" t="s">
        <v>560</v>
      </c>
      <c r="C123" s="1" t="s">
        <v>134</v>
      </c>
      <c r="D123" s="1">
        <v>16</v>
      </c>
      <c r="E123" s="1" t="s">
        <v>12</v>
      </c>
      <c r="F123" s="1">
        <v>214</v>
      </c>
      <c r="G123" s="9">
        <v>46.57</v>
      </c>
      <c r="H123" s="1">
        <v>5</v>
      </c>
      <c r="I1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23" s="9">
        <f>CLIENTS_CHURN[[#This Row],[Facture_Mensuelle]]*CLIENTS_CHURN[[#This Row],[Remise (%)]]</f>
        <v>4.657</v>
      </c>
      <c r="K123">
        <f>IF(CLIENTS_CHURN[[#This Row],[Duree_Cumulee_Panne_Min]]&gt;0,1,0)</f>
        <v>1</v>
      </c>
      <c r="L123" t="str">
        <f>IF(CLIENTS_CHURN[[#This Row],[Type_Forfait]]="Pro Monde","B2B","B2C")</f>
        <v>B2B</v>
      </c>
    </row>
    <row r="124" spans="1:12" x14ac:dyDescent="0.25">
      <c r="A124" s="1">
        <f t="shared" si="1"/>
        <v>123</v>
      </c>
      <c r="B124" s="1" t="s">
        <v>466</v>
      </c>
      <c r="C124" s="1" t="s">
        <v>42</v>
      </c>
      <c r="D124" s="1">
        <v>24</v>
      </c>
      <c r="E124" s="1" t="s">
        <v>12</v>
      </c>
      <c r="F124" s="1">
        <v>23</v>
      </c>
      <c r="G124" s="9">
        <v>28.55</v>
      </c>
      <c r="H124" s="1">
        <v>1</v>
      </c>
      <c r="I1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24" s="9">
        <f>CLIENTS_CHURN[[#This Row],[Facture_Mensuelle]]*CLIENTS_CHURN[[#This Row],[Remise (%)]]</f>
        <v>2.8550000000000004</v>
      </c>
      <c r="K124">
        <f>IF(CLIENTS_CHURN[[#This Row],[Duree_Cumulee_Panne_Min]]&gt;0,1,0)</f>
        <v>1</v>
      </c>
      <c r="L124" t="str">
        <f>IF(CLIENTS_CHURN[[#This Row],[Type_Forfait]]="Pro Monde","B2B","B2C")</f>
        <v>B2B</v>
      </c>
    </row>
    <row r="125" spans="1:12" x14ac:dyDescent="0.25">
      <c r="A125" s="1">
        <f t="shared" si="1"/>
        <v>124</v>
      </c>
      <c r="B125" s="1" t="s">
        <v>447</v>
      </c>
      <c r="C125" s="1" t="s">
        <v>22</v>
      </c>
      <c r="D125" s="1">
        <v>32</v>
      </c>
      <c r="E125" s="1" t="s">
        <v>20</v>
      </c>
      <c r="F125" s="1">
        <v>475</v>
      </c>
      <c r="G125" s="9">
        <v>36.54</v>
      </c>
      <c r="H125" s="1">
        <v>3</v>
      </c>
      <c r="I1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25" s="9">
        <f>CLIENTS_CHURN[[#This Row],[Facture_Mensuelle]]*CLIENTS_CHURN[[#This Row],[Remise (%)]]</f>
        <v>16.443000000000001</v>
      </c>
      <c r="K125">
        <f>IF(CLIENTS_CHURN[[#This Row],[Duree_Cumulee_Panne_Min]]&gt;0,1,0)</f>
        <v>1</v>
      </c>
      <c r="L125" t="str">
        <f>IF(CLIENTS_CHURN[[#This Row],[Type_Forfait]]="Pro Monde","B2B","B2C")</f>
        <v>B2C</v>
      </c>
    </row>
    <row r="126" spans="1:12" x14ac:dyDescent="0.25">
      <c r="A126" s="1">
        <f t="shared" si="1"/>
        <v>125</v>
      </c>
      <c r="B126" s="1" t="s">
        <v>720</v>
      </c>
      <c r="C126" s="1" t="s">
        <v>29</v>
      </c>
      <c r="D126" s="1">
        <v>45</v>
      </c>
      <c r="E126" s="1" t="s">
        <v>12</v>
      </c>
      <c r="F126" s="1">
        <v>304</v>
      </c>
      <c r="G126" s="9">
        <v>65.540000000000006</v>
      </c>
      <c r="H126" s="1">
        <v>2</v>
      </c>
      <c r="I1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26" s="9">
        <f>CLIENTS_CHURN[[#This Row],[Facture_Mensuelle]]*CLIENTS_CHURN[[#This Row],[Remise (%)]]</f>
        <v>29.493000000000002</v>
      </c>
      <c r="K126">
        <f>IF(CLIENTS_CHURN[[#This Row],[Duree_Cumulee_Panne_Min]]&gt;0,1,0)</f>
        <v>1</v>
      </c>
      <c r="L126" t="str">
        <f>IF(CLIENTS_CHURN[[#This Row],[Type_Forfait]]="Pro Monde","B2B","B2C")</f>
        <v>B2B</v>
      </c>
    </row>
    <row r="127" spans="1:12" x14ac:dyDescent="0.25">
      <c r="A127" s="1">
        <f t="shared" si="1"/>
        <v>126</v>
      </c>
      <c r="B127" s="1" t="s">
        <v>489</v>
      </c>
      <c r="C127" s="1" t="s">
        <v>65</v>
      </c>
      <c r="D127" s="1">
        <v>24</v>
      </c>
      <c r="E127" s="1" t="s">
        <v>17</v>
      </c>
      <c r="F127" s="1">
        <v>13</v>
      </c>
      <c r="G127" s="9">
        <v>89.3</v>
      </c>
      <c r="H127" s="1">
        <v>2</v>
      </c>
      <c r="I1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27" s="9">
        <f>CLIENTS_CHURN[[#This Row],[Facture_Mensuelle]]*CLIENTS_CHURN[[#This Row],[Remise (%)]]</f>
        <v>0</v>
      </c>
      <c r="K127">
        <f>IF(CLIENTS_CHURN[[#This Row],[Duree_Cumulee_Panne_Min]]&gt;0,1,0)</f>
        <v>1</v>
      </c>
      <c r="L127" t="str">
        <f>IF(CLIENTS_CHURN[[#This Row],[Type_Forfait]]="Pro Monde","B2B","B2C")</f>
        <v>B2C</v>
      </c>
    </row>
    <row r="128" spans="1:12" x14ac:dyDescent="0.25">
      <c r="A128" s="1">
        <f t="shared" si="1"/>
        <v>127</v>
      </c>
      <c r="B128" s="1" t="s">
        <v>310</v>
      </c>
      <c r="C128" s="1" t="s">
        <v>128</v>
      </c>
      <c r="D128" s="1">
        <v>97</v>
      </c>
      <c r="E128" s="1" t="s">
        <v>17</v>
      </c>
      <c r="F128" s="1">
        <v>40</v>
      </c>
      <c r="G128" s="9">
        <v>85.19</v>
      </c>
      <c r="H128" s="1">
        <v>1</v>
      </c>
      <c r="I1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28" s="9">
        <f>CLIENTS_CHURN[[#This Row],[Facture_Mensuelle]]*CLIENTS_CHURN[[#This Row],[Remise (%)]]</f>
        <v>0</v>
      </c>
      <c r="K128">
        <f>IF(CLIENTS_CHURN[[#This Row],[Duree_Cumulee_Panne_Min]]&gt;0,1,0)</f>
        <v>1</v>
      </c>
      <c r="L128" t="str">
        <f>IF(CLIENTS_CHURN[[#This Row],[Type_Forfait]]="Pro Monde","B2B","B2C")</f>
        <v>B2C</v>
      </c>
    </row>
    <row r="129" spans="1:12" x14ac:dyDescent="0.25">
      <c r="A129" s="1">
        <f t="shared" si="1"/>
        <v>128</v>
      </c>
      <c r="B129" s="1" t="s">
        <v>417</v>
      </c>
      <c r="C129" s="1" t="s">
        <v>8</v>
      </c>
      <c r="D129" s="1">
        <v>68</v>
      </c>
      <c r="E129" s="1" t="s">
        <v>17</v>
      </c>
      <c r="F129" s="1">
        <v>487</v>
      </c>
      <c r="G129" s="9">
        <v>69.099999999999994</v>
      </c>
      <c r="H129" s="1">
        <v>5</v>
      </c>
      <c r="I1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29" s="9">
        <f>CLIENTS_CHURN[[#This Row],[Facture_Mensuelle]]*CLIENTS_CHURN[[#This Row],[Remise (%)]]</f>
        <v>31.094999999999999</v>
      </c>
      <c r="K129">
        <f>IF(CLIENTS_CHURN[[#This Row],[Duree_Cumulee_Panne_Min]]&gt;0,1,0)</f>
        <v>1</v>
      </c>
      <c r="L129" t="str">
        <f>IF(CLIENTS_CHURN[[#This Row],[Type_Forfait]]="Pro Monde","B2B","B2C")</f>
        <v>B2C</v>
      </c>
    </row>
    <row r="130" spans="1:12" x14ac:dyDescent="0.25">
      <c r="A130" s="1">
        <f t="shared" si="1"/>
        <v>129</v>
      </c>
      <c r="B130" s="1" t="s">
        <v>320</v>
      </c>
      <c r="C130" s="1" t="s">
        <v>76</v>
      </c>
      <c r="D130" s="1">
        <v>8</v>
      </c>
      <c r="E130" s="1" t="s">
        <v>17</v>
      </c>
      <c r="F130" s="1">
        <v>120</v>
      </c>
      <c r="G130" s="9">
        <v>88.29</v>
      </c>
      <c r="H130" s="1">
        <v>5</v>
      </c>
      <c r="I1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30" s="9">
        <f>CLIENTS_CHURN[[#This Row],[Facture_Mensuelle]]*CLIENTS_CHURN[[#This Row],[Remise (%)]]</f>
        <v>0</v>
      </c>
      <c r="K130">
        <f>IF(CLIENTS_CHURN[[#This Row],[Duree_Cumulee_Panne_Min]]&gt;0,1,0)</f>
        <v>1</v>
      </c>
      <c r="L130" t="str">
        <f>IF(CLIENTS_CHURN[[#This Row],[Type_Forfait]]="Pro Monde","B2B","B2C")</f>
        <v>B2C</v>
      </c>
    </row>
    <row r="131" spans="1:12" x14ac:dyDescent="0.25">
      <c r="A131" s="1">
        <f t="shared" si="1"/>
        <v>130</v>
      </c>
      <c r="B131" s="1" t="s">
        <v>680</v>
      </c>
      <c r="C131" s="1" t="s">
        <v>19</v>
      </c>
      <c r="D131" s="1">
        <v>75</v>
      </c>
      <c r="E131" s="1" t="s">
        <v>20</v>
      </c>
      <c r="F131" s="1">
        <v>99</v>
      </c>
      <c r="G131" s="9">
        <v>16.93</v>
      </c>
      <c r="H131" s="1">
        <v>5</v>
      </c>
      <c r="I1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31" s="9">
        <f>CLIENTS_CHURN[[#This Row],[Facture_Mensuelle]]*CLIENTS_CHURN[[#This Row],[Remise (%)]]</f>
        <v>0</v>
      </c>
      <c r="K131">
        <f>IF(CLIENTS_CHURN[[#This Row],[Duree_Cumulee_Panne_Min]]&gt;0,1,0)</f>
        <v>1</v>
      </c>
      <c r="L131" t="str">
        <f>IF(CLIENTS_CHURN[[#This Row],[Type_Forfait]]="Pro Monde","B2B","B2C")</f>
        <v>B2C</v>
      </c>
    </row>
    <row r="132" spans="1:12" x14ac:dyDescent="0.25">
      <c r="A132" s="1">
        <f t="shared" ref="A132:A195" si="2">A131+1</f>
        <v>131</v>
      </c>
      <c r="B132" s="1" t="s">
        <v>281</v>
      </c>
      <c r="C132" s="1" t="s">
        <v>134</v>
      </c>
      <c r="D132" s="1">
        <v>22</v>
      </c>
      <c r="E132" s="1" t="s">
        <v>9</v>
      </c>
      <c r="F132" s="1">
        <v>166</v>
      </c>
      <c r="G132" s="9">
        <v>31.8</v>
      </c>
      <c r="H132" s="1">
        <v>1</v>
      </c>
      <c r="I1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32" s="9">
        <f>CLIENTS_CHURN[[#This Row],[Facture_Mensuelle]]*CLIENTS_CHURN[[#This Row],[Remise (%)]]</f>
        <v>0</v>
      </c>
      <c r="K132">
        <f>IF(CLIENTS_CHURN[[#This Row],[Duree_Cumulee_Panne_Min]]&gt;0,1,0)</f>
        <v>1</v>
      </c>
      <c r="L132" t="str">
        <f>IF(CLIENTS_CHURN[[#This Row],[Type_Forfait]]="Pro Monde","B2B","B2C")</f>
        <v>B2C</v>
      </c>
    </row>
    <row r="133" spans="1:12" x14ac:dyDescent="0.25">
      <c r="A133" s="1">
        <f t="shared" si="2"/>
        <v>132</v>
      </c>
      <c r="B133" s="1" t="s">
        <v>122</v>
      </c>
      <c r="C133" s="1" t="s">
        <v>86</v>
      </c>
      <c r="D133" s="1">
        <v>91</v>
      </c>
      <c r="E133" s="1" t="s">
        <v>17</v>
      </c>
      <c r="F133" s="1">
        <v>300</v>
      </c>
      <c r="G133" s="9">
        <v>82.19</v>
      </c>
      <c r="H133" s="1">
        <v>1</v>
      </c>
      <c r="I1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33" s="9">
        <f>CLIENTS_CHURN[[#This Row],[Facture_Mensuelle]]*CLIENTS_CHURN[[#This Row],[Remise (%)]]</f>
        <v>36.985500000000002</v>
      </c>
      <c r="K133">
        <f>IF(CLIENTS_CHURN[[#This Row],[Duree_Cumulee_Panne_Min]]&gt;0,1,0)</f>
        <v>1</v>
      </c>
      <c r="L133" t="str">
        <f>IF(CLIENTS_CHURN[[#This Row],[Type_Forfait]]="Pro Monde","B2B","B2C")</f>
        <v>B2C</v>
      </c>
    </row>
    <row r="134" spans="1:12" x14ac:dyDescent="0.25">
      <c r="A134" s="1">
        <f t="shared" si="2"/>
        <v>133</v>
      </c>
      <c r="B134" s="1" t="s">
        <v>41</v>
      </c>
      <c r="C134" s="1" t="s">
        <v>42</v>
      </c>
      <c r="D134" s="1">
        <v>66</v>
      </c>
      <c r="E134" s="1" t="s">
        <v>20</v>
      </c>
      <c r="F134" s="1">
        <v>270</v>
      </c>
      <c r="G134" s="9">
        <v>75.88</v>
      </c>
      <c r="H134" s="1">
        <v>3</v>
      </c>
      <c r="I1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34" s="9">
        <f>CLIENTS_CHURN[[#This Row],[Facture_Mensuelle]]*CLIENTS_CHURN[[#This Row],[Remise (%)]]</f>
        <v>34.146000000000001</v>
      </c>
      <c r="K134">
        <f>IF(CLIENTS_CHURN[[#This Row],[Duree_Cumulee_Panne_Min]]&gt;0,1,0)</f>
        <v>1</v>
      </c>
      <c r="L134" t="str">
        <f>IF(CLIENTS_CHURN[[#This Row],[Type_Forfait]]="Pro Monde","B2B","B2C")</f>
        <v>B2C</v>
      </c>
    </row>
    <row r="135" spans="1:12" x14ac:dyDescent="0.25">
      <c r="A135" s="1">
        <f t="shared" si="2"/>
        <v>134</v>
      </c>
      <c r="B135" s="1" t="s">
        <v>554</v>
      </c>
      <c r="C135" s="1" t="s">
        <v>33</v>
      </c>
      <c r="D135" s="1">
        <v>98</v>
      </c>
      <c r="E135" s="1" t="s">
        <v>12</v>
      </c>
      <c r="F135" s="1">
        <v>41</v>
      </c>
      <c r="G135" s="9">
        <v>23.55</v>
      </c>
      <c r="H135" s="1">
        <v>1</v>
      </c>
      <c r="I1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35" s="9">
        <f>CLIENTS_CHURN[[#This Row],[Facture_Mensuelle]]*CLIENTS_CHURN[[#This Row],[Remise (%)]]</f>
        <v>2.355</v>
      </c>
      <c r="K135">
        <f>IF(CLIENTS_CHURN[[#This Row],[Duree_Cumulee_Panne_Min]]&gt;0,1,0)</f>
        <v>1</v>
      </c>
      <c r="L135" t="str">
        <f>IF(CLIENTS_CHURN[[#This Row],[Type_Forfait]]="Pro Monde","B2B","B2C")</f>
        <v>B2B</v>
      </c>
    </row>
    <row r="136" spans="1:12" x14ac:dyDescent="0.25">
      <c r="A136" s="1">
        <f t="shared" si="2"/>
        <v>135</v>
      </c>
      <c r="B136" s="1" t="s">
        <v>415</v>
      </c>
      <c r="C136" s="1" t="s">
        <v>29</v>
      </c>
      <c r="D136" s="1">
        <v>63</v>
      </c>
      <c r="E136" s="1" t="s">
        <v>17</v>
      </c>
      <c r="F136" s="1">
        <v>263</v>
      </c>
      <c r="G136" s="9">
        <v>53.87</v>
      </c>
      <c r="H136" s="1">
        <v>4</v>
      </c>
      <c r="I1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36" s="9">
        <f>CLIENTS_CHURN[[#This Row],[Facture_Mensuelle]]*CLIENTS_CHURN[[#This Row],[Remise (%)]]</f>
        <v>24.241499999999998</v>
      </c>
      <c r="K136">
        <f>IF(CLIENTS_CHURN[[#This Row],[Duree_Cumulee_Panne_Min]]&gt;0,1,0)</f>
        <v>1</v>
      </c>
      <c r="L136" t="str">
        <f>IF(CLIENTS_CHURN[[#This Row],[Type_Forfait]]="Pro Monde","B2B","B2C")</f>
        <v>B2C</v>
      </c>
    </row>
    <row r="137" spans="1:12" x14ac:dyDescent="0.25">
      <c r="A137" s="1">
        <f t="shared" si="2"/>
        <v>136</v>
      </c>
      <c r="B137" s="1" t="s">
        <v>355</v>
      </c>
      <c r="C137" s="1" t="s">
        <v>16</v>
      </c>
      <c r="D137" s="1">
        <v>29</v>
      </c>
      <c r="E137" s="1" t="s">
        <v>17</v>
      </c>
      <c r="F137" s="1">
        <v>173</v>
      </c>
      <c r="G137" s="9">
        <v>49.03</v>
      </c>
      <c r="H137" s="1">
        <v>3</v>
      </c>
      <c r="I1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37" s="9">
        <f>CLIENTS_CHURN[[#This Row],[Facture_Mensuelle]]*CLIENTS_CHURN[[#This Row],[Remise (%)]]</f>
        <v>0</v>
      </c>
      <c r="K137">
        <f>IF(CLIENTS_CHURN[[#This Row],[Duree_Cumulee_Panne_Min]]&gt;0,1,0)</f>
        <v>1</v>
      </c>
      <c r="L137" t="str">
        <f>IF(CLIENTS_CHURN[[#This Row],[Type_Forfait]]="Pro Monde","B2B","B2C")</f>
        <v>B2C</v>
      </c>
    </row>
    <row r="138" spans="1:12" x14ac:dyDescent="0.25">
      <c r="A138" s="1">
        <f t="shared" si="2"/>
        <v>137</v>
      </c>
      <c r="B138" s="1" t="s">
        <v>292</v>
      </c>
      <c r="C138" s="1" t="s">
        <v>134</v>
      </c>
      <c r="D138" s="1">
        <v>83</v>
      </c>
      <c r="E138" s="1" t="s">
        <v>20</v>
      </c>
      <c r="F138" s="1">
        <v>30</v>
      </c>
      <c r="G138" s="9">
        <v>33.93</v>
      </c>
      <c r="H138" s="1">
        <v>3</v>
      </c>
      <c r="I1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38" s="9">
        <f>CLIENTS_CHURN[[#This Row],[Facture_Mensuelle]]*CLIENTS_CHURN[[#This Row],[Remise (%)]]</f>
        <v>0</v>
      </c>
      <c r="K138">
        <f>IF(CLIENTS_CHURN[[#This Row],[Duree_Cumulee_Panne_Min]]&gt;0,1,0)</f>
        <v>1</v>
      </c>
      <c r="L138" t="str">
        <f>IF(CLIENTS_CHURN[[#This Row],[Type_Forfait]]="Pro Monde","B2B","B2C")</f>
        <v>B2C</v>
      </c>
    </row>
    <row r="139" spans="1:12" x14ac:dyDescent="0.25">
      <c r="A139" s="1">
        <f t="shared" si="2"/>
        <v>138</v>
      </c>
      <c r="B139" s="1" t="s">
        <v>652</v>
      </c>
      <c r="C139" s="1" t="s">
        <v>14</v>
      </c>
      <c r="D139" s="1">
        <v>105</v>
      </c>
      <c r="E139" s="1" t="s">
        <v>20</v>
      </c>
      <c r="F139" s="1">
        <v>271</v>
      </c>
      <c r="G139" s="9">
        <v>45.27</v>
      </c>
      <c r="H139" s="1">
        <v>2</v>
      </c>
      <c r="I1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39" s="9">
        <f>CLIENTS_CHURN[[#This Row],[Facture_Mensuelle]]*CLIENTS_CHURN[[#This Row],[Remise (%)]]</f>
        <v>20.371500000000001</v>
      </c>
      <c r="K139">
        <f>IF(CLIENTS_CHURN[[#This Row],[Duree_Cumulee_Panne_Min]]&gt;0,1,0)</f>
        <v>1</v>
      </c>
      <c r="L139" t="str">
        <f>IF(CLIENTS_CHURN[[#This Row],[Type_Forfait]]="Pro Monde","B2B","B2C")</f>
        <v>B2C</v>
      </c>
    </row>
    <row r="140" spans="1:12" x14ac:dyDescent="0.25">
      <c r="A140" s="1">
        <f t="shared" si="2"/>
        <v>139</v>
      </c>
      <c r="B140" s="1" t="s">
        <v>462</v>
      </c>
      <c r="C140" s="1" t="s">
        <v>128</v>
      </c>
      <c r="D140" s="1">
        <v>117</v>
      </c>
      <c r="E140" s="1" t="s">
        <v>9</v>
      </c>
      <c r="F140" s="1">
        <v>282</v>
      </c>
      <c r="G140" s="9">
        <v>95.11</v>
      </c>
      <c r="H140" s="1">
        <v>0</v>
      </c>
      <c r="I1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40" s="9">
        <f>CLIENTS_CHURN[[#This Row],[Facture_Mensuelle]]*CLIENTS_CHURN[[#This Row],[Remise (%)]]</f>
        <v>42.799500000000002</v>
      </c>
      <c r="K140">
        <f>IF(CLIENTS_CHURN[[#This Row],[Duree_Cumulee_Panne_Min]]&gt;0,1,0)</f>
        <v>1</v>
      </c>
      <c r="L140" t="str">
        <f>IF(CLIENTS_CHURN[[#This Row],[Type_Forfait]]="Pro Monde","B2B","B2C")</f>
        <v>B2C</v>
      </c>
    </row>
    <row r="141" spans="1:12" x14ac:dyDescent="0.25">
      <c r="A141" s="1">
        <f t="shared" si="2"/>
        <v>140</v>
      </c>
      <c r="B141" s="1" t="s">
        <v>246</v>
      </c>
      <c r="C141" s="1" t="s">
        <v>16</v>
      </c>
      <c r="D141" s="1">
        <v>96</v>
      </c>
      <c r="E141" s="1" t="s">
        <v>9</v>
      </c>
      <c r="F141" s="1">
        <v>334</v>
      </c>
      <c r="G141" s="9">
        <v>64.77</v>
      </c>
      <c r="H141" s="1">
        <v>0</v>
      </c>
      <c r="I1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41" s="9">
        <f>CLIENTS_CHURN[[#This Row],[Facture_Mensuelle]]*CLIENTS_CHURN[[#This Row],[Remise (%)]]</f>
        <v>29.1465</v>
      </c>
      <c r="K141">
        <f>IF(CLIENTS_CHURN[[#This Row],[Duree_Cumulee_Panne_Min]]&gt;0,1,0)</f>
        <v>1</v>
      </c>
      <c r="L141" t="str">
        <f>IF(CLIENTS_CHURN[[#This Row],[Type_Forfait]]="Pro Monde","B2B","B2C")</f>
        <v>B2C</v>
      </c>
    </row>
    <row r="142" spans="1:12" x14ac:dyDescent="0.25">
      <c r="A142" s="1">
        <f t="shared" si="2"/>
        <v>141</v>
      </c>
      <c r="B142" s="1" t="s">
        <v>668</v>
      </c>
      <c r="C142" s="1" t="s">
        <v>134</v>
      </c>
      <c r="D142" s="1">
        <v>34</v>
      </c>
      <c r="E142" s="1" t="s">
        <v>9</v>
      </c>
      <c r="F142" s="1">
        <v>170</v>
      </c>
      <c r="G142" s="9">
        <v>91.6</v>
      </c>
      <c r="H142" s="1">
        <v>2</v>
      </c>
      <c r="I1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42" s="9">
        <f>CLIENTS_CHURN[[#This Row],[Facture_Mensuelle]]*CLIENTS_CHURN[[#This Row],[Remise (%)]]</f>
        <v>0</v>
      </c>
      <c r="K142">
        <f>IF(CLIENTS_CHURN[[#This Row],[Duree_Cumulee_Panne_Min]]&gt;0,1,0)</f>
        <v>1</v>
      </c>
      <c r="L142" t="str">
        <f>IF(CLIENTS_CHURN[[#This Row],[Type_Forfait]]="Pro Monde","B2B","B2C")</f>
        <v>B2C</v>
      </c>
    </row>
    <row r="143" spans="1:12" x14ac:dyDescent="0.25">
      <c r="A143" s="1">
        <f t="shared" si="2"/>
        <v>142</v>
      </c>
      <c r="B143" s="1" t="s">
        <v>593</v>
      </c>
      <c r="C143" s="1" t="s">
        <v>31</v>
      </c>
      <c r="D143" s="1">
        <v>7</v>
      </c>
      <c r="E143" s="1" t="s">
        <v>12</v>
      </c>
      <c r="F143" s="1">
        <v>323</v>
      </c>
      <c r="G143" s="9">
        <v>82.81</v>
      </c>
      <c r="H143" s="1">
        <v>5</v>
      </c>
      <c r="I1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43" s="9">
        <f>CLIENTS_CHURN[[#This Row],[Facture_Mensuelle]]*CLIENTS_CHURN[[#This Row],[Remise (%)]]</f>
        <v>37.264500000000005</v>
      </c>
      <c r="K143">
        <f>IF(CLIENTS_CHURN[[#This Row],[Duree_Cumulee_Panne_Min]]&gt;0,1,0)</f>
        <v>1</v>
      </c>
      <c r="L143" t="str">
        <f>IF(CLIENTS_CHURN[[#This Row],[Type_Forfait]]="Pro Monde","B2B","B2C")</f>
        <v>B2B</v>
      </c>
    </row>
    <row r="144" spans="1:12" x14ac:dyDescent="0.25">
      <c r="A144" s="1">
        <f t="shared" si="2"/>
        <v>143</v>
      </c>
      <c r="B144" s="1" t="s">
        <v>666</v>
      </c>
      <c r="C144" s="1" t="s">
        <v>38</v>
      </c>
      <c r="D144" s="1">
        <v>39</v>
      </c>
      <c r="E144" s="1" t="s">
        <v>9</v>
      </c>
      <c r="F144" s="1">
        <v>220</v>
      </c>
      <c r="G144" s="9">
        <v>52.91</v>
      </c>
      <c r="H144" s="1">
        <v>0</v>
      </c>
      <c r="I1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44" s="9">
        <f>CLIENTS_CHURN[[#This Row],[Facture_Mensuelle]]*CLIENTS_CHURN[[#This Row],[Remise (%)]]</f>
        <v>0</v>
      </c>
      <c r="K144">
        <f>IF(CLIENTS_CHURN[[#This Row],[Duree_Cumulee_Panne_Min]]&gt;0,1,0)</f>
        <v>1</v>
      </c>
      <c r="L144" t="str">
        <f>IF(CLIENTS_CHURN[[#This Row],[Type_Forfait]]="Pro Monde","B2B","B2C")</f>
        <v>B2C</v>
      </c>
    </row>
    <row r="145" spans="1:12" x14ac:dyDescent="0.25">
      <c r="A145" s="1">
        <f t="shared" si="2"/>
        <v>144</v>
      </c>
      <c r="B145" s="1" t="s">
        <v>701</v>
      </c>
      <c r="C145" s="1" t="s">
        <v>58</v>
      </c>
      <c r="D145" s="1">
        <v>59</v>
      </c>
      <c r="E145" s="1" t="s">
        <v>20</v>
      </c>
      <c r="F145" s="1">
        <v>64</v>
      </c>
      <c r="G145" s="9">
        <v>20.32</v>
      </c>
      <c r="H145" s="1">
        <v>0</v>
      </c>
      <c r="I1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45" s="9">
        <f>CLIENTS_CHURN[[#This Row],[Facture_Mensuelle]]*CLIENTS_CHURN[[#This Row],[Remise (%)]]</f>
        <v>0</v>
      </c>
      <c r="K145">
        <f>IF(CLIENTS_CHURN[[#This Row],[Duree_Cumulee_Panne_Min]]&gt;0,1,0)</f>
        <v>1</v>
      </c>
      <c r="L145" t="str">
        <f>IF(CLIENTS_CHURN[[#This Row],[Type_Forfait]]="Pro Monde","B2B","B2C")</f>
        <v>B2C</v>
      </c>
    </row>
    <row r="146" spans="1:12" x14ac:dyDescent="0.25">
      <c r="A146" s="1">
        <f t="shared" si="2"/>
        <v>145</v>
      </c>
      <c r="B146" s="1" t="s">
        <v>458</v>
      </c>
      <c r="C146" s="1" t="s">
        <v>42</v>
      </c>
      <c r="D146" s="1">
        <v>28</v>
      </c>
      <c r="E146" s="1" t="s">
        <v>20</v>
      </c>
      <c r="F146" s="1">
        <v>112</v>
      </c>
      <c r="G146" s="9">
        <v>94.51</v>
      </c>
      <c r="H146" s="1">
        <v>3</v>
      </c>
      <c r="I1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46" s="9">
        <f>CLIENTS_CHURN[[#This Row],[Facture_Mensuelle]]*CLIENTS_CHURN[[#This Row],[Remise (%)]]</f>
        <v>0</v>
      </c>
      <c r="K146">
        <f>IF(CLIENTS_CHURN[[#This Row],[Duree_Cumulee_Panne_Min]]&gt;0,1,0)</f>
        <v>1</v>
      </c>
      <c r="L146" t="str">
        <f>IF(CLIENTS_CHURN[[#This Row],[Type_Forfait]]="Pro Monde","B2B","B2C")</f>
        <v>B2C</v>
      </c>
    </row>
    <row r="147" spans="1:12" x14ac:dyDescent="0.25">
      <c r="A147" s="1">
        <f t="shared" si="2"/>
        <v>146</v>
      </c>
      <c r="B147" s="1" t="s">
        <v>353</v>
      </c>
      <c r="C147" s="1" t="s">
        <v>16</v>
      </c>
      <c r="D147" s="1">
        <v>78</v>
      </c>
      <c r="E147" s="1" t="s">
        <v>9</v>
      </c>
      <c r="F147" s="1">
        <v>263</v>
      </c>
      <c r="G147" s="9">
        <v>53.58</v>
      </c>
      <c r="H147" s="1">
        <v>5</v>
      </c>
      <c r="I1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47" s="9">
        <f>CLIENTS_CHURN[[#This Row],[Facture_Mensuelle]]*CLIENTS_CHURN[[#This Row],[Remise (%)]]</f>
        <v>24.111000000000001</v>
      </c>
      <c r="K147">
        <f>IF(CLIENTS_CHURN[[#This Row],[Duree_Cumulee_Panne_Min]]&gt;0,1,0)</f>
        <v>1</v>
      </c>
      <c r="L147" t="str">
        <f>IF(CLIENTS_CHURN[[#This Row],[Type_Forfait]]="Pro Monde","B2B","B2C")</f>
        <v>B2C</v>
      </c>
    </row>
    <row r="148" spans="1:12" x14ac:dyDescent="0.25">
      <c r="A148" s="1">
        <f t="shared" si="2"/>
        <v>147</v>
      </c>
      <c r="B148" s="1" t="s">
        <v>336</v>
      </c>
      <c r="C148" s="1" t="s">
        <v>128</v>
      </c>
      <c r="D148" s="1">
        <v>4</v>
      </c>
      <c r="E148" s="1" t="s">
        <v>12</v>
      </c>
      <c r="F148" s="1">
        <v>49</v>
      </c>
      <c r="G148" s="9">
        <v>41.35</v>
      </c>
      <c r="H148" s="1">
        <v>5</v>
      </c>
      <c r="I1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48" s="9">
        <f>CLIENTS_CHURN[[#This Row],[Facture_Mensuelle]]*CLIENTS_CHURN[[#This Row],[Remise (%)]]</f>
        <v>4.1350000000000007</v>
      </c>
      <c r="K148">
        <f>IF(CLIENTS_CHURN[[#This Row],[Duree_Cumulee_Panne_Min]]&gt;0,1,0)</f>
        <v>1</v>
      </c>
      <c r="L148" t="str">
        <f>IF(CLIENTS_CHURN[[#This Row],[Type_Forfait]]="Pro Monde","B2B","B2C")</f>
        <v>B2B</v>
      </c>
    </row>
    <row r="149" spans="1:12" x14ac:dyDescent="0.25">
      <c r="A149" s="1">
        <f t="shared" si="2"/>
        <v>148</v>
      </c>
      <c r="B149" s="1" t="s">
        <v>773</v>
      </c>
      <c r="C149" s="1" t="s">
        <v>11</v>
      </c>
      <c r="D149" s="1">
        <v>37</v>
      </c>
      <c r="E149" s="1" t="s">
        <v>9</v>
      </c>
      <c r="F149" s="1">
        <v>213</v>
      </c>
      <c r="G149" s="9">
        <v>14.12</v>
      </c>
      <c r="H149" s="1">
        <v>1</v>
      </c>
      <c r="I1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49" s="9">
        <f>CLIENTS_CHURN[[#This Row],[Facture_Mensuelle]]*CLIENTS_CHURN[[#This Row],[Remise (%)]]</f>
        <v>0</v>
      </c>
      <c r="K149">
        <f>IF(CLIENTS_CHURN[[#This Row],[Duree_Cumulee_Panne_Min]]&gt;0,1,0)</f>
        <v>1</v>
      </c>
      <c r="L149" t="str">
        <f>IF(CLIENTS_CHURN[[#This Row],[Type_Forfait]]="Pro Monde","B2B","B2C")</f>
        <v>B2C</v>
      </c>
    </row>
    <row r="150" spans="1:12" x14ac:dyDescent="0.25">
      <c r="A150" s="1">
        <f t="shared" si="2"/>
        <v>149</v>
      </c>
      <c r="B150" s="1" t="s">
        <v>288</v>
      </c>
      <c r="C150" s="1" t="s">
        <v>71</v>
      </c>
      <c r="D150" s="1">
        <v>48</v>
      </c>
      <c r="E150" s="1" t="s">
        <v>9</v>
      </c>
      <c r="F150" s="1">
        <v>416</v>
      </c>
      <c r="G150" s="9">
        <v>81.260000000000005</v>
      </c>
      <c r="H150" s="1">
        <v>5</v>
      </c>
      <c r="I1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0" s="9">
        <f>CLIENTS_CHURN[[#This Row],[Facture_Mensuelle]]*CLIENTS_CHURN[[#This Row],[Remise (%)]]</f>
        <v>36.567</v>
      </c>
      <c r="K150">
        <f>IF(CLIENTS_CHURN[[#This Row],[Duree_Cumulee_Panne_Min]]&gt;0,1,0)</f>
        <v>1</v>
      </c>
      <c r="L150" t="str">
        <f>IF(CLIENTS_CHURN[[#This Row],[Type_Forfait]]="Pro Monde","B2B","B2C")</f>
        <v>B2C</v>
      </c>
    </row>
    <row r="151" spans="1:12" x14ac:dyDescent="0.25">
      <c r="A151" s="1">
        <f t="shared" si="2"/>
        <v>150</v>
      </c>
      <c r="B151" s="1" t="s">
        <v>254</v>
      </c>
      <c r="C151" s="1" t="s">
        <v>49</v>
      </c>
      <c r="D151" s="1">
        <v>51</v>
      </c>
      <c r="E151" s="1" t="s">
        <v>12</v>
      </c>
      <c r="F151" s="1">
        <v>336</v>
      </c>
      <c r="G151" s="9">
        <v>65.47</v>
      </c>
      <c r="H151" s="1">
        <v>1</v>
      </c>
      <c r="I1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1" s="9">
        <f>CLIENTS_CHURN[[#This Row],[Facture_Mensuelle]]*CLIENTS_CHURN[[#This Row],[Remise (%)]]</f>
        <v>29.461500000000001</v>
      </c>
      <c r="K151">
        <f>IF(CLIENTS_CHURN[[#This Row],[Duree_Cumulee_Panne_Min]]&gt;0,1,0)</f>
        <v>1</v>
      </c>
      <c r="L151" t="str">
        <f>IF(CLIENTS_CHURN[[#This Row],[Type_Forfait]]="Pro Monde","B2B","B2C")</f>
        <v>B2B</v>
      </c>
    </row>
    <row r="152" spans="1:12" x14ac:dyDescent="0.25">
      <c r="A152" s="1">
        <f t="shared" si="2"/>
        <v>151</v>
      </c>
      <c r="B152" s="1" t="s">
        <v>729</v>
      </c>
      <c r="C152" s="1" t="s">
        <v>33</v>
      </c>
      <c r="D152" s="1">
        <v>20</v>
      </c>
      <c r="E152" s="1" t="s">
        <v>12</v>
      </c>
      <c r="F152" s="1">
        <v>31</v>
      </c>
      <c r="G152" s="9">
        <v>52.85</v>
      </c>
      <c r="H152" s="1">
        <v>2</v>
      </c>
      <c r="I1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52" s="9">
        <f>CLIENTS_CHURN[[#This Row],[Facture_Mensuelle]]*CLIENTS_CHURN[[#This Row],[Remise (%)]]</f>
        <v>5.2850000000000001</v>
      </c>
      <c r="K152">
        <f>IF(CLIENTS_CHURN[[#This Row],[Duree_Cumulee_Panne_Min]]&gt;0,1,0)</f>
        <v>1</v>
      </c>
      <c r="L152" t="str">
        <f>IF(CLIENTS_CHURN[[#This Row],[Type_Forfait]]="Pro Monde","B2B","B2C")</f>
        <v>B2B</v>
      </c>
    </row>
    <row r="153" spans="1:12" x14ac:dyDescent="0.25">
      <c r="A153" s="1">
        <f t="shared" si="2"/>
        <v>152</v>
      </c>
      <c r="B153" s="1" t="s">
        <v>23</v>
      </c>
      <c r="C153" s="1" t="s">
        <v>24</v>
      </c>
      <c r="D153" s="1">
        <v>99</v>
      </c>
      <c r="E153" s="1" t="s">
        <v>9</v>
      </c>
      <c r="F153" s="1">
        <v>447</v>
      </c>
      <c r="G153" s="9">
        <v>38.1</v>
      </c>
      <c r="H153" s="1">
        <v>3</v>
      </c>
      <c r="I1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3" s="9">
        <f>CLIENTS_CHURN[[#This Row],[Facture_Mensuelle]]*CLIENTS_CHURN[[#This Row],[Remise (%)]]</f>
        <v>17.145</v>
      </c>
      <c r="K153">
        <f>IF(CLIENTS_CHURN[[#This Row],[Duree_Cumulee_Panne_Min]]&gt;0,1,0)</f>
        <v>1</v>
      </c>
      <c r="L153" t="str">
        <f>IF(CLIENTS_CHURN[[#This Row],[Type_Forfait]]="Pro Monde","B2B","B2C")</f>
        <v>B2C</v>
      </c>
    </row>
    <row r="154" spans="1:12" x14ac:dyDescent="0.25">
      <c r="A154" s="1">
        <f t="shared" si="2"/>
        <v>153</v>
      </c>
      <c r="B154" s="1" t="s">
        <v>335</v>
      </c>
      <c r="C154" s="1" t="s">
        <v>8</v>
      </c>
      <c r="D154" s="1">
        <v>87</v>
      </c>
      <c r="E154" s="1" t="s">
        <v>17</v>
      </c>
      <c r="F154" s="1">
        <v>21</v>
      </c>
      <c r="G154" s="9">
        <v>81.459999999999994</v>
      </c>
      <c r="H154" s="1">
        <v>3</v>
      </c>
      <c r="I1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54" s="9">
        <f>CLIENTS_CHURN[[#This Row],[Facture_Mensuelle]]*CLIENTS_CHURN[[#This Row],[Remise (%)]]</f>
        <v>0</v>
      </c>
      <c r="K154">
        <f>IF(CLIENTS_CHURN[[#This Row],[Duree_Cumulee_Panne_Min]]&gt;0,1,0)</f>
        <v>1</v>
      </c>
      <c r="L154" t="str">
        <f>IF(CLIENTS_CHURN[[#This Row],[Type_Forfait]]="Pro Monde","B2B","B2C")</f>
        <v>B2C</v>
      </c>
    </row>
    <row r="155" spans="1:12" x14ac:dyDescent="0.25">
      <c r="A155" s="1">
        <f t="shared" si="2"/>
        <v>154</v>
      </c>
      <c r="B155" s="1" t="s">
        <v>486</v>
      </c>
      <c r="C155" s="1" t="s">
        <v>8</v>
      </c>
      <c r="D155" s="1">
        <v>96</v>
      </c>
      <c r="E155" s="1" t="s">
        <v>9</v>
      </c>
      <c r="F155" s="1">
        <v>273</v>
      </c>
      <c r="G155" s="9">
        <v>37.909999999999997</v>
      </c>
      <c r="H155" s="1">
        <v>2</v>
      </c>
      <c r="I1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5" s="9">
        <f>CLIENTS_CHURN[[#This Row],[Facture_Mensuelle]]*CLIENTS_CHURN[[#This Row],[Remise (%)]]</f>
        <v>17.0595</v>
      </c>
      <c r="K155">
        <f>IF(CLIENTS_CHURN[[#This Row],[Duree_Cumulee_Panne_Min]]&gt;0,1,0)</f>
        <v>1</v>
      </c>
      <c r="L155" t="str">
        <f>IF(CLIENTS_CHURN[[#This Row],[Type_Forfait]]="Pro Monde","B2B","B2C")</f>
        <v>B2C</v>
      </c>
    </row>
    <row r="156" spans="1:12" x14ac:dyDescent="0.25">
      <c r="A156" s="1">
        <f t="shared" si="2"/>
        <v>155</v>
      </c>
      <c r="B156" s="1" t="s">
        <v>346</v>
      </c>
      <c r="C156" s="1" t="s">
        <v>134</v>
      </c>
      <c r="D156" s="1">
        <v>103</v>
      </c>
      <c r="E156" s="1" t="s">
        <v>20</v>
      </c>
      <c r="F156" s="1">
        <v>182</v>
      </c>
      <c r="G156" s="9">
        <v>12.07</v>
      </c>
      <c r="H156" s="1">
        <v>5</v>
      </c>
      <c r="I1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56" s="9">
        <f>CLIENTS_CHURN[[#This Row],[Facture_Mensuelle]]*CLIENTS_CHURN[[#This Row],[Remise (%)]]</f>
        <v>0</v>
      </c>
      <c r="K156">
        <f>IF(CLIENTS_CHURN[[#This Row],[Duree_Cumulee_Panne_Min]]&gt;0,1,0)</f>
        <v>1</v>
      </c>
      <c r="L156" t="str">
        <f>IF(CLIENTS_CHURN[[#This Row],[Type_Forfait]]="Pro Monde","B2B","B2C")</f>
        <v>B2C</v>
      </c>
    </row>
    <row r="157" spans="1:12" x14ac:dyDescent="0.25">
      <c r="A157" s="1">
        <f t="shared" si="2"/>
        <v>156</v>
      </c>
      <c r="B157" s="1" t="s">
        <v>559</v>
      </c>
      <c r="C157" s="1" t="s">
        <v>35</v>
      </c>
      <c r="D157" s="1">
        <v>18</v>
      </c>
      <c r="E157" s="1" t="s">
        <v>17</v>
      </c>
      <c r="F157" s="1">
        <v>446</v>
      </c>
      <c r="G157" s="9">
        <v>97.3</v>
      </c>
      <c r="H157" s="1">
        <v>5</v>
      </c>
      <c r="I1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7" s="9">
        <f>CLIENTS_CHURN[[#This Row],[Facture_Mensuelle]]*CLIENTS_CHURN[[#This Row],[Remise (%)]]</f>
        <v>43.784999999999997</v>
      </c>
      <c r="K157">
        <f>IF(CLIENTS_CHURN[[#This Row],[Duree_Cumulee_Panne_Min]]&gt;0,1,0)</f>
        <v>1</v>
      </c>
      <c r="L157" t="str">
        <f>IF(CLIENTS_CHURN[[#This Row],[Type_Forfait]]="Pro Monde","B2B","B2C")</f>
        <v>B2C</v>
      </c>
    </row>
    <row r="158" spans="1:12" x14ac:dyDescent="0.25">
      <c r="A158" s="1">
        <f t="shared" si="2"/>
        <v>157</v>
      </c>
      <c r="B158" s="1" t="s">
        <v>703</v>
      </c>
      <c r="C158" s="1" t="s">
        <v>71</v>
      </c>
      <c r="D158" s="1">
        <v>28</v>
      </c>
      <c r="E158" s="1" t="s">
        <v>9</v>
      </c>
      <c r="F158" s="1">
        <v>343</v>
      </c>
      <c r="G158" s="9">
        <v>64.34</v>
      </c>
      <c r="H158" s="1">
        <v>5</v>
      </c>
      <c r="I1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8" s="9">
        <f>CLIENTS_CHURN[[#This Row],[Facture_Mensuelle]]*CLIENTS_CHURN[[#This Row],[Remise (%)]]</f>
        <v>28.953000000000003</v>
      </c>
      <c r="K158">
        <f>IF(CLIENTS_CHURN[[#This Row],[Duree_Cumulee_Panne_Min]]&gt;0,1,0)</f>
        <v>1</v>
      </c>
      <c r="L158" t="str">
        <f>IF(CLIENTS_CHURN[[#This Row],[Type_Forfait]]="Pro Monde","B2B","B2C")</f>
        <v>B2C</v>
      </c>
    </row>
    <row r="159" spans="1:12" x14ac:dyDescent="0.25">
      <c r="A159" s="1">
        <f t="shared" si="2"/>
        <v>158</v>
      </c>
      <c r="B159" s="1" t="s">
        <v>195</v>
      </c>
      <c r="C159" s="1" t="s">
        <v>31</v>
      </c>
      <c r="D159" s="1">
        <v>60</v>
      </c>
      <c r="E159" s="1" t="s">
        <v>12</v>
      </c>
      <c r="F159" s="1">
        <v>334</v>
      </c>
      <c r="G159" s="9">
        <v>71.72</v>
      </c>
      <c r="H159" s="1">
        <v>3</v>
      </c>
      <c r="I1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59" s="9">
        <f>CLIENTS_CHURN[[#This Row],[Facture_Mensuelle]]*CLIENTS_CHURN[[#This Row],[Remise (%)]]</f>
        <v>32.274000000000001</v>
      </c>
      <c r="K159">
        <f>IF(CLIENTS_CHURN[[#This Row],[Duree_Cumulee_Panne_Min]]&gt;0,1,0)</f>
        <v>1</v>
      </c>
      <c r="L159" t="str">
        <f>IF(CLIENTS_CHURN[[#This Row],[Type_Forfait]]="Pro Monde","B2B","B2C")</f>
        <v>B2B</v>
      </c>
    </row>
    <row r="160" spans="1:12" x14ac:dyDescent="0.25">
      <c r="A160" s="1">
        <f t="shared" si="2"/>
        <v>159</v>
      </c>
      <c r="B160" s="1" t="s">
        <v>541</v>
      </c>
      <c r="C160" s="1" t="s">
        <v>27</v>
      </c>
      <c r="D160" s="1">
        <v>36</v>
      </c>
      <c r="E160" s="1" t="s">
        <v>20</v>
      </c>
      <c r="F160" s="1">
        <v>487</v>
      </c>
      <c r="G160" s="9">
        <v>45.02</v>
      </c>
      <c r="H160" s="1">
        <v>2</v>
      </c>
      <c r="I1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0" s="9">
        <f>CLIENTS_CHURN[[#This Row],[Facture_Mensuelle]]*CLIENTS_CHURN[[#This Row],[Remise (%)]]</f>
        <v>20.259</v>
      </c>
      <c r="K160">
        <f>IF(CLIENTS_CHURN[[#This Row],[Duree_Cumulee_Panne_Min]]&gt;0,1,0)</f>
        <v>1</v>
      </c>
      <c r="L160" t="str">
        <f>IF(CLIENTS_CHURN[[#This Row],[Type_Forfait]]="Pro Monde","B2B","B2C")</f>
        <v>B2C</v>
      </c>
    </row>
    <row r="161" spans="1:12" x14ac:dyDescent="0.25">
      <c r="A161" s="1">
        <f t="shared" si="2"/>
        <v>160</v>
      </c>
      <c r="B161" s="1" t="s">
        <v>379</v>
      </c>
      <c r="C161" s="1" t="s">
        <v>42</v>
      </c>
      <c r="D161" s="1">
        <v>106</v>
      </c>
      <c r="E161" s="1" t="s">
        <v>20</v>
      </c>
      <c r="F161" s="1">
        <v>407</v>
      </c>
      <c r="G161" s="9">
        <v>59.92</v>
      </c>
      <c r="H161" s="1">
        <v>4</v>
      </c>
      <c r="I1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1" s="9">
        <f>CLIENTS_CHURN[[#This Row],[Facture_Mensuelle]]*CLIENTS_CHURN[[#This Row],[Remise (%)]]</f>
        <v>26.964000000000002</v>
      </c>
      <c r="K161">
        <f>IF(CLIENTS_CHURN[[#This Row],[Duree_Cumulee_Panne_Min]]&gt;0,1,0)</f>
        <v>1</v>
      </c>
      <c r="L161" t="str">
        <f>IF(CLIENTS_CHURN[[#This Row],[Type_Forfait]]="Pro Monde","B2B","B2C")</f>
        <v>B2C</v>
      </c>
    </row>
    <row r="162" spans="1:12" x14ac:dyDescent="0.25">
      <c r="A162" s="1">
        <f t="shared" si="2"/>
        <v>161</v>
      </c>
      <c r="B162" s="1" t="s">
        <v>123</v>
      </c>
      <c r="C162" s="1" t="s">
        <v>124</v>
      </c>
      <c r="D162" s="1">
        <v>40</v>
      </c>
      <c r="E162" s="1" t="s">
        <v>9</v>
      </c>
      <c r="F162" s="1">
        <v>345</v>
      </c>
      <c r="G162" s="9">
        <v>89.55</v>
      </c>
      <c r="H162" s="1">
        <v>3</v>
      </c>
      <c r="I1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2" s="9">
        <f>CLIENTS_CHURN[[#This Row],[Facture_Mensuelle]]*CLIENTS_CHURN[[#This Row],[Remise (%)]]</f>
        <v>40.297499999999999</v>
      </c>
      <c r="K162">
        <f>IF(CLIENTS_CHURN[[#This Row],[Duree_Cumulee_Panne_Min]]&gt;0,1,0)</f>
        <v>1</v>
      </c>
      <c r="L162" t="str">
        <f>IF(CLIENTS_CHURN[[#This Row],[Type_Forfait]]="Pro Monde","B2B","B2C")</f>
        <v>B2C</v>
      </c>
    </row>
    <row r="163" spans="1:12" x14ac:dyDescent="0.25">
      <c r="A163" s="1">
        <f t="shared" si="2"/>
        <v>162</v>
      </c>
      <c r="B163" s="1" t="s">
        <v>348</v>
      </c>
      <c r="C163" s="1" t="s">
        <v>38</v>
      </c>
      <c r="D163" s="1">
        <v>120</v>
      </c>
      <c r="E163" s="1" t="s">
        <v>20</v>
      </c>
      <c r="F163" s="1">
        <v>242</v>
      </c>
      <c r="G163" s="9">
        <v>61.54</v>
      </c>
      <c r="H163" s="1">
        <v>1</v>
      </c>
      <c r="I1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3" s="9">
        <f>CLIENTS_CHURN[[#This Row],[Facture_Mensuelle]]*CLIENTS_CHURN[[#This Row],[Remise (%)]]</f>
        <v>27.693000000000001</v>
      </c>
      <c r="K163">
        <f>IF(CLIENTS_CHURN[[#This Row],[Duree_Cumulee_Panne_Min]]&gt;0,1,0)</f>
        <v>1</v>
      </c>
      <c r="L163" t="str">
        <f>IF(CLIENTS_CHURN[[#This Row],[Type_Forfait]]="Pro Monde","B2B","B2C")</f>
        <v>B2C</v>
      </c>
    </row>
    <row r="164" spans="1:12" x14ac:dyDescent="0.25">
      <c r="A164" s="1">
        <f t="shared" si="2"/>
        <v>163</v>
      </c>
      <c r="B164" s="1" t="s">
        <v>119</v>
      </c>
      <c r="C164" s="1" t="s">
        <v>24</v>
      </c>
      <c r="D164" s="1">
        <v>81</v>
      </c>
      <c r="E164" s="1" t="s">
        <v>9</v>
      </c>
      <c r="F164" s="1">
        <v>137</v>
      </c>
      <c r="G164" s="9">
        <v>89.05</v>
      </c>
      <c r="H164" s="1">
        <v>0</v>
      </c>
      <c r="I1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64" s="9">
        <f>CLIENTS_CHURN[[#This Row],[Facture_Mensuelle]]*CLIENTS_CHURN[[#This Row],[Remise (%)]]</f>
        <v>0</v>
      </c>
      <c r="K164">
        <f>IF(CLIENTS_CHURN[[#This Row],[Duree_Cumulee_Panne_Min]]&gt;0,1,0)</f>
        <v>1</v>
      </c>
      <c r="L164" t="str">
        <f>IF(CLIENTS_CHURN[[#This Row],[Type_Forfait]]="Pro Monde","B2B","B2C")</f>
        <v>B2C</v>
      </c>
    </row>
    <row r="165" spans="1:12" x14ac:dyDescent="0.25">
      <c r="A165" s="1">
        <f t="shared" si="2"/>
        <v>164</v>
      </c>
      <c r="B165" s="1" t="s">
        <v>779</v>
      </c>
      <c r="C165" s="1" t="s">
        <v>22</v>
      </c>
      <c r="D165" s="1">
        <v>105</v>
      </c>
      <c r="E165" s="1" t="s">
        <v>9</v>
      </c>
      <c r="F165" s="1">
        <v>454</v>
      </c>
      <c r="G165" s="9">
        <v>49.47</v>
      </c>
      <c r="H165" s="1">
        <v>4</v>
      </c>
      <c r="I1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5" s="9">
        <f>CLIENTS_CHURN[[#This Row],[Facture_Mensuelle]]*CLIENTS_CHURN[[#This Row],[Remise (%)]]</f>
        <v>22.261500000000002</v>
      </c>
      <c r="K165">
        <f>IF(CLIENTS_CHURN[[#This Row],[Duree_Cumulee_Panne_Min]]&gt;0,1,0)</f>
        <v>1</v>
      </c>
      <c r="L165" t="str">
        <f>IF(CLIENTS_CHURN[[#This Row],[Type_Forfait]]="Pro Monde","B2B","B2C")</f>
        <v>B2C</v>
      </c>
    </row>
    <row r="166" spans="1:12" x14ac:dyDescent="0.25">
      <c r="A166" s="1">
        <f t="shared" si="2"/>
        <v>165</v>
      </c>
      <c r="B166" s="1" t="s">
        <v>297</v>
      </c>
      <c r="C166" s="1" t="s">
        <v>134</v>
      </c>
      <c r="D166" s="1">
        <v>5</v>
      </c>
      <c r="E166" s="1" t="s">
        <v>12</v>
      </c>
      <c r="F166" s="1">
        <v>98</v>
      </c>
      <c r="G166" s="9">
        <v>71.37</v>
      </c>
      <c r="H166" s="1">
        <v>1</v>
      </c>
      <c r="I1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66" s="9">
        <f>CLIENTS_CHURN[[#This Row],[Facture_Mensuelle]]*CLIENTS_CHURN[[#This Row],[Remise (%)]]</f>
        <v>7.1370000000000005</v>
      </c>
      <c r="K166">
        <f>IF(CLIENTS_CHURN[[#This Row],[Duree_Cumulee_Panne_Min]]&gt;0,1,0)</f>
        <v>1</v>
      </c>
      <c r="L166" t="str">
        <f>IF(CLIENTS_CHURN[[#This Row],[Type_Forfait]]="Pro Monde","B2B","B2C")</f>
        <v>B2B</v>
      </c>
    </row>
    <row r="167" spans="1:12" x14ac:dyDescent="0.25">
      <c r="A167" s="1">
        <f t="shared" si="2"/>
        <v>166</v>
      </c>
      <c r="B167" s="1" t="s">
        <v>304</v>
      </c>
      <c r="C167" s="1" t="s">
        <v>58</v>
      </c>
      <c r="D167" s="1">
        <v>25</v>
      </c>
      <c r="E167" s="1" t="s">
        <v>9</v>
      </c>
      <c r="F167" s="1">
        <v>467</v>
      </c>
      <c r="G167" s="9">
        <v>97.78</v>
      </c>
      <c r="H167" s="1">
        <v>3</v>
      </c>
      <c r="I1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7" s="9">
        <f>CLIENTS_CHURN[[#This Row],[Facture_Mensuelle]]*CLIENTS_CHURN[[#This Row],[Remise (%)]]</f>
        <v>44.001000000000005</v>
      </c>
      <c r="K167">
        <f>IF(CLIENTS_CHURN[[#This Row],[Duree_Cumulee_Panne_Min]]&gt;0,1,0)</f>
        <v>1</v>
      </c>
      <c r="L167" t="str">
        <f>IF(CLIENTS_CHURN[[#This Row],[Type_Forfait]]="Pro Monde","B2B","B2C")</f>
        <v>B2C</v>
      </c>
    </row>
    <row r="168" spans="1:12" x14ac:dyDescent="0.25">
      <c r="A168" s="1">
        <f t="shared" si="2"/>
        <v>167</v>
      </c>
      <c r="B168" s="1" t="s">
        <v>461</v>
      </c>
      <c r="C168" s="1" t="s">
        <v>42</v>
      </c>
      <c r="D168" s="1">
        <v>36</v>
      </c>
      <c r="E168" s="1" t="s">
        <v>9</v>
      </c>
      <c r="F168" s="1">
        <v>137</v>
      </c>
      <c r="G168" s="9">
        <v>71.930000000000007</v>
      </c>
      <c r="H168" s="1">
        <v>0</v>
      </c>
      <c r="I1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68" s="9">
        <f>CLIENTS_CHURN[[#This Row],[Facture_Mensuelle]]*CLIENTS_CHURN[[#This Row],[Remise (%)]]</f>
        <v>0</v>
      </c>
      <c r="K168">
        <f>IF(CLIENTS_CHURN[[#This Row],[Duree_Cumulee_Panne_Min]]&gt;0,1,0)</f>
        <v>1</v>
      </c>
      <c r="L168" t="str">
        <f>IF(CLIENTS_CHURN[[#This Row],[Type_Forfait]]="Pro Monde","B2B","B2C")</f>
        <v>B2C</v>
      </c>
    </row>
    <row r="169" spans="1:12" x14ac:dyDescent="0.25">
      <c r="A169" s="1">
        <f t="shared" si="2"/>
        <v>168</v>
      </c>
      <c r="B169" s="1" t="s">
        <v>753</v>
      </c>
      <c r="C169" s="1" t="s">
        <v>65</v>
      </c>
      <c r="D169" s="1">
        <v>81</v>
      </c>
      <c r="E169" s="1" t="s">
        <v>20</v>
      </c>
      <c r="F169" s="1">
        <v>339</v>
      </c>
      <c r="G169" s="9">
        <v>53.4</v>
      </c>
      <c r="H169" s="1">
        <v>2</v>
      </c>
      <c r="I1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69" s="9">
        <f>CLIENTS_CHURN[[#This Row],[Facture_Mensuelle]]*CLIENTS_CHURN[[#This Row],[Remise (%)]]</f>
        <v>24.03</v>
      </c>
      <c r="K169">
        <f>IF(CLIENTS_CHURN[[#This Row],[Duree_Cumulee_Panne_Min]]&gt;0,1,0)</f>
        <v>1</v>
      </c>
      <c r="L169" t="str">
        <f>IF(CLIENTS_CHURN[[#This Row],[Type_Forfait]]="Pro Monde","B2B","B2C")</f>
        <v>B2C</v>
      </c>
    </row>
    <row r="170" spans="1:12" x14ac:dyDescent="0.25">
      <c r="A170" s="1">
        <f t="shared" si="2"/>
        <v>169</v>
      </c>
      <c r="B170" s="1" t="s">
        <v>777</v>
      </c>
      <c r="C170" s="1" t="s">
        <v>55</v>
      </c>
      <c r="D170" s="1">
        <v>21</v>
      </c>
      <c r="E170" s="1" t="s">
        <v>17</v>
      </c>
      <c r="F170" s="1">
        <v>475</v>
      </c>
      <c r="G170" s="9">
        <v>15.12</v>
      </c>
      <c r="H170" s="1">
        <v>2</v>
      </c>
      <c r="I1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0" s="9">
        <f>CLIENTS_CHURN[[#This Row],[Facture_Mensuelle]]*CLIENTS_CHURN[[#This Row],[Remise (%)]]</f>
        <v>6.8039999999999994</v>
      </c>
      <c r="K170">
        <f>IF(CLIENTS_CHURN[[#This Row],[Duree_Cumulee_Panne_Min]]&gt;0,1,0)</f>
        <v>1</v>
      </c>
      <c r="L170" t="str">
        <f>IF(CLIENTS_CHURN[[#This Row],[Type_Forfait]]="Pro Monde","B2B","B2C")</f>
        <v>B2C</v>
      </c>
    </row>
    <row r="171" spans="1:12" x14ac:dyDescent="0.25">
      <c r="A171" s="1">
        <f t="shared" si="2"/>
        <v>170</v>
      </c>
      <c r="B171" s="1" t="s">
        <v>393</v>
      </c>
      <c r="C171" s="1" t="s">
        <v>38</v>
      </c>
      <c r="D171" s="1">
        <v>19</v>
      </c>
      <c r="E171" s="1" t="s">
        <v>20</v>
      </c>
      <c r="F171" s="1">
        <v>450</v>
      </c>
      <c r="G171" s="9">
        <v>37.43</v>
      </c>
      <c r="H171" s="1">
        <v>2</v>
      </c>
      <c r="I1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1" s="9">
        <f>CLIENTS_CHURN[[#This Row],[Facture_Mensuelle]]*CLIENTS_CHURN[[#This Row],[Remise (%)]]</f>
        <v>16.843499999999999</v>
      </c>
      <c r="K171">
        <f>IF(CLIENTS_CHURN[[#This Row],[Duree_Cumulee_Panne_Min]]&gt;0,1,0)</f>
        <v>1</v>
      </c>
      <c r="L171" t="str">
        <f>IF(CLIENTS_CHURN[[#This Row],[Type_Forfait]]="Pro Monde","B2B","B2C")</f>
        <v>B2C</v>
      </c>
    </row>
    <row r="172" spans="1:12" x14ac:dyDescent="0.25">
      <c r="A172" s="1">
        <f t="shared" si="2"/>
        <v>171</v>
      </c>
      <c r="B172" s="1" t="s">
        <v>193</v>
      </c>
      <c r="C172" s="1" t="s">
        <v>42</v>
      </c>
      <c r="D172" s="1">
        <v>64</v>
      </c>
      <c r="E172" s="1" t="s">
        <v>12</v>
      </c>
      <c r="F172" s="1">
        <v>6</v>
      </c>
      <c r="G172" s="9">
        <v>40.58</v>
      </c>
      <c r="H172" s="1">
        <v>5</v>
      </c>
      <c r="I1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72" s="9">
        <f>CLIENTS_CHURN[[#This Row],[Facture_Mensuelle]]*CLIENTS_CHURN[[#This Row],[Remise (%)]]</f>
        <v>4.0579999999999998</v>
      </c>
      <c r="K172">
        <f>IF(CLIENTS_CHURN[[#This Row],[Duree_Cumulee_Panne_Min]]&gt;0,1,0)</f>
        <v>1</v>
      </c>
      <c r="L172" t="str">
        <f>IF(CLIENTS_CHURN[[#This Row],[Type_Forfait]]="Pro Monde","B2B","B2C")</f>
        <v>B2B</v>
      </c>
    </row>
    <row r="173" spans="1:12" x14ac:dyDescent="0.25">
      <c r="A173" s="1">
        <f t="shared" si="2"/>
        <v>172</v>
      </c>
      <c r="B173" s="1" t="s">
        <v>83</v>
      </c>
      <c r="C173" s="1" t="s">
        <v>49</v>
      </c>
      <c r="D173" s="1">
        <v>82</v>
      </c>
      <c r="E173" s="1" t="s">
        <v>17</v>
      </c>
      <c r="F173" s="1">
        <v>132</v>
      </c>
      <c r="G173" s="9">
        <v>50.14</v>
      </c>
      <c r="H173" s="1">
        <v>5</v>
      </c>
      <c r="I1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73" s="9">
        <f>CLIENTS_CHURN[[#This Row],[Facture_Mensuelle]]*CLIENTS_CHURN[[#This Row],[Remise (%)]]</f>
        <v>0</v>
      </c>
      <c r="K173">
        <f>IF(CLIENTS_CHURN[[#This Row],[Duree_Cumulee_Panne_Min]]&gt;0,1,0)</f>
        <v>1</v>
      </c>
      <c r="L173" t="str">
        <f>IF(CLIENTS_CHURN[[#This Row],[Type_Forfait]]="Pro Monde","B2B","B2C")</f>
        <v>B2C</v>
      </c>
    </row>
    <row r="174" spans="1:12" x14ac:dyDescent="0.25">
      <c r="A174" s="1">
        <f t="shared" si="2"/>
        <v>173</v>
      </c>
      <c r="B174" s="1" t="s">
        <v>182</v>
      </c>
      <c r="C174" s="1" t="s">
        <v>65</v>
      </c>
      <c r="D174" s="1">
        <v>74</v>
      </c>
      <c r="E174" s="1" t="s">
        <v>12</v>
      </c>
      <c r="F174" s="1">
        <v>371</v>
      </c>
      <c r="G174" s="9">
        <v>53.27</v>
      </c>
      <c r="H174" s="1">
        <v>3</v>
      </c>
      <c r="I1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4" s="9">
        <f>CLIENTS_CHURN[[#This Row],[Facture_Mensuelle]]*CLIENTS_CHURN[[#This Row],[Remise (%)]]</f>
        <v>23.971500000000002</v>
      </c>
      <c r="K174">
        <f>IF(CLIENTS_CHURN[[#This Row],[Duree_Cumulee_Panne_Min]]&gt;0,1,0)</f>
        <v>1</v>
      </c>
      <c r="L174" t="str">
        <f>IF(CLIENTS_CHURN[[#This Row],[Type_Forfait]]="Pro Monde","B2B","B2C")</f>
        <v>B2B</v>
      </c>
    </row>
    <row r="175" spans="1:12" x14ac:dyDescent="0.25">
      <c r="A175" s="1">
        <f t="shared" si="2"/>
        <v>174</v>
      </c>
      <c r="B175" s="1" t="s">
        <v>102</v>
      </c>
      <c r="C175" s="1" t="s">
        <v>22</v>
      </c>
      <c r="D175" s="1">
        <v>116</v>
      </c>
      <c r="E175" s="1" t="s">
        <v>12</v>
      </c>
      <c r="F175" s="1">
        <v>486</v>
      </c>
      <c r="G175" s="9">
        <v>92.96</v>
      </c>
      <c r="H175" s="1">
        <v>5</v>
      </c>
      <c r="I1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5" s="9">
        <f>CLIENTS_CHURN[[#This Row],[Facture_Mensuelle]]*CLIENTS_CHURN[[#This Row],[Remise (%)]]</f>
        <v>41.832000000000001</v>
      </c>
      <c r="K175">
        <f>IF(CLIENTS_CHURN[[#This Row],[Duree_Cumulee_Panne_Min]]&gt;0,1,0)</f>
        <v>1</v>
      </c>
      <c r="L175" t="str">
        <f>IF(CLIENTS_CHURN[[#This Row],[Type_Forfait]]="Pro Monde","B2B","B2C")</f>
        <v>B2B</v>
      </c>
    </row>
    <row r="176" spans="1:12" x14ac:dyDescent="0.25">
      <c r="A176" s="1">
        <f t="shared" si="2"/>
        <v>175</v>
      </c>
      <c r="B176" s="1" t="s">
        <v>168</v>
      </c>
      <c r="C176" s="1" t="s">
        <v>86</v>
      </c>
      <c r="D176" s="1">
        <v>29</v>
      </c>
      <c r="E176" s="1" t="s">
        <v>12</v>
      </c>
      <c r="F176" s="1">
        <v>34</v>
      </c>
      <c r="G176" s="9">
        <v>86.68</v>
      </c>
      <c r="H176" s="1">
        <v>1</v>
      </c>
      <c r="I1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76" s="9">
        <f>CLIENTS_CHURN[[#This Row],[Facture_Mensuelle]]*CLIENTS_CHURN[[#This Row],[Remise (%)]]</f>
        <v>8.668000000000001</v>
      </c>
      <c r="K176">
        <f>IF(CLIENTS_CHURN[[#This Row],[Duree_Cumulee_Panne_Min]]&gt;0,1,0)</f>
        <v>1</v>
      </c>
      <c r="L176" t="str">
        <f>IF(CLIENTS_CHURN[[#This Row],[Type_Forfait]]="Pro Monde","B2B","B2C")</f>
        <v>B2B</v>
      </c>
    </row>
    <row r="177" spans="1:12" x14ac:dyDescent="0.25">
      <c r="A177" s="1">
        <f t="shared" si="2"/>
        <v>176</v>
      </c>
      <c r="B177" s="1" t="s">
        <v>555</v>
      </c>
      <c r="C177" s="1" t="s">
        <v>19</v>
      </c>
      <c r="D177" s="1">
        <v>113</v>
      </c>
      <c r="E177" s="1" t="s">
        <v>12</v>
      </c>
      <c r="F177" s="1">
        <v>152</v>
      </c>
      <c r="G177" s="9">
        <v>51.28</v>
      </c>
      <c r="H177" s="1">
        <v>4</v>
      </c>
      <c r="I1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77" s="9">
        <f>CLIENTS_CHURN[[#This Row],[Facture_Mensuelle]]*CLIENTS_CHURN[[#This Row],[Remise (%)]]</f>
        <v>5.1280000000000001</v>
      </c>
      <c r="K177">
        <f>IF(CLIENTS_CHURN[[#This Row],[Duree_Cumulee_Panne_Min]]&gt;0,1,0)</f>
        <v>1</v>
      </c>
      <c r="L177" t="str">
        <f>IF(CLIENTS_CHURN[[#This Row],[Type_Forfait]]="Pro Monde","B2B","B2C")</f>
        <v>B2B</v>
      </c>
    </row>
    <row r="178" spans="1:12" x14ac:dyDescent="0.25">
      <c r="A178" s="1">
        <f t="shared" si="2"/>
        <v>177</v>
      </c>
      <c r="B178" s="1" t="s">
        <v>707</v>
      </c>
      <c r="C178" s="1" t="s">
        <v>19</v>
      </c>
      <c r="D178" s="1">
        <v>16</v>
      </c>
      <c r="E178" s="1" t="s">
        <v>20</v>
      </c>
      <c r="F178" s="1">
        <v>390</v>
      </c>
      <c r="G178" s="9">
        <v>52.64</v>
      </c>
      <c r="H178" s="1">
        <v>0</v>
      </c>
      <c r="I1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8" s="9">
        <f>CLIENTS_CHURN[[#This Row],[Facture_Mensuelle]]*CLIENTS_CHURN[[#This Row],[Remise (%)]]</f>
        <v>23.688000000000002</v>
      </c>
      <c r="K178">
        <f>IF(CLIENTS_CHURN[[#This Row],[Duree_Cumulee_Panne_Min]]&gt;0,1,0)</f>
        <v>1</v>
      </c>
      <c r="L178" t="str">
        <f>IF(CLIENTS_CHURN[[#This Row],[Type_Forfait]]="Pro Monde","B2B","B2C")</f>
        <v>B2C</v>
      </c>
    </row>
    <row r="179" spans="1:12" x14ac:dyDescent="0.25">
      <c r="A179" s="1">
        <f t="shared" si="2"/>
        <v>178</v>
      </c>
      <c r="B179" s="1" t="s">
        <v>728</v>
      </c>
      <c r="C179" s="1" t="s">
        <v>19</v>
      </c>
      <c r="D179" s="1">
        <v>72</v>
      </c>
      <c r="E179" s="1" t="s">
        <v>12</v>
      </c>
      <c r="F179" s="1">
        <v>442</v>
      </c>
      <c r="G179" s="9">
        <v>59.2</v>
      </c>
      <c r="H179" s="1">
        <v>1</v>
      </c>
      <c r="I1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79" s="9">
        <f>CLIENTS_CHURN[[#This Row],[Facture_Mensuelle]]*CLIENTS_CHURN[[#This Row],[Remise (%)]]</f>
        <v>26.64</v>
      </c>
      <c r="K179">
        <f>IF(CLIENTS_CHURN[[#This Row],[Duree_Cumulee_Panne_Min]]&gt;0,1,0)</f>
        <v>1</v>
      </c>
      <c r="L179" t="str">
        <f>IF(CLIENTS_CHURN[[#This Row],[Type_Forfait]]="Pro Monde","B2B","B2C")</f>
        <v>B2B</v>
      </c>
    </row>
    <row r="180" spans="1:12" x14ac:dyDescent="0.25">
      <c r="A180" s="1">
        <f t="shared" si="2"/>
        <v>179</v>
      </c>
      <c r="B180" s="1" t="s">
        <v>144</v>
      </c>
      <c r="C180" s="1" t="s">
        <v>65</v>
      </c>
      <c r="D180" s="1">
        <v>59</v>
      </c>
      <c r="E180" s="1" t="s">
        <v>17</v>
      </c>
      <c r="F180" s="1">
        <v>196</v>
      </c>
      <c r="G180" s="9">
        <v>62.53</v>
      </c>
      <c r="H180" s="1">
        <v>0</v>
      </c>
      <c r="I1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80" s="9">
        <f>CLIENTS_CHURN[[#This Row],[Facture_Mensuelle]]*CLIENTS_CHURN[[#This Row],[Remise (%)]]</f>
        <v>0</v>
      </c>
      <c r="K180">
        <f>IF(CLIENTS_CHURN[[#This Row],[Duree_Cumulee_Panne_Min]]&gt;0,1,0)</f>
        <v>1</v>
      </c>
      <c r="L180" t="str">
        <f>IF(CLIENTS_CHURN[[#This Row],[Type_Forfait]]="Pro Monde","B2B","B2C")</f>
        <v>B2C</v>
      </c>
    </row>
    <row r="181" spans="1:12" x14ac:dyDescent="0.25">
      <c r="A181" s="1">
        <f t="shared" si="2"/>
        <v>180</v>
      </c>
      <c r="B181" s="1" t="s">
        <v>365</v>
      </c>
      <c r="C181" s="1" t="s">
        <v>65</v>
      </c>
      <c r="D181" s="1">
        <v>38</v>
      </c>
      <c r="E181" s="1" t="s">
        <v>9</v>
      </c>
      <c r="F181" s="1">
        <v>60</v>
      </c>
      <c r="G181" s="9">
        <v>58.28</v>
      </c>
      <c r="H181" s="1">
        <v>4</v>
      </c>
      <c r="I1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81" s="9">
        <f>CLIENTS_CHURN[[#This Row],[Facture_Mensuelle]]*CLIENTS_CHURN[[#This Row],[Remise (%)]]</f>
        <v>0</v>
      </c>
      <c r="K181">
        <f>IF(CLIENTS_CHURN[[#This Row],[Duree_Cumulee_Panne_Min]]&gt;0,1,0)</f>
        <v>1</v>
      </c>
      <c r="L181" t="str">
        <f>IF(CLIENTS_CHURN[[#This Row],[Type_Forfait]]="Pro Monde","B2B","B2C")</f>
        <v>B2C</v>
      </c>
    </row>
    <row r="182" spans="1:12" x14ac:dyDescent="0.25">
      <c r="A182" s="1">
        <f t="shared" si="2"/>
        <v>181</v>
      </c>
      <c r="B182" s="1" t="s">
        <v>623</v>
      </c>
      <c r="C182" s="1" t="s">
        <v>62</v>
      </c>
      <c r="D182" s="1">
        <v>118</v>
      </c>
      <c r="E182" s="1" t="s">
        <v>17</v>
      </c>
      <c r="F182" s="1">
        <v>186</v>
      </c>
      <c r="G182" s="9">
        <v>46.88</v>
      </c>
      <c r="H182" s="1">
        <v>1</v>
      </c>
      <c r="I1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82" s="9">
        <f>CLIENTS_CHURN[[#This Row],[Facture_Mensuelle]]*CLIENTS_CHURN[[#This Row],[Remise (%)]]</f>
        <v>0</v>
      </c>
      <c r="K182">
        <f>IF(CLIENTS_CHURN[[#This Row],[Duree_Cumulee_Panne_Min]]&gt;0,1,0)</f>
        <v>1</v>
      </c>
      <c r="L182" t="str">
        <f>IF(CLIENTS_CHURN[[#This Row],[Type_Forfait]]="Pro Monde","B2B","B2C")</f>
        <v>B2C</v>
      </c>
    </row>
    <row r="183" spans="1:12" x14ac:dyDescent="0.25">
      <c r="A183" s="1">
        <f t="shared" si="2"/>
        <v>182</v>
      </c>
      <c r="B183" s="1" t="s">
        <v>262</v>
      </c>
      <c r="C183" s="1" t="s">
        <v>58</v>
      </c>
      <c r="D183" s="1">
        <v>42</v>
      </c>
      <c r="E183" s="1" t="s">
        <v>20</v>
      </c>
      <c r="F183" s="1">
        <v>453</v>
      </c>
      <c r="G183" s="9">
        <v>36.700000000000003</v>
      </c>
      <c r="H183" s="1">
        <v>4</v>
      </c>
      <c r="I1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3" s="9">
        <f>CLIENTS_CHURN[[#This Row],[Facture_Mensuelle]]*CLIENTS_CHURN[[#This Row],[Remise (%)]]</f>
        <v>16.515000000000001</v>
      </c>
      <c r="K183">
        <f>IF(CLIENTS_CHURN[[#This Row],[Duree_Cumulee_Panne_Min]]&gt;0,1,0)</f>
        <v>1</v>
      </c>
      <c r="L183" t="str">
        <f>IF(CLIENTS_CHURN[[#This Row],[Type_Forfait]]="Pro Monde","B2B","B2C")</f>
        <v>B2C</v>
      </c>
    </row>
    <row r="184" spans="1:12" x14ac:dyDescent="0.25">
      <c r="A184" s="1">
        <f t="shared" si="2"/>
        <v>183</v>
      </c>
      <c r="B184" s="1" t="s">
        <v>98</v>
      </c>
      <c r="C184" s="1" t="s">
        <v>62</v>
      </c>
      <c r="D184" s="1">
        <v>80</v>
      </c>
      <c r="E184" s="1" t="s">
        <v>17</v>
      </c>
      <c r="F184" s="1">
        <v>260</v>
      </c>
      <c r="G184" s="9">
        <v>65.87</v>
      </c>
      <c r="H184" s="1">
        <v>3</v>
      </c>
      <c r="I1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4" s="9">
        <f>CLIENTS_CHURN[[#This Row],[Facture_Mensuelle]]*CLIENTS_CHURN[[#This Row],[Remise (%)]]</f>
        <v>29.641500000000004</v>
      </c>
      <c r="K184">
        <f>IF(CLIENTS_CHURN[[#This Row],[Duree_Cumulee_Panne_Min]]&gt;0,1,0)</f>
        <v>1</v>
      </c>
      <c r="L184" t="str">
        <f>IF(CLIENTS_CHURN[[#This Row],[Type_Forfait]]="Pro Monde","B2B","B2C")</f>
        <v>B2C</v>
      </c>
    </row>
    <row r="185" spans="1:12" x14ac:dyDescent="0.25">
      <c r="A185" s="1">
        <f t="shared" si="2"/>
        <v>184</v>
      </c>
      <c r="B185" s="1" t="s">
        <v>169</v>
      </c>
      <c r="C185" s="1" t="s">
        <v>27</v>
      </c>
      <c r="D185" s="1">
        <v>7</v>
      </c>
      <c r="E185" s="1" t="s">
        <v>9</v>
      </c>
      <c r="F185" s="1">
        <v>303</v>
      </c>
      <c r="G185" s="9">
        <v>60.95</v>
      </c>
      <c r="H185" s="1">
        <v>0</v>
      </c>
      <c r="I1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5" s="9">
        <f>CLIENTS_CHURN[[#This Row],[Facture_Mensuelle]]*CLIENTS_CHURN[[#This Row],[Remise (%)]]</f>
        <v>27.427500000000002</v>
      </c>
      <c r="K185">
        <f>IF(CLIENTS_CHURN[[#This Row],[Duree_Cumulee_Panne_Min]]&gt;0,1,0)</f>
        <v>1</v>
      </c>
      <c r="L185" t="str">
        <f>IF(CLIENTS_CHURN[[#This Row],[Type_Forfait]]="Pro Monde","B2B","B2C")</f>
        <v>B2C</v>
      </c>
    </row>
    <row r="186" spans="1:12" x14ac:dyDescent="0.25">
      <c r="A186" s="1">
        <f t="shared" si="2"/>
        <v>185</v>
      </c>
      <c r="B186" s="1" t="s">
        <v>403</v>
      </c>
      <c r="C186" s="1" t="s">
        <v>16</v>
      </c>
      <c r="D186" s="1">
        <v>14</v>
      </c>
      <c r="E186" s="1" t="s">
        <v>12</v>
      </c>
      <c r="F186" s="1">
        <v>345</v>
      </c>
      <c r="G186" s="9">
        <v>39.57</v>
      </c>
      <c r="H186" s="1">
        <v>3</v>
      </c>
      <c r="I1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6" s="9">
        <f>CLIENTS_CHURN[[#This Row],[Facture_Mensuelle]]*CLIENTS_CHURN[[#This Row],[Remise (%)]]</f>
        <v>17.8065</v>
      </c>
      <c r="K186">
        <f>IF(CLIENTS_CHURN[[#This Row],[Duree_Cumulee_Panne_Min]]&gt;0,1,0)</f>
        <v>1</v>
      </c>
      <c r="L186" t="str">
        <f>IF(CLIENTS_CHURN[[#This Row],[Type_Forfait]]="Pro Monde","B2B","B2C")</f>
        <v>B2B</v>
      </c>
    </row>
    <row r="187" spans="1:12" x14ac:dyDescent="0.25">
      <c r="A187" s="1">
        <f t="shared" si="2"/>
        <v>186</v>
      </c>
      <c r="B187" s="1" t="s">
        <v>129</v>
      </c>
      <c r="C187" s="1" t="s">
        <v>24</v>
      </c>
      <c r="D187" s="1">
        <v>83</v>
      </c>
      <c r="E187" s="1" t="s">
        <v>9</v>
      </c>
      <c r="F187" s="1">
        <v>284</v>
      </c>
      <c r="G187" s="9">
        <v>73.7</v>
      </c>
      <c r="H187" s="1">
        <v>0</v>
      </c>
      <c r="I1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87" s="9">
        <f>CLIENTS_CHURN[[#This Row],[Facture_Mensuelle]]*CLIENTS_CHURN[[#This Row],[Remise (%)]]</f>
        <v>33.164999999999999</v>
      </c>
      <c r="K187">
        <f>IF(CLIENTS_CHURN[[#This Row],[Duree_Cumulee_Panne_Min]]&gt;0,1,0)</f>
        <v>1</v>
      </c>
      <c r="L187" t="str">
        <f>IF(CLIENTS_CHURN[[#This Row],[Type_Forfait]]="Pro Monde","B2B","B2C")</f>
        <v>B2C</v>
      </c>
    </row>
    <row r="188" spans="1:12" x14ac:dyDescent="0.25">
      <c r="A188" s="1">
        <f t="shared" si="2"/>
        <v>187</v>
      </c>
      <c r="B188" s="1" t="s">
        <v>643</v>
      </c>
      <c r="C188" s="1" t="s">
        <v>124</v>
      </c>
      <c r="D188" s="1">
        <v>56</v>
      </c>
      <c r="E188" s="1" t="s">
        <v>9</v>
      </c>
      <c r="F188" s="1">
        <v>123</v>
      </c>
      <c r="G188" s="9">
        <v>29.76</v>
      </c>
      <c r="H188" s="1">
        <v>5</v>
      </c>
      <c r="I1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88" s="9">
        <f>CLIENTS_CHURN[[#This Row],[Facture_Mensuelle]]*CLIENTS_CHURN[[#This Row],[Remise (%)]]</f>
        <v>0</v>
      </c>
      <c r="K188">
        <f>IF(CLIENTS_CHURN[[#This Row],[Duree_Cumulee_Panne_Min]]&gt;0,1,0)</f>
        <v>1</v>
      </c>
      <c r="L188" t="str">
        <f>IF(CLIENTS_CHURN[[#This Row],[Type_Forfait]]="Pro Monde","B2B","B2C")</f>
        <v>B2C</v>
      </c>
    </row>
    <row r="189" spans="1:12" x14ac:dyDescent="0.25">
      <c r="A189" s="1">
        <f t="shared" si="2"/>
        <v>188</v>
      </c>
      <c r="B189" s="1" t="s">
        <v>553</v>
      </c>
      <c r="C189" s="1" t="s">
        <v>76</v>
      </c>
      <c r="D189" s="1">
        <v>33</v>
      </c>
      <c r="E189" s="1" t="s">
        <v>12</v>
      </c>
      <c r="F189" s="1">
        <v>207</v>
      </c>
      <c r="G189" s="9">
        <v>38.49</v>
      </c>
      <c r="H189" s="1">
        <v>4</v>
      </c>
      <c r="I1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189" s="9">
        <f>CLIENTS_CHURN[[#This Row],[Facture_Mensuelle]]*CLIENTS_CHURN[[#This Row],[Remise (%)]]</f>
        <v>3.8490000000000002</v>
      </c>
      <c r="K189">
        <f>IF(CLIENTS_CHURN[[#This Row],[Duree_Cumulee_Panne_Min]]&gt;0,1,0)</f>
        <v>1</v>
      </c>
      <c r="L189" t="str">
        <f>IF(CLIENTS_CHURN[[#This Row],[Type_Forfait]]="Pro Monde","B2B","B2C")</f>
        <v>B2B</v>
      </c>
    </row>
    <row r="190" spans="1:12" x14ac:dyDescent="0.25">
      <c r="A190" s="1">
        <f t="shared" si="2"/>
        <v>189</v>
      </c>
      <c r="B190" s="1" t="s">
        <v>188</v>
      </c>
      <c r="C190" s="1" t="s">
        <v>8</v>
      </c>
      <c r="D190" s="1">
        <v>113</v>
      </c>
      <c r="E190" s="1" t="s">
        <v>9</v>
      </c>
      <c r="F190" s="1">
        <v>207</v>
      </c>
      <c r="G190" s="9">
        <v>21.55</v>
      </c>
      <c r="H190" s="1">
        <v>0</v>
      </c>
      <c r="I1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0" s="9">
        <f>CLIENTS_CHURN[[#This Row],[Facture_Mensuelle]]*CLIENTS_CHURN[[#This Row],[Remise (%)]]</f>
        <v>0</v>
      </c>
      <c r="K190">
        <f>IF(CLIENTS_CHURN[[#This Row],[Duree_Cumulee_Panne_Min]]&gt;0,1,0)</f>
        <v>1</v>
      </c>
      <c r="L190" t="str">
        <f>IF(CLIENTS_CHURN[[#This Row],[Type_Forfait]]="Pro Monde","B2B","B2C")</f>
        <v>B2C</v>
      </c>
    </row>
    <row r="191" spans="1:12" x14ac:dyDescent="0.25">
      <c r="A191" s="1">
        <f t="shared" si="2"/>
        <v>190</v>
      </c>
      <c r="B191" s="1" t="s">
        <v>386</v>
      </c>
      <c r="C191" s="1" t="s">
        <v>60</v>
      </c>
      <c r="D191" s="1">
        <v>89</v>
      </c>
      <c r="E191" s="1" t="s">
        <v>20</v>
      </c>
      <c r="F191" s="1">
        <v>418</v>
      </c>
      <c r="G191" s="9">
        <v>86.63</v>
      </c>
      <c r="H191" s="1">
        <v>4</v>
      </c>
      <c r="I1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91" s="9">
        <f>CLIENTS_CHURN[[#This Row],[Facture_Mensuelle]]*CLIENTS_CHURN[[#This Row],[Remise (%)]]</f>
        <v>38.983499999999999</v>
      </c>
      <c r="K191">
        <f>IF(CLIENTS_CHURN[[#This Row],[Duree_Cumulee_Panne_Min]]&gt;0,1,0)</f>
        <v>1</v>
      </c>
      <c r="L191" t="str">
        <f>IF(CLIENTS_CHURN[[#This Row],[Type_Forfait]]="Pro Monde","B2B","B2C")</f>
        <v>B2C</v>
      </c>
    </row>
    <row r="192" spans="1:12" x14ac:dyDescent="0.25">
      <c r="A192" s="1">
        <f t="shared" si="2"/>
        <v>191</v>
      </c>
      <c r="B192" s="1" t="s">
        <v>32</v>
      </c>
      <c r="C192" s="1" t="s">
        <v>33</v>
      </c>
      <c r="D192" s="1">
        <v>35</v>
      </c>
      <c r="E192" s="1" t="s">
        <v>12</v>
      </c>
      <c r="F192" s="1">
        <v>465</v>
      </c>
      <c r="G192" s="9">
        <v>58.59</v>
      </c>
      <c r="H192" s="1">
        <v>5</v>
      </c>
      <c r="I1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92" s="9">
        <f>CLIENTS_CHURN[[#This Row],[Facture_Mensuelle]]*CLIENTS_CHURN[[#This Row],[Remise (%)]]</f>
        <v>26.365500000000001</v>
      </c>
      <c r="K192">
        <f>IF(CLIENTS_CHURN[[#This Row],[Duree_Cumulee_Panne_Min]]&gt;0,1,0)</f>
        <v>1</v>
      </c>
      <c r="L192" t="str">
        <f>IF(CLIENTS_CHURN[[#This Row],[Type_Forfait]]="Pro Monde","B2B","B2C")</f>
        <v>B2B</v>
      </c>
    </row>
    <row r="193" spans="1:12" x14ac:dyDescent="0.25">
      <c r="A193" s="1">
        <f t="shared" si="2"/>
        <v>192</v>
      </c>
      <c r="B193" s="1" t="s">
        <v>671</v>
      </c>
      <c r="C193" s="1" t="s">
        <v>29</v>
      </c>
      <c r="D193" s="1">
        <v>79</v>
      </c>
      <c r="E193" s="1" t="s">
        <v>20</v>
      </c>
      <c r="F193" s="1">
        <v>139</v>
      </c>
      <c r="G193" s="9">
        <v>16.25</v>
      </c>
      <c r="H193" s="1">
        <v>4</v>
      </c>
      <c r="I1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3" s="9">
        <f>CLIENTS_CHURN[[#This Row],[Facture_Mensuelle]]*CLIENTS_CHURN[[#This Row],[Remise (%)]]</f>
        <v>0</v>
      </c>
      <c r="K193">
        <f>IF(CLIENTS_CHURN[[#This Row],[Duree_Cumulee_Panne_Min]]&gt;0,1,0)</f>
        <v>1</v>
      </c>
      <c r="L193" t="str">
        <f>IF(CLIENTS_CHURN[[#This Row],[Type_Forfait]]="Pro Monde","B2B","B2C")</f>
        <v>B2C</v>
      </c>
    </row>
    <row r="194" spans="1:12" x14ac:dyDescent="0.25">
      <c r="A194" s="1">
        <f t="shared" si="2"/>
        <v>193</v>
      </c>
      <c r="B194" s="1" t="s">
        <v>316</v>
      </c>
      <c r="C194" s="1" t="s">
        <v>58</v>
      </c>
      <c r="D194" s="1">
        <v>82</v>
      </c>
      <c r="E194" s="1" t="s">
        <v>9</v>
      </c>
      <c r="F194" s="1">
        <v>32</v>
      </c>
      <c r="G194" s="9">
        <v>77.63</v>
      </c>
      <c r="H194" s="1">
        <v>1</v>
      </c>
      <c r="I1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4" s="9">
        <f>CLIENTS_CHURN[[#This Row],[Facture_Mensuelle]]*CLIENTS_CHURN[[#This Row],[Remise (%)]]</f>
        <v>0</v>
      </c>
      <c r="K194">
        <f>IF(CLIENTS_CHURN[[#This Row],[Duree_Cumulee_Panne_Min]]&gt;0,1,0)</f>
        <v>1</v>
      </c>
      <c r="L194" t="str">
        <f>IF(CLIENTS_CHURN[[#This Row],[Type_Forfait]]="Pro Monde","B2B","B2C")</f>
        <v>B2C</v>
      </c>
    </row>
    <row r="195" spans="1:12" x14ac:dyDescent="0.25">
      <c r="A195" s="1">
        <f t="shared" si="2"/>
        <v>194</v>
      </c>
      <c r="B195" s="1" t="s">
        <v>280</v>
      </c>
      <c r="C195" s="1" t="s">
        <v>134</v>
      </c>
      <c r="D195" s="1">
        <v>21</v>
      </c>
      <c r="E195" s="1" t="s">
        <v>17</v>
      </c>
      <c r="F195" s="1">
        <v>307</v>
      </c>
      <c r="G195" s="9">
        <v>39.81</v>
      </c>
      <c r="H195" s="1">
        <v>5</v>
      </c>
      <c r="I1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95" s="9">
        <f>CLIENTS_CHURN[[#This Row],[Facture_Mensuelle]]*CLIENTS_CHURN[[#This Row],[Remise (%)]]</f>
        <v>17.9145</v>
      </c>
      <c r="K195">
        <f>IF(CLIENTS_CHURN[[#This Row],[Duree_Cumulee_Panne_Min]]&gt;0,1,0)</f>
        <v>1</v>
      </c>
      <c r="L195" t="str">
        <f>IF(CLIENTS_CHURN[[#This Row],[Type_Forfait]]="Pro Monde","B2B","B2C")</f>
        <v>B2C</v>
      </c>
    </row>
    <row r="196" spans="1:12" x14ac:dyDescent="0.25">
      <c r="A196" s="1">
        <f t="shared" ref="A196:A259" si="3">A195+1</f>
        <v>195</v>
      </c>
      <c r="B196" s="1" t="s">
        <v>228</v>
      </c>
      <c r="C196" s="1" t="s">
        <v>22</v>
      </c>
      <c r="D196" s="1">
        <v>74</v>
      </c>
      <c r="E196" s="1" t="s">
        <v>9</v>
      </c>
      <c r="F196" s="1">
        <v>213</v>
      </c>
      <c r="G196" s="9">
        <v>35.54</v>
      </c>
      <c r="H196" s="1">
        <v>3</v>
      </c>
      <c r="I1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6" s="9">
        <f>CLIENTS_CHURN[[#This Row],[Facture_Mensuelle]]*CLIENTS_CHURN[[#This Row],[Remise (%)]]</f>
        <v>0</v>
      </c>
      <c r="K196">
        <f>IF(CLIENTS_CHURN[[#This Row],[Duree_Cumulee_Panne_Min]]&gt;0,1,0)</f>
        <v>1</v>
      </c>
      <c r="L196" t="str">
        <f>IF(CLIENTS_CHURN[[#This Row],[Type_Forfait]]="Pro Monde","B2B","B2C")</f>
        <v>B2C</v>
      </c>
    </row>
    <row r="197" spans="1:12" x14ac:dyDescent="0.25">
      <c r="A197" s="1">
        <f t="shared" si="3"/>
        <v>196</v>
      </c>
      <c r="B197" s="1" t="s">
        <v>308</v>
      </c>
      <c r="C197" s="1" t="s">
        <v>27</v>
      </c>
      <c r="D197" s="1">
        <v>99</v>
      </c>
      <c r="E197" s="1" t="s">
        <v>12</v>
      </c>
      <c r="F197" s="1">
        <v>325</v>
      </c>
      <c r="G197" s="9">
        <v>88.35</v>
      </c>
      <c r="H197" s="1">
        <v>4</v>
      </c>
      <c r="I1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97" s="9">
        <f>CLIENTS_CHURN[[#This Row],[Facture_Mensuelle]]*CLIENTS_CHURN[[#This Row],[Remise (%)]]</f>
        <v>39.7575</v>
      </c>
      <c r="K197">
        <f>IF(CLIENTS_CHURN[[#This Row],[Duree_Cumulee_Panne_Min]]&gt;0,1,0)</f>
        <v>1</v>
      </c>
      <c r="L197" t="str">
        <f>IF(CLIENTS_CHURN[[#This Row],[Type_Forfait]]="Pro Monde","B2B","B2C")</f>
        <v>B2B</v>
      </c>
    </row>
    <row r="198" spans="1:12" x14ac:dyDescent="0.25">
      <c r="A198" s="1">
        <f t="shared" si="3"/>
        <v>197</v>
      </c>
      <c r="B198" s="1" t="s">
        <v>440</v>
      </c>
      <c r="C198" s="1" t="s">
        <v>55</v>
      </c>
      <c r="D198" s="1">
        <v>15</v>
      </c>
      <c r="E198" s="1" t="s">
        <v>20</v>
      </c>
      <c r="F198" s="1">
        <v>81</v>
      </c>
      <c r="G198" s="9">
        <v>97.5</v>
      </c>
      <c r="H198" s="1">
        <v>4</v>
      </c>
      <c r="I1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198" s="9">
        <f>CLIENTS_CHURN[[#This Row],[Facture_Mensuelle]]*CLIENTS_CHURN[[#This Row],[Remise (%)]]</f>
        <v>0</v>
      </c>
      <c r="K198">
        <f>IF(CLIENTS_CHURN[[#This Row],[Duree_Cumulee_Panne_Min]]&gt;0,1,0)</f>
        <v>1</v>
      </c>
      <c r="L198" t="str">
        <f>IF(CLIENTS_CHURN[[#This Row],[Type_Forfait]]="Pro Monde","B2B","B2C")</f>
        <v>B2C</v>
      </c>
    </row>
    <row r="199" spans="1:12" x14ac:dyDescent="0.25">
      <c r="A199" s="1">
        <f t="shared" si="3"/>
        <v>198</v>
      </c>
      <c r="B199" s="1" t="s">
        <v>443</v>
      </c>
      <c r="C199" s="1" t="s">
        <v>31</v>
      </c>
      <c r="D199" s="1">
        <v>36</v>
      </c>
      <c r="E199" s="1" t="s">
        <v>17</v>
      </c>
      <c r="F199" s="1">
        <v>303</v>
      </c>
      <c r="G199" s="9">
        <v>89.56</v>
      </c>
      <c r="H199" s="1">
        <v>1</v>
      </c>
      <c r="I1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199" s="9">
        <f>CLIENTS_CHURN[[#This Row],[Facture_Mensuelle]]*CLIENTS_CHURN[[#This Row],[Remise (%)]]</f>
        <v>40.302</v>
      </c>
      <c r="K199">
        <f>IF(CLIENTS_CHURN[[#This Row],[Duree_Cumulee_Panne_Min]]&gt;0,1,0)</f>
        <v>1</v>
      </c>
      <c r="L199" t="str">
        <f>IF(CLIENTS_CHURN[[#This Row],[Type_Forfait]]="Pro Monde","B2B","B2C")</f>
        <v>B2C</v>
      </c>
    </row>
    <row r="200" spans="1:12" x14ac:dyDescent="0.25">
      <c r="A200" s="1">
        <f t="shared" si="3"/>
        <v>199</v>
      </c>
      <c r="B200" s="1" t="s">
        <v>664</v>
      </c>
      <c r="C200" s="1" t="s">
        <v>19</v>
      </c>
      <c r="D200" s="1">
        <v>15</v>
      </c>
      <c r="E200" s="1" t="s">
        <v>12</v>
      </c>
      <c r="F200" s="1">
        <v>203</v>
      </c>
      <c r="G200" s="9">
        <v>55.29</v>
      </c>
      <c r="H200" s="1">
        <v>2</v>
      </c>
      <c r="I2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00" s="9">
        <f>CLIENTS_CHURN[[#This Row],[Facture_Mensuelle]]*CLIENTS_CHURN[[#This Row],[Remise (%)]]</f>
        <v>5.5289999999999999</v>
      </c>
      <c r="K200">
        <f>IF(CLIENTS_CHURN[[#This Row],[Duree_Cumulee_Panne_Min]]&gt;0,1,0)</f>
        <v>1</v>
      </c>
      <c r="L200" t="str">
        <f>IF(CLIENTS_CHURN[[#This Row],[Type_Forfait]]="Pro Monde","B2B","B2C")</f>
        <v>B2B</v>
      </c>
    </row>
    <row r="201" spans="1:12" x14ac:dyDescent="0.25">
      <c r="A201" s="1">
        <f t="shared" si="3"/>
        <v>200</v>
      </c>
      <c r="B201" s="1" t="s">
        <v>339</v>
      </c>
      <c r="C201" s="1" t="s">
        <v>24</v>
      </c>
      <c r="D201" s="1">
        <v>25</v>
      </c>
      <c r="E201" s="1" t="s">
        <v>12</v>
      </c>
      <c r="F201" s="1">
        <v>218</v>
      </c>
      <c r="G201" s="9">
        <v>68.790000000000006</v>
      </c>
      <c r="H201" s="1">
        <v>0</v>
      </c>
      <c r="I2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01" s="9">
        <f>CLIENTS_CHURN[[#This Row],[Facture_Mensuelle]]*CLIENTS_CHURN[[#This Row],[Remise (%)]]</f>
        <v>6.8790000000000013</v>
      </c>
      <c r="K201">
        <f>IF(CLIENTS_CHURN[[#This Row],[Duree_Cumulee_Panne_Min]]&gt;0,1,0)</f>
        <v>1</v>
      </c>
      <c r="L201" t="str">
        <f>IF(CLIENTS_CHURN[[#This Row],[Type_Forfait]]="Pro Monde","B2B","B2C")</f>
        <v>B2B</v>
      </c>
    </row>
    <row r="202" spans="1:12" x14ac:dyDescent="0.25">
      <c r="A202" s="1">
        <f t="shared" si="3"/>
        <v>201</v>
      </c>
      <c r="B202" s="1" t="s">
        <v>762</v>
      </c>
      <c r="C202" s="1" t="s">
        <v>128</v>
      </c>
      <c r="D202" s="1">
        <v>49</v>
      </c>
      <c r="E202" s="1" t="s">
        <v>17</v>
      </c>
      <c r="F202" s="1">
        <v>288</v>
      </c>
      <c r="G202" s="9">
        <v>91.32</v>
      </c>
      <c r="H202" s="1">
        <v>4</v>
      </c>
      <c r="I2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2" s="9">
        <f>CLIENTS_CHURN[[#This Row],[Facture_Mensuelle]]*CLIENTS_CHURN[[#This Row],[Remise (%)]]</f>
        <v>41.094000000000001</v>
      </c>
      <c r="K202">
        <f>IF(CLIENTS_CHURN[[#This Row],[Duree_Cumulee_Panne_Min]]&gt;0,1,0)</f>
        <v>1</v>
      </c>
      <c r="L202" t="str">
        <f>IF(CLIENTS_CHURN[[#This Row],[Type_Forfait]]="Pro Monde","B2B","B2C")</f>
        <v>B2C</v>
      </c>
    </row>
    <row r="203" spans="1:12" x14ac:dyDescent="0.25">
      <c r="A203" s="1">
        <f t="shared" si="3"/>
        <v>202</v>
      </c>
      <c r="B203" s="1" t="s">
        <v>585</v>
      </c>
      <c r="C203" s="1" t="s">
        <v>76</v>
      </c>
      <c r="D203" s="1">
        <v>58</v>
      </c>
      <c r="E203" s="1" t="s">
        <v>12</v>
      </c>
      <c r="F203" s="1">
        <v>352</v>
      </c>
      <c r="G203" s="9">
        <v>72.94</v>
      </c>
      <c r="H203" s="1">
        <v>0</v>
      </c>
      <c r="I2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3" s="9">
        <f>CLIENTS_CHURN[[#This Row],[Facture_Mensuelle]]*CLIENTS_CHURN[[#This Row],[Remise (%)]]</f>
        <v>32.823</v>
      </c>
      <c r="K203">
        <f>IF(CLIENTS_CHURN[[#This Row],[Duree_Cumulee_Panne_Min]]&gt;0,1,0)</f>
        <v>1</v>
      </c>
      <c r="L203" t="str">
        <f>IF(CLIENTS_CHURN[[#This Row],[Type_Forfait]]="Pro Monde","B2B","B2C")</f>
        <v>B2B</v>
      </c>
    </row>
    <row r="204" spans="1:12" x14ac:dyDescent="0.25">
      <c r="A204" s="1">
        <f t="shared" si="3"/>
        <v>203</v>
      </c>
      <c r="B204" s="1" t="s">
        <v>528</v>
      </c>
      <c r="C204" s="1" t="s">
        <v>49</v>
      </c>
      <c r="D204" s="1">
        <v>102</v>
      </c>
      <c r="E204" s="1" t="s">
        <v>20</v>
      </c>
      <c r="F204" s="1">
        <v>240</v>
      </c>
      <c r="G204" s="9">
        <v>12.52</v>
      </c>
      <c r="H204" s="1">
        <v>2</v>
      </c>
      <c r="I2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4" s="9">
        <f>CLIENTS_CHURN[[#This Row],[Facture_Mensuelle]]*CLIENTS_CHURN[[#This Row],[Remise (%)]]</f>
        <v>5.6340000000000003</v>
      </c>
      <c r="K204">
        <f>IF(CLIENTS_CHURN[[#This Row],[Duree_Cumulee_Panne_Min]]&gt;0,1,0)</f>
        <v>1</v>
      </c>
      <c r="L204" t="str">
        <f>IF(CLIENTS_CHURN[[#This Row],[Type_Forfait]]="Pro Monde","B2B","B2C")</f>
        <v>B2C</v>
      </c>
    </row>
    <row r="205" spans="1:12" x14ac:dyDescent="0.25">
      <c r="A205" s="1">
        <f t="shared" si="3"/>
        <v>204</v>
      </c>
      <c r="B205" s="1" t="s">
        <v>26</v>
      </c>
      <c r="C205" s="1" t="s">
        <v>27</v>
      </c>
      <c r="D205" s="1">
        <v>99</v>
      </c>
      <c r="E205" s="1" t="s">
        <v>17</v>
      </c>
      <c r="F205" s="1">
        <v>369</v>
      </c>
      <c r="G205" s="9">
        <v>67.209999999999994</v>
      </c>
      <c r="H205" s="1">
        <v>3</v>
      </c>
      <c r="I2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5" s="9">
        <f>CLIENTS_CHURN[[#This Row],[Facture_Mensuelle]]*CLIENTS_CHURN[[#This Row],[Remise (%)]]</f>
        <v>30.244499999999999</v>
      </c>
      <c r="K205">
        <f>IF(CLIENTS_CHURN[[#This Row],[Duree_Cumulee_Panne_Min]]&gt;0,1,0)</f>
        <v>1</v>
      </c>
      <c r="L205" t="str">
        <f>IF(CLIENTS_CHURN[[#This Row],[Type_Forfait]]="Pro Monde","B2B","B2C")</f>
        <v>B2C</v>
      </c>
    </row>
    <row r="206" spans="1:12" x14ac:dyDescent="0.25">
      <c r="A206" s="1">
        <f t="shared" si="3"/>
        <v>205</v>
      </c>
      <c r="B206" s="1" t="s">
        <v>209</v>
      </c>
      <c r="C206" s="1" t="s">
        <v>86</v>
      </c>
      <c r="D206" s="1">
        <v>82</v>
      </c>
      <c r="E206" s="1" t="s">
        <v>9</v>
      </c>
      <c r="F206" s="1">
        <v>264</v>
      </c>
      <c r="G206" s="9">
        <v>88.03</v>
      </c>
      <c r="H206" s="1">
        <v>1</v>
      </c>
      <c r="I2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6" s="9">
        <f>CLIENTS_CHURN[[#This Row],[Facture_Mensuelle]]*CLIENTS_CHURN[[#This Row],[Remise (%)]]</f>
        <v>39.613500000000002</v>
      </c>
      <c r="K206">
        <f>IF(CLIENTS_CHURN[[#This Row],[Duree_Cumulee_Panne_Min]]&gt;0,1,0)</f>
        <v>1</v>
      </c>
      <c r="L206" t="str">
        <f>IF(CLIENTS_CHURN[[#This Row],[Type_Forfait]]="Pro Monde","B2B","B2C")</f>
        <v>B2C</v>
      </c>
    </row>
    <row r="207" spans="1:12" x14ac:dyDescent="0.25">
      <c r="A207" s="1">
        <f t="shared" si="3"/>
        <v>206</v>
      </c>
      <c r="B207" s="1" t="s">
        <v>125</v>
      </c>
      <c r="C207" s="1" t="s">
        <v>76</v>
      </c>
      <c r="D207" s="1">
        <v>72</v>
      </c>
      <c r="E207" s="1" t="s">
        <v>20</v>
      </c>
      <c r="F207" s="1">
        <v>51</v>
      </c>
      <c r="G207" s="9">
        <v>95.09</v>
      </c>
      <c r="H207" s="1">
        <v>0</v>
      </c>
      <c r="I2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07" s="9">
        <f>CLIENTS_CHURN[[#This Row],[Facture_Mensuelle]]*CLIENTS_CHURN[[#This Row],[Remise (%)]]</f>
        <v>0</v>
      </c>
      <c r="K207">
        <f>IF(CLIENTS_CHURN[[#This Row],[Duree_Cumulee_Panne_Min]]&gt;0,1,0)</f>
        <v>1</v>
      </c>
      <c r="L207" t="str">
        <f>IF(CLIENTS_CHURN[[#This Row],[Type_Forfait]]="Pro Monde","B2B","B2C")</f>
        <v>B2C</v>
      </c>
    </row>
    <row r="208" spans="1:12" x14ac:dyDescent="0.25">
      <c r="A208" s="1">
        <f t="shared" si="3"/>
        <v>207</v>
      </c>
      <c r="B208" s="1" t="s">
        <v>37</v>
      </c>
      <c r="C208" s="1" t="s">
        <v>38</v>
      </c>
      <c r="D208" s="1">
        <v>110</v>
      </c>
      <c r="E208" s="1" t="s">
        <v>12</v>
      </c>
      <c r="F208" s="1">
        <v>423</v>
      </c>
      <c r="G208" s="9">
        <v>37.35</v>
      </c>
      <c r="H208" s="1">
        <v>4</v>
      </c>
      <c r="I2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08" s="9">
        <f>CLIENTS_CHURN[[#This Row],[Facture_Mensuelle]]*CLIENTS_CHURN[[#This Row],[Remise (%)]]</f>
        <v>16.807500000000001</v>
      </c>
      <c r="K208">
        <f>IF(CLIENTS_CHURN[[#This Row],[Duree_Cumulee_Panne_Min]]&gt;0,1,0)</f>
        <v>1</v>
      </c>
      <c r="L208" t="str">
        <f>IF(CLIENTS_CHURN[[#This Row],[Type_Forfait]]="Pro Monde","B2B","B2C")</f>
        <v>B2B</v>
      </c>
    </row>
    <row r="209" spans="1:12" x14ac:dyDescent="0.25">
      <c r="A209" s="1">
        <f t="shared" si="3"/>
        <v>208</v>
      </c>
      <c r="B209" s="1" t="s">
        <v>435</v>
      </c>
      <c r="C209" s="1" t="s">
        <v>76</v>
      </c>
      <c r="D209" s="1">
        <v>104</v>
      </c>
      <c r="E209" s="1" t="s">
        <v>12</v>
      </c>
      <c r="F209" s="1">
        <v>60</v>
      </c>
      <c r="G209" s="9">
        <v>45.51</v>
      </c>
      <c r="H209" s="1">
        <v>1</v>
      </c>
      <c r="I2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09" s="9">
        <f>CLIENTS_CHURN[[#This Row],[Facture_Mensuelle]]*CLIENTS_CHURN[[#This Row],[Remise (%)]]</f>
        <v>4.5510000000000002</v>
      </c>
      <c r="K209">
        <f>IF(CLIENTS_CHURN[[#This Row],[Duree_Cumulee_Panne_Min]]&gt;0,1,0)</f>
        <v>1</v>
      </c>
      <c r="L209" t="str">
        <f>IF(CLIENTS_CHURN[[#This Row],[Type_Forfait]]="Pro Monde","B2B","B2C")</f>
        <v>B2B</v>
      </c>
    </row>
    <row r="210" spans="1:12" x14ac:dyDescent="0.25">
      <c r="A210" s="1">
        <f t="shared" si="3"/>
        <v>209</v>
      </c>
      <c r="B210" s="1" t="s">
        <v>287</v>
      </c>
      <c r="C210" s="1" t="s">
        <v>8</v>
      </c>
      <c r="D210" s="1">
        <v>96</v>
      </c>
      <c r="E210" s="1" t="s">
        <v>20</v>
      </c>
      <c r="F210" s="1">
        <v>290</v>
      </c>
      <c r="G210" s="9">
        <v>29</v>
      </c>
      <c r="H210" s="1">
        <v>3</v>
      </c>
      <c r="I2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0" s="9">
        <f>CLIENTS_CHURN[[#This Row],[Facture_Mensuelle]]*CLIENTS_CHURN[[#This Row],[Remise (%)]]</f>
        <v>13.05</v>
      </c>
      <c r="K210">
        <f>IF(CLIENTS_CHURN[[#This Row],[Duree_Cumulee_Panne_Min]]&gt;0,1,0)</f>
        <v>1</v>
      </c>
      <c r="L210" t="str">
        <f>IF(CLIENTS_CHURN[[#This Row],[Type_Forfait]]="Pro Monde","B2B","B2C")</f>
        <v>B2C</v>
      </c>
    </row>
    <row r="211" spans="1:12" x14ac:dyDescent="0.25">
      <c r="A211" s="1">
        <f t="shared" si="3"/>
        <v>210</v>
      </c>
      <c r="B211" s="1" t="s">
        <v>350</v>
      </c>
      <c r="C211" s="1" t="s">
        <v>76</v>
      </c>
      <c r="D211" s="1">
        <v>17</v>
      </c>
      <c r="E211" s="1" t="s">
        <v>20</v>
      </c>
      <c r="F211" s="1">
        <v>483</v>
      </c>
      <c r="G211" s="9">
        <v>77.08</v>
      </c>
      <c r="H211" s="1">
        <v>0</v>
      </c>
      <c r="I2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1" s="9">
        <f>CLIENTS_CHURN[[#This Row],[Facture_Mensuelle]]*CLIENTS_CHURN[[#This Row],[Remise (%)]]</f>
        <v>34.686</v>
      </c>
      <c r="K211">
        <f>IF(CLIENTS_CHURN[[#This Row],[Duree_Cumulee_Panne_Min]]&gt;0,1,0)</f>
        <v>1</v>
      </c>
      <c r="L211" t="str">
        <f>IF(CLIENTS_CHURN[[#This Row],[Type_Forfait]]="Pro Monde","B2B","B2C")</f>
        <v>B2C</v>
      </c>
    </row>
    <row r="212" spans="1:12" x14ac:dyDescent="0.25">
      <c r="A212" s="1">
        <f t="shared" si="3"/>
        <v>211</v>
      </c>
      <c r="B212" s="1" t="s">
        <v>487</v>
      </c>
      <c r="C212" s="1" t="s">
        <v>58</v>
      </c>
      <c r="D212" s="1">
        <v>43</v>
      </c>
      <c r="E212" s="1" t="s">
        <v>9</v>
      </c>
      <c r="F212" s="1">
        <v>193</v>
      </c>
      <c r="G212" s="9">
        <v>35.81</v>
      </c>
      <c r="H212" s="1">
        <v>0</v>
      </c>
      <c r="I2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12" s="9">
        <f>CLIENTS_CHURN[[#This Row],[Facture_Mensuelle]]*CLIENTS_CHURN[[#This Row],[Remise (%)]]</f>
        <v>0</v>
      </c>
      <c r="K212">
        <f>IF(CLIENTS_CHURN[[#This Row],[Duree_Cumulee_Panne_Min]]&gt;0,1,0)</f>
        <v>1</v>
      </c>
      <c r="L212" t="str">
        <f>IF(CLIENTS_CHURN[[#This Row],[Type_Forfait]]="Pro Monde","B2B","B2C")</f>
        <v>B2C</v>
      </c>
    </row>
    <row r="213" spans="1:12" x14ac:dyDescent="0.25">
      <c r="A213" s="1">
        <f t="shared" si="3"/>
        <v>212</v>
      </c>
      <c r="B213" s="1" t="s">
        <v>510</v>
      </c>
      <c r="C213" s="1" t="s">
        <v>14</v>
      </c>
      <c r="D213" s="1">
        <v>104</v>
      </c>
      <c r="E213" s="1" t="s">
        <v>12</v>
      </c>
      <c r="F213" s="1">
        <v>125</v>
      </c>
      <c r="G213" s="9">
        <v>29.7</v>
      </c>
      <c r="H213" s="1">
        <v>2</v>
      </c>
      <c r="I2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13" s="9">
        <f>CLIENTS_CHURN[[#This Row],[Facture_Mensuelle]]*CLIENTS_CHURN[[#This Row],[Remise (%)]]</f>
        <v>2.97</v>
      </c>
      <c r="K213">
        <f>IF(CLIENTS_CHURN[[#This Row],[Duree_Cumulee_Panne_Min]]&gt;0,1,0)</f>
        <v>1</v>
      </c>
      <c r="L213" t="str">
        <f>IF(CLIENTS_CHURN[[#This Row],[Type_Forfait]]="Pro Monde","B2B","B2C")</f>
        <v>B2B</v>
      </c>
    </row>
    <row r="214" spans="1:12" x14ac:dyDescent="0.25">
      <c r="A214" s="1">
        <f t="shared" si="3"/>
        <v>213</v>
      </c>
      <c r="B214" s="1" t="s">
        <v>563</v>
      </c>
      <c r="C214" s="1" t="s">
        <v>55</v>
      </c>
      <c r="D214" s="1">
        <v>6</v>
      </c>
      <c r="E214" s="1" t="s">
        <v>12</v>
      </c>
      <c r="F214" s="1">
        <v>342</v>
      </c>
      <c r="G214" s="9">
        <v>50.55</v>
      </c>
      <c r="H214" s="1">
        <v>5</v>
      </c>
      <c r="I2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4" s="9">
        <f>CLIENTS_CHURN[[#This Row],[Facture_Mensuelle]]*CLIENTS_CHURN[[#This Row],[Remise (%)]]</f>
        <v>22.747499999999999</v>
      </c>
      <c r="K214">
        <f>IF(CLIENTS_CHURN[[#This Row],[Duree_Cumulee_Panne_Min]]&gt;0,1,0)</f>
        <v>1</v>
      </c>
      <c r="L214" t="str">
        <f>IF(CLIENTS_CHURN[[#This Row],[Type_Forfait]]="Pro Monde","B2B","B2C")</f>
        <v>B2B</v>
      </c>
    </row>
    <row r="215" spans="1:12" x14ac:dyDescent="0.25">
      <c r="A215" s="1">
        <f t="shared" si="3"/>
        <v>214</v>
      </c>
      <c r="B215" s="1" t="s">
        <v>340</v>
      </c>
      <c r="C215" s="1" t="s">
        <v>38</v>
      </c>
      <c r="D215" s="1">
        <v>109</v>
      </c>
      <c r="E215" s="1" t="s">
        <v>20</v>
      </c>
      <c r="F215" s="1">
        <v>347</v>
      </c>
      <c r="G215" s="9">
        <v>43.06</v>
      </c>
      <c r="H215" s="1">
        <v>4</v>
      </c>
      <c r="I2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5" s="9">
        <f>CLIENTS_CHURN[[#This Row],[Facture_Mensuelle]]*CLIENTS_CHURN[[#This Row],[Remise (%)]]</f>
        <v>19.377000000000002</v>
      </c>
      <c r="K215">
        <f>IF(CLIENTS_CHURN[[#This Row],[Duree_Cumulee_Panne_Min]]&gt;0,1,0)</f>
        <v>1</v>
      </c>
      <c r="L215" t="str">
        <f>IF(CLIENTS_CHURN[[#This Row],[Type_Forfait]]="Pro Monde","B2B","B2C")</f>
        <v>B2C</v>
      </c>
    </row>
    <row r="216" spans="1:12" x14ac:dyDescent="0.25">
      <c r="A216" s="1">
        <f t="shared" si="3"/>
        <v>215</v>
      </c>
      <c r="B216" s="1" t="s">
        <v>360</v>
      </c>
      <c r="C216" s="1" t="s">
        <v>58</v>
      </c>
      <c r="D216" s="1">
        <v>110</v>
      </c>
      <c r="E216" s="1" t="s">
        <v>9</v>
      </c>
      <c r="F216" s="1">
        <v>321</v>
      </c>
      <c r="G216" s="9">
        <v>81.569999999999993</v>
      </c>
      <c r="H216" s="1">
        <v>2</v>
      </c>
      <c r="I2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6" s="9">
        <f>CLIENTS_CHURN[[#This Row],[Facture_Mensuelle]]*CLIENTS_CHURN[[#This Row],[Remise (%)]]</f>
        <v>36.706499999999998</v>
      </c>
      <c r="K216">
        <f>IF(CLIENTS_CHURN[[#This Row],[Duree_Cumulee_Panne_Min]]&gt;0,1,0)</f>
        <v>1</v>
      </c>
      <c r="L216" t="str">
        <f>IF(CLIENTS_CHURN[[#This Row],[Type_Forfait]]="Pro Monde","B2B","B2C")</f>
        <v>B2C</v>
      </c>
    </row>
    <row r="217" spans="1:12" x14ac:dyDescent="0.25">
      <c r="A217" s="1">
        <f t="shared" si="3"/>
        <v>216</v>
      </c>
      <c r="B217" s="1" t="s">
        <v>613</v>
      </c>
      <c r="C217" s="1" t="s">
        <v>65</v>
      </c>
      <c r="D217" s="1">
        <v>17</v>
      </c>
      <c r="E217" s="1" t="s">
        <v>20</v>
      </c>
      <c r="F217" s="1">
        <v>310</v>
      </c>
      <c r="G217" s="9">
        <v>19.68</v>
      </c>
      <c r="H217" s="1">
        <v>5</v>
      </c>
      <c r="I2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7" s="9">
        <f>CLIENTS_CHURN[[#This Row],[Facture_Mensuelle]]*CLIENTS_CHURN[[#This Row],[Remise (%)]]</f>
        <v>8.8559999999999999</v>
      </c>
      <c r="K217">
        <f>IF(CLIENTS_CHURN[[#This Row],[Duree_Cumulee_Panne_Min]]&gt;0,1,0)</f>
        <v>1</v>
      </c>
      <c r="L217" t="str">
        <f>IF(CLIENTS_CHURN[[#This Row],[Type_Forfait]]="Pro Monde","B2B","B2C")</f>
        <v>B2C</v>
      </c>
    </row>
    <row r="218" spans="1:12" x14ac:dyDescent="0.25">
      <c r="A218" s="1">
        <f t="shared" si="3"/>
        <v>217</v>
      </c>
      <c r="B218" s="1" t="s">
        <v>785</v>
      </c>
      <c r="C218" s="1" t="s">
        <v>16</v>
      </c>
      <c r="D218" s="1">
        <v>75</v>
      </c>
      <c r="E218" s="1" t="s">
        <v>17</v>
      </c>
      <c r="F218" s="1">
        <v>370</v>
      </c>
      <c r="G218" s="9">
        <v>21.67</v>
      </c>
      <c r="H218" s="1">
        <v>0</v>
      </c>
      <c r="I2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18" s="9">
        <f>CLIENTS_CHURN[[#This Row],[Facture_Mensuelle]]*CLIENTS_CHURN[[#This Row],[Remise (%)]]</f>
        <v>9.7515000000000018</v>
      </c>
      <c r="K218">
        <f>IF(CLIENTS_CHURN[[#This Row],[Duree_Cumulee_Panne_Min]]&gt;0,1,0)</f>
        <v>1</v>
      </c>
      <c r="L218" t="str">
        <f>IF(CLIENTS_CHURN[[#This Row],[Type_Forfait]]="Pro Monde","B2B","B2C")</f>
        <v>B2C</v>
      </c>
    </row>
    <row r="219" spans="1:12" x14ac:dyDescent="0.25">
      <c r="A219" s="1">
        <f t="shared" si="3"/>
        <v>218</v>
      </c>
      <c r="B219" s="1" t="s">
        <v>730</v>
      </c>
      <c r="C219" s="1" t="s">
        <v>49</v>
      </c>
      <c r="D219" s="1">
        <v>12</v>
      </c>
      <c r="E219" s="1" t="s">
        <v>17</v>
      </c>
      <c r="F219" s="1">
        <v>62</v>
      </c>
      <c r="G219" s="9">
        <v>36.1</v>
      </c>
      <c r="H219" s="1">
        <v>5</v>
      </c>
      <c r="I2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19" s="9">
        <f>CLIENTS_CHURN[[#This Row],[Facture_Mensuelle]]*CLIENTS_CHURN[[#This Row],[Remise (%)]]</f>
        <v>0</v>
      </c>
      <c r="K219">
        <f>IF(CLIENTS_CHURN[[#This Row],[Duree_Cumulee_Panne_Min]]&gt;0,1,0)</f>
        <v>1</v>
      </c>
      <c r="L219" t="str">
        <f>IF(CLIENTS_CHURN[[#This Row],[Type_Forfait]]="Pro Monde","B2B","B2C")</f>
        <v>B2C</v>
      </c>
    </row>
    <row r="220" spans="1:12" x14ac:dyDescent="0.25">
      <c r="A220" s="1">
        <f t="shared" si="3"/>
        <v>219</v>
      </c>
      <c r="B220" s="1" t="s">
        <v>626</v>
      </c>
      <c r="C220" s="1" t="s">
        <v>19</v>
      </c>
      <c r="D220" s="1">
        <v>71</v>
      </c>
      <c r="E220" s="1" t="s">
        <v>12</v>
      </c>
      <c r="F220" s="1">
        <v>111</v>
      </c>
      <c r="G220" s="9">
        <v>95.53</v>
      </c>
      <c r="H220" s="1">
        <v>3</v>
      </c>
      <c r="I2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20" s="9">
        <f>CLIENTS_CHURN[[#This Row],[Facture_Mensuelle]]*CLIENTS_CHURN[[#This Row],[Remise (%)]]</f>
        <v>9.5530000000000008</v>
      </c>
      <c r="K220">
        <f>IF(CLIENTS_CHURN[[#This Row],[Duree_Cumulee_Panne_Min]]&gt;0,1,0)</f>
        <v>1</v>
      </c>
      <c r="L220" t="str">
        <f>IF(CLIENTS_CHURN[[#This Row],[Type_Forfait]]="Pro Monde","B2B","B2C")</f>
        <v>B2B</v>
      </c>
    </row>
    <row r="221" spans="1:12" x14ac:dyDescent="0.25">
      <c r="A221" s="1">
        <f t="shared" si="3"/>
        <v>220</v>
      </c>
      <c r="B221" s="1" t="s">
        <v>194</v>
      </c>
      <c r="C221" s="1" t="s">
        <v>22</v>
      </c>
      <c r="D221" s="1">
        <v>67</v>
      </c>
      <c r="E221" s="1" t="s">
        <v>9</v>
      </c>
      <c r="F221" s="1">
        <v>241</v>
      </c>
      <c r="G221" s="9">
        <v>47.72</v>
      </c>
      <c r="H221" s="1">
        <v>0</v>
      </c>
      <c r="I2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1" s="9">
        <f>CLIENTS_CHURN[[#This Row],[Facture_Mensuelle]]*CLIENTS_CHURN[[#This Row],[Remise (%)]]</f>
        <v>21.474</v>
      </c>
      <c r="K221">
        <f>IF(CLIENTS_CHURN[[#This Row],[Duree_Cumulee_Panne_Min]]&gt;0,1,0)</f>
        <v>1</v>
      </c>
      <c r="L221" t="str">
        <f>IF(CLIENTS_CHURN[[#This Row],[Type_Forfait]]="Pro Monde","B2B","B2C")</f>
        <v>B2C</v>
      </c>
    </row>
    <row r="222" spans="1:12" x14ac:dyDescent="0.25">
      <c r="A222" s="1">
        <f t="shared" si="3"/>
        <v>221</v>
      </c>
      <c r="B222" s="1" t="s">
        <v>61</v>
      </c>
      <c r="C222" s="1" t="s">
        <v>62</v>
      </c>
      <c r="D222" s="1">
        <v>79</v>
      </c>
      <c r="E222" s="1" t="s">
        <v>9</v>
      </c>
      <c r="F222" s="1">
        <v>226</v>
      </c>
      <c r="G222" s="9">
        <v>94.38</v>
      </c>
      <c r="H222" s="1">
        <v>3</v>
      </c>
      <c r="I2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22" s="9">
        <f>CLIENTS_CHURN[[#This Row],[Facture_Mensuelle]]*CLIENTS_CHURN[[#This Row],[Remise (%)]]</f>
        <v>0</v>
      </c>
      <c r="K222">
        <f>IF(CLIENTS_CHURN[[#This Row],[Duree_Cumulee_Panne_Min]]&gt;0,1,0)</f>
        <v>1</v>
      </c>
      <c r="L222" t="str">
        <f>IF(CLIENTS_CHURN[[#This Row],[Type_Forfait]]="Pro Monde","B2B","B2C")</f>
        <v>B2C</v>
      </c>
    </row>
    <row r="223" spans="1:12" x14ac:dyDescent="0.25">
      <c r="A223" s="1">
        <f t="shared" si="3"/>
        <v>222</v>
      </c>
      <c r="B223" s="1" t="s">
        <v>568</v>
      </c>
      <c r="C223" s="1" t="s">
        <v>42</v>
      </c>
      <c r="D223" s="1">
        <v>53</v>
      </c>
      <c r="E223" s="1" t="s">
        <v>12</v>
      </c>
      <c r="F223" s="1">
        <v>27</v>
      </c>
      <c r="G223" s="9">
        <v>18.77</v>
      </c>
      <c r="H223" s="1">
        <v>0</v>
      </c>
      <c r="I2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23" s="9">
        <f>CLIENTS_CHURN[[#This Row],[Facture_Mensuelle]]*CLIENTS_CHURN[[#This Row],[Remise (%)]]</f>
        <v>1.877</v>
      </c>
      <c r="K223">
        <f>IF(CLIENTS_CHURN[[#This Row],[Duree_Cumulee_Panne_Min]]&gt;0,1,0)</f>
        <v>1</v>
      </c>
      <c r="L223" t="str">
        <f>IF(CLIENTS_CHURN[[#This Row],[Type_Forfait]]="Pro Monde","B2B","B2C")</f>
        <v>B2B</v>
      </c>
    </row>
    <row r="224" spans="1:12" x14ac:dyDescent="0.25">
      <c r="A224" s="1">
        <f t="shared" si="3"/>
        <v>223</v>
      </c>
      <c r="B224" s="1" t="s">
        <v>618</v>
      </c>
      <c r="C224" s="1" t="s">
        <v>55</v>
      </c>
      <c r="D224" s="1">
        <v>101</v>
      </c>
      <c r="E224" s="1" t="s">
        <v>17</v>
      </c>
      <c r="F224" s="1">
        <v>262</v>
      </c>
      <c r="G224" s="9">
        <v>83.74</v>
      </c>
      <c r="H224" s="1">
        <v>5</v>
      </c>
      <c r="I2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4" s="9">
        <f>CLIENTS_CHURN[[#This Row],[Facture_Mensuelle]]*CLIENTS_CHURN[[#This Row],[Remise (%)]]</f>
        <v>37.683</v>
      </c>
      <c r="K224">
        <f>IF(CLIENTS_CHURN[[#This Row],[Duree_Cumulee_Panne_Min]]&gt;0,1,0)</f>
        <v>1</v>
      </c>
      <c r="L224" t="str">
        <f>IF(CLIENTS_CHURN[[#This Row],[Type_Forfait]]="Pro Monde","B2B","B2C")</f>
        <v>B2C</v>
      </c>
    </row>
    <row r="225" spans="1:12" x14ac:dyDescent="0.25">
      <c r="A225" s="1">
        <f t="shared" si="3"/>
        <v>224</v>
      </c>
      <c r="B225" s="1" t="s">
        <v>189</v>
      </c>
      <c r="C225" s="1" t="s">
        <v>35</v>
      </c>
      <c r="D225" s="1">
        <v>83</v>
      </c>
      <c r="E225" s="1" t="s">
        <v>12</v>
      </c>
      <c r="F225" s="1">
        <v>420</v>
      </c>
      <c r="G225" s="9">
        <v>94.9</v>
      </c>
      <c r="H225" s="1">
        <v>1</v>
      </c>
      <c r="I2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5" s="9">
        <f>CLIENTS_CHURN[[#This Row],[Facture_Mensuelle]]*CLIENTS_CHURN[[#This Row],[Remise (%)]]</f>
        <v>42.705000000000005</v>
      </c>
      <c r="K225">
        <f>IF(CLIENTS_CHURN[[#This Row],[Duree_Cumulee_Panne_Min]]&gt;0,1,0)</f>
        <v>1</v>
      </c>
      <c r="L225" t="str">
        <f>IF(CLIENTS_CHURN[[#This Row],[Type_Forfait]]="Pro Monde","B2B","B2C")</f>
        <v>B2B</v>
      </c>
    </row>
    <row r="226" spans="1:12" x14ac:dyDescent="0.25">
      <c r="A226" s="1">
        <f t="shared" si="3"/>
        <v>225</v>
      </c>
      <c r="B226" s="1" t="s">
        <v>407</v>
      </c>
      <c r="C226" s="1" t="s">
        <v>14</v>
      </c>
      <c r="D226" s="1">
        <v>23</v>
      </c>
      <c r="E226" s="1" t="s">
        <v>9</v>
      </c>
      <c r="F226" s="1">
        <v>268</v>
      </c>
      <c r="G226" s="9">
        <v>26.75</v>
      </c>
      <c r="H226" s="1">
        <v>3</v>
      </c>
      <c r="I2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6" s="9">
        <f>CLIENTS_CHURN[[#This Row],[Facture_Mensuelle]]*CLIENTS_CHURN[[#This Row],[Remise (%)]]</f>
        <v>12.0375</v>
      </c>
      <c r="K226">
        <f>IF(CLIENTS_CHURN[[#This Row],[Duree_Cumulee_Panne_Min]]&gt;0,1,0)</f>
        <v>1</v>
      </c>
      <c r="L226" t="str">
        <f>IF(CLIENTS_CHURN[[#This Row],[Type_Forfait]]="Pro Monde","B2B","B2C")</f>
        <v>B2C</v>
      </c>
    </row>
    <row r="227" spans="1:12" x14ac:dyDescent="0.25">
      <c r="A227" s="1">
        <f t="shared" si="3"/>
        <v>226</v>
      </c>
      <c r="B227" s="1" t="s">
        <v>688</v>
      </c>
      <c r="C227" s="1" t="s">
        <v>35</v>
      </c>
      <c r="D227" s="1">
        <v>67</v>
      </c>
      <c r="E227" s="1" t="s">
        <v>9</v>
      </c>
      <c r="F227" s="1">
        <v>262</v>
      </c>
      <c r="G227" s="9">
        <v>28.46</v>
      </c>
      <c r="H227" s="1">
        <v>3</v>
      </c>
      <c r="I2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7" s="9">
        <f>CLIENTS_CHURN[[#This Row],[Facture_Mensuelle]]*CLIENTS_CHURN[[#This Row],[Remise (%)]]</f>
        <v>12.807</v>
      </c>
      <c r="K227">
        <f>IF(CLIENTS_CHURN[[#This Row],[Duree_Cumulee_Panne_Min]]&gt;0,1,0)</f>
        <v>1</v>
      </c>
      <c r="L227" t="str">
        <f>IF(CLIENTS_CHURN[[#This Row],[Type_Forfait]]="Pro Monde","B2B","B2C")</f>
        <v>B2C</v>
      </c>
    </row>
    <row r="228" spans="1:12" x14ac:dyDescent="0.25">
      <c r="A228" s="1">
        <f t="shared" si="3"/>
        <v>227</v>
      </c>
      <c r="B228" s="1" t="s">
        <v>256</v>
      </c>
      <c r="C228" s="1" t="s">
        <v>35</v>
      </c>
      <c r="D228" s="1">
        <v>2</v>
      </c>
      <c r="E228" s="1" t="s">
        <v>12</v>
      </c>
      <c r="F228" s="1">
        <v>142</v>
      </c>
      <c r="G228" s="9">
        <v>37.799999999999997</v>
      </c>
      <c r="H228" s="1">
        <v>0</v>
      </c>
      <c r="I2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28" s="9">
        <f>CLIENTS_CHURN[[#This Row],[Facture_Mensuelle]]*CLIENTS_CHURN[[#This Row],[Remise (%)]]</f>
        <v>3.78</v>
      </c>
      <c r="K228">
        <f>IF(CLIENTS_CHURN[[#This Row],[Duree_Cumulee_Panne_Min]]&gt;0,1,0)</f>
        <v>1</v>
      </c>
      <c r="L228" t="str">
        <f>IF(CLIENTS_CHURN[[#This Row],[Type_Forfait]]="Pro Monde","B2B","B2C")</f>
        <v>B2B</v>
      </c>
    </row>
    <row r="229" spans="1:12" x14ac:dyDescent="0.25">
      <c r="A229" s="1">
        <f t="shared" si="3"/>
        <v>228</v>
      </c>
      <c r="B229" s="1" t="s">
        <v>154</v>
      </c>
      <c r="C229" s="1" t="s">
        <v>49</v>
      </c>
      <c r="D229" s="1">
        <v>109</v>
      </c>
      <c r="E229" s="1" t="s">
        <v>12</v>
      </c>
      <c r="F229" s="1">
        <v>480</v>
      </c>
      <c r="G229" s="9">
        <v>31.36</v>
      </c>
      <c r="H229" s="1">
        <v>0</v>
      </c>
      <c r="I2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29" s="9">
        <f>CLIENTS_CHURN[[#This Row],[Facture_Mensuelle]]*CLIENTS_CHURN[[#This Row],[Remise (%)]]</f>
        <v>14.112</v>
      </c>
      <c r="K229">
        <f>IF(CLIENTS_CHURN[[#This Row],[Duree_Cumulee_Panne_Min]]&gt;0,1,0)</f>
        <v>1</v>
      </c>
      <c r="L229" t="str">
        <f>IF(CLIENTS_CHURN[[#This Row],[Type_Forfait]]="Pro Monde","B2B","B2C")</f>
        <v>B2B</v>
      </c>
    </row>
    <row r="230" spans="1:12" x14ac:dyDescent="0.25">
      <c r="A230" s="1">
        <f t="shared" si="3"/>
        <v>229</v>
      </c>
      <c r="B230" s="1" t="s">
        <v>172</v>
      </c>
      <c r="C230" s="1" t="s">
        <v>42</v>
      </c>
      <c r="D230" s="1">
        <v>54</v>
      </c>
      <c r="E230" s="1" t="s">
        <v>17</v>
      </c>
      <c r="F230" s="1">
        <v>99</v>
      </c>
      <c r="G230" s="9">
        <v>39.58</v>
      </c>
      <c r="H230" s="1">
        <v>0</v>
      </c>
      <c r="I2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30" s="9">
        <f>CLIENTS_CHURN[[#This Row],[Facture_Mensuelle]]*CLIENTS_CHURN[[#This Row],[Remise (%)]]</f>
        <v>0</v>
      </c>
      <c r="K230">
        <f>IF(CLIENTS_CHURN[[#This Row],[Duree_Cumulee_Panne_Min]]&gt;0,1,0)</f>
        <v>1</v>
      </c>
      <c r="L230" t="str">
        <f>IF(CLIENTS_CHURN[[#This Row],[Type_Forfait]]="Pro Monde","B2B","B2C")</f>
        <v>B2C</v>
      </c>
    </row>
    <row r="231" spans="1:12" x14ac:dyDescent="0.25">
      <c r="A231" s="1">
        <f t="shared" si="3"/>
        <v>230</v>
      </c>
      <c r="B231" s="1" t="s">
        <v>571</v>
      </c>
      <c r="C231" s="1" t="s">
        <v>24</v>
      </c>
      <c r="D231" s="1">
        <v>118</v>
      </c>
      <c r="E231" s="1" t="s">
        <v>17</v>
      </c>
      <c r="F231" s="1">
        <v>461</v>
      </c>
      <c r="G231" s="9">
        <v>47.82</v>
      </c>
      <c r="H231" s="1">
        <v>5</v>
      </c>
      <c r="I2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1" s="9">
        <f>CLIENTS_CHURN[[#This Row],[Facture_Mensuelle]]*CLIENTS_CHURN[[#This Row],[Remise (%)]]</f>
        <v>21.519000000000002</v>
      </c>
      <c r="K231">
        <f>IF(CLIENTS_CHURN[[#This Row],[Duree_Cumulee_Panne_Min]]&gt;0,1,0)</f>
        <v>1</v>
      </c>
      <c r="L231" t="str">
        <f>IF(CLIENTS_CHURN[[#This Row],[Type_Forfait]]="Pro Monde","B2B","B2C")</f>
        <v>B2C</v>
      </c>
    </row>
    <row r="232" spans="1:12" x14ac:dyDescent="0.25">
      <c r="A232" s="1">
        <f t="shared" si="3"/>
        <v>231</v>
      </c>
      <c r="B232" s="1" t="s">
        <v>107</v>
      </c>
      <c r="C232" s="1" t="s">
        <v>33</v>
      </c>
      <c r="D232" s="1">
        <v>86</v>
      </c>
      <c r="E232" s="1" t="s">
        <v>12</v>
      </c>
      <c r="F232" s="1">
        <v>237</v>
      </c>
      <c r="G232" s="9">
        <v>85.82</v>
      </c>
      <c r="H232" s="1">
        <v>5</v>
      </c>
      <c r="I2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32" s="9">
        <f>CLIENTS_CHURN[[#This Row],[Facture_Mensuelle]]*CLIENTS_CHURN[[#This Row],[Remise (%)]]</f>
        <v>8.581999999999999</v>
      </c>
      <c r="K232">
        <f>IF(CLIENTS_CHURN[[#This Row],[Duree_Cumulee_Panne_Min]]&gt;0,1,0)</f>
        <v>1</v>
      </c>
      <c r="L232" t="str">
        <f>IF(CLIENTS_CHURN[[#This Row],[Type_Forfait]]="Pro Monde","B2B","B2C")</f>
        <v>B2B</v>
      </c>
    </row>
    <row r="233" spans="1:12" x14ac:dyDescent="0.25">
      <c r="A233" s="1">
        <f t="shared" si="3"/>
        <v>232</v>
      </c>
      <c r="B233" s="1" t="s">
        <v>57</v>
      </c>
      <c r="C233" s="1" t="s">
        <v>58</v>
      </c>
      <c r="D233" s="1">
        <v>14</v>
      </c>
      <c r="E233" s="1" t="s">
        <v>12</v>
      </c>
      <c r="F233" s="1">
        <v>316</v>
      </c>
      <c r="G233" s="9">
        <v>62.34</v>
      </c>
      <c r="H233" s="1">
        <v>4</v>
      </c>
      <c r="I2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3" s="9">
        <f>CLIENTS_CHURN[[#This Row],[Facture_Mensuelle]]*CLIENTS_CHURN[[#This Row],[Remise (%)]]</f>
        <v>28.053000000000001</v>
      </c>
      <c r="K233">
        <f>IF(CLIENTS_CHURN[[#This Row],[Duree_Cumulee_Panne_Min]]&gt;0,1,0)</f>
        <v>1</v>
      </c>
      <c r="L233" t="str">
        <f>IF(CLIENTS_CHURN[[#This Row],[Type_Forfait]]="Pro Monde","B2B","B2C")</f>
        <v>B2B</v>
      </c>
    </row>
    <row r="234" spans="1:12" x14ac:dyDescent="0.25">
      <c r="A234" s="1">
        <f t="shared" si="3"/>
        <v>233</v>
      </c>
      <c r="B234" s="1" t="s">
        <v>448</v>
      </c>
      <c r="C234" s="1" t="s">
        <v>49</v>
      </c>
      <c r="D234" s="1">
        <v>41</v>
      </c>
      <c r="E234" s="1" t="s">
        <v>20</v>
      </c>
      <c r="F234" s="1">
        <v>404</v>
      </c>
      <c r="G234" s="9">
        <v>98.67</v>
      </c>
      <c r="H234" s="1">
        <v>5</v>
      </c>
      <c r="I2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4" s="9">
        <f>CLIENTS_CHURN[[#This Row],[Facture_Mensuelle]]*CLIENTS_CHURN[[#This Row],[Remise (%)]]</f>
        <v>44.401499999999999</v>
      </c>
      <c r="K234">
        <f>IF(CLIENTS_CHURN[[#This Row],[Duree_Cumulee_Panne_Min]]&gt;0,1,0)</f>
        <v>1</v>
      </c>
      <c r="L234" t="str">
        <f>IF(CLIENTS_CHURN[[#This Row],[Type_Forfait]]="Pro Monde","B2B","B2C")</f>
        <v>B2C</v>
      </c>
    </row>
    <row r="235" spans="1:12" x14ac:dyDescent="0.25">
      <c r="A235" s="1">
        <f t="shared" si="3"/>
        <v>234</v>
      </c>
      <c r="B235" s="1" t="s">
        <v>139</v>
      </c>
      <c r="C235" s="1" t="s">
        <v>55</v>
      </c>
      <c r="D235" s="1">
        <v>79</v>
      </c>
      <c r="E235" s="1" t="s">
        <v>20</v>
      </c>
      <c r="F235" s="1">
        <v>403</v>
      </c>
      <c r="G235" s="9">
        <v>21.49</v>
      </c>
      <c r="H235" s="1">
        <v>0</v>
      </c>
      <c r="I2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5" s="9">
        <f>CLIENTS_CHURN[[#This Row],[Facture_Mensuelle]]*CLIENTS_CHURN[[#This Row],[Remise (%)]]</f>
        <v>9.6704999999999988</v>
      </c>
      <c r="K235">
        <f>IF(CLIENTS_CHURN[[#This Row],[Duree_Cumulee_Panne_Min]]&gt;0,1,0)</f>
        <v>1</v>
      </c>
      <c r="L235" t="str">
        <f>IF(CLIENTS_CHURN[[#This Row],[Type_Forfait]]="Pro Monde","B2B","B2C")</f>
        <v>B2C</v>
      </c>
    </row>
    <row r="236" spans="1:12" x14ac:dyDescent="0.25">
      <c r="A236" s="1">
        <f t="shared" si="3"/>
        <v>235</v>
      </c>
      <c r="B236" s="1" t="s">
        <v>201</v>
      </c>
      <c r="C236" s="1" t="s">
        <v>76</v>
      </c>
      <c r="D236" s="1">
        <v>89</v>
      </c>
      <c r="E236" s="1" t="s">
        <v>12</v>
      </c>
      <c r="F236" s="1">
        <v>203</v>
      </c>
      <c r="G236" s="9">
        <v>80.680000000000007</v>
      </c>
      <c r="H236" s="1">
        <v>5</v>
      </c>
      <c r="I2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36" s="9">
        <f>CLIENTS_CHURN[[#This Row],[Facture_Mensuelle]]*CLIENTS_CHURN[[#This Row],[Remise (%)]]</f>
        <v>8.0680000000000014</v>
      </c>
      <c r="K236">
        <f>IF(CLIENTS_CHURN[[#This Row],[Duree_Cumulee_Panne_Min]]&gt;0,1,0)</f>
        <v>1</v>
      </c>
      <c r="L236" t="str">
        <f>IF(CLIENTS_CHURN[[#This Row],[Type_Forfait]]="Pro Monde","B2B","B2C")</f>
        <v>B2B</v>
      </c>
    </row>
    <row r="237" spans="1:12" x14ac:dyDescent="0.25">
      <c r="A237" s="1">
        <f t="shared" si="3"/>
        <v>236</v>
      </c>
      <c r="B237" s="1" t="s">
        <v>275</v>
      </c>
      <c r="C237" s="1" t="s">
        <v>19</v>
      </c>
      <c r="D237" s="1">
        <v>18</v>
      </c>
      <c r="E237" s="1" t="s">
        <v>17</v>
      </c>
      <c r="F237" s="1">
        <v>291</v>
      </c>
      <c r="G237" s="9">
        <v>97.98</v>
      </c>
      <c r="H237" s="1">
        <v>1</v>
      </c>
      <c r="I2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7" s="9">
        <f>CLIENTS_CHURN[[#This Row],[Facture_Mensuelle]]*CLIENTS_CHURN[[#This Row],[Remise (%)]]</f>
        <v>44.091000000000001</v>
      </c>
      <c r="K237">
        <f>IF(CLIENTS_CHURN[[#This Row],[Duree_Cumulee_Panne_Min]]&gt;0,1,0)</f>
        <v>1</v>
      </c>
      <c r="L237" t="str">
        <f>IF(CLIENTS_CHURN[[#This Row],[Type_Forfait]]="Pro Monde","B2B","B2C")</f>
        <v>B2C</v>
      </c>
    </row>
    <row r="238" spans="1:12" x14ac:dyDescent="0.25">
      <c r="A238" s="1">
        <f t="shared" si="3"/>
        <v>237</v>
      </c>
      <c r="B238" s="1" t="s">
        <v>545</v>
      </c>
      <c r="C238" s="1" t="s">
        <v>29</v>
      </c>
      <c r="D238" s="1">
        <v>12</v>
      </c>
      <c r="E238" s="1" t="s">
        <v>20</v>
      </c>
      <c r="F238" s="1">
        <v>138</v>
      </c>
      <c r="G238" s="9">
        <v>17</v>
      </c>
      <c r="H238" s="1">
        <v>2</v>
      </c>
      <c r="I2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38" s="9">
        <f>CLIENTS_CHURN[[#This Row],[Facture_Mensuelle]]*CLIENTS_CHURN[[#This Row],[Remise (%)]]</f>
        <v>0</v>
      </c>
      <c r="K238">
        <f>IF(CLIENTS_CHURN[[#This Row],[Duree_Cumulee_Panne_Min]]&gt;0,1,0)</f>
        <v>1</v>
      </c>
      <c r="L238" t="str">
        <f>IF(CLIENTS_CHURN[[#This Row],[Type_Forfait]]="Pro Monde","B2B","B2C")</f>
        <v>B2C</v>
      </c>
    </row>
    <row r="239" spans="1:12" x14ac:dyDescent="0.25">
      <c r="A239" s="1">
        <f t="shared" si="3"/>
        <v>238</v>
      </c>
      <c r="B239" s="1" t="s">
        <v>375</v>
      </c>
      <c r="C239" s="1" t="s">
        <v>16</v>
      </c>
      <c r="D239" s="1">
        <v>96</v>
      </c>
      <c r="E239" s="1" t="s">
        <v>20</v>
      </c>
      <c r="F239" s="1">
        <v>381</v>
      </c>
      <c r="G239" s="9">
        <v>90.78</v>
      </c>
      <c r="H239" s="1">
        <v>2</v>
      </c>
      <c r="I2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39" s="9">
        <f>CLIENTS_CHURN[[#This Row],[Facture_Mensuelle]]*CLIENTS_CHURN[[#This Row],[Remise (%)]]</f>
        <v>40.850999999999999</v>
      </c>
      <c r="K239">
        <f>IF(CLIENTS_CHURN[[#This Row],[Duree_Cumulee_Panne_Min]]&gt;0,1,0)</f>
        <v>1</v>
      </c>
      <c r="L239" t="str">
        <f>IF(CLIENTS_CHURN[[#This Row],[Type_Forfait]]="Pro Monde","B2B","B2C")</f>
        <v>B2C</v>
      </c>
    </row>
    <row r="240" spans="1:12" x14ac:dyDescent="0.25">
      <c r="A240" s="1">
        <f t="shared" si="3"/>
        <v>239</v>
      </c>
      <c r="B240" s="1" t="s">
        <v>537</v>
      </c>
      <c r="C240" s="1" t="s">
        <v>14</v>
      </c>
      <c r="D240" s="1">
        <v>120</v>
      </c>
      <c r="E240" s="1" t="s">
        <v>17</v>
      </c>
      <c r="F240" s="1">
        <v>27</v>
      </c>
      <c r="G240" s="9">
        <v>24.46</v>
      </c>
      <c r="H240" s="1">
        <v>3</v>
      </c>
      <c r="I2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40" s="9">
        <f>CLIENTS_CHURN[[#This Row],[Facture_Mensuelle]]*CLIENTS_CHURN[[#This Row],[Remise (%)]]</f>
        <v>0</v>
      </c>
      <c r="K240">
        <f>IF(CLIENTS_CHURN[[#This Row],[Duree_Cumulee_Panne_Min]]&gt;0,1,0)</f>
        <v>1</v>
      </c>
      <c r="L240" t="str">
        <f>IF(CLIENTS_CHURN[[#This Row],[Type_Forfait]]="Pro Monde","B2B","B2C")</f>
        <v>B2C</v>
      </c>
    </row>
    <row r="241" spans="1:12" x14ac:dyDescent="0.25">
      <c r="A241" s="1">
        <f t="shared" si="3"/>
        <v>240</v>
      </c>
      <c r="B241" s="1" t="s">
        <v>238</v>
      </c>
      <c r="C241" s="1" t="s">
        <v>128</v>
      </c>
      <c r="D241" s="1">
        <v>65</v>
      </c>
      <c r="E241" s="1" t="s">
        <v>17</v>
      </c>
      <c r="F241" s="1">
        <v>118</v>
      </c>
      <c r="G241" s="9">
        <v>72.430000000000007</v>
      </c>
      <c r="H241" s="1">
        <v>1</v>
      </c>
      <c r="I2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41" s="9">
        <f>CLIENTS_CHURN[[#This Row],[Facture_Mensuelle]]*CLIENTS_CHURN[[#This Row],[Remise (%)]]</f>
        <v>0</v>
      </c>
      <c r="K241">
        <f>IF(CLIENTS_CHURN[[#This Row],[Duree_Cumulee_Panne_Min]]&gt;0,1,0)</f>
        <v>1</v>
      </c>
      <c r="L241" t="str">
        <f>IF(CLIENTS_CHURN[[#This Row],[Type_Forfait]]="Pro Monde","B2B","B2C")</f>
        <v>B2C</v>
      </c>
    </row>
    <row r="242" spans="1:12" x14ac:dyDescent="0.25">
      <c r="A242" s="1">
        <f t="shared" si="3"/>
        <v>241</v>
      </c>
      <c r="B242" s="1" t="s">
        <v>285</v>
      </c>
      <c r="C242" s="1" t="s">
        <v>27</v>
      </c>
      <c r="D242" s="1">
        <v>13</v>
      </c>
      <c r="E242" s="1" t="s">
        <v>12</v>
      </c>
      <c r="F242" s="1">
        <v>347</v>
      </c>
      <c r="G242" s="9">
        <v>32.35</v>
      </c>
      <c r="H242" s="1">
        <v>2</v>
      </c>
      <c r="I2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2" s="9">
        <f>CLIENTS_CHURN[[#This Row],[Facture_Mensuelle]]*CLIENTS_CHURN[[#This Row],[Remise (%)]]</f>
        <v>14.557500000000001</v>
      </c>
      <c r="K242">
        <f>IF(CLIENTS_CHURN[[#This Row],[Duree_Cumulee_Panne_Min]]&gt;0,1,0)</f>
        <v>1</v>
      </c>
      <c r="L242" t="str">
        <f>IF(CLIENTS_CHURN[[#This Row],[Type_Forfait]]="Pro Monde","B2B","B2C")</f>
        <v>B2B</v>
      </c>
    </row>
    <row r="243" spans="1:12" x14ac:dyDescent="0.25">
      <c r="A243" s="1">
        <f t="shared" si="3"/>
        <v>242</v>
      </c>
      <c r="B243" s="1" t="s">
        <v>508</v>
      </c>
      <c r="C243" s="1" t="s">
        <v>42</v>
      </c>
      <c r="D243" s="1">
        <v>120</v>
      </c>
      <c r="E243" s="1" t="s">
        <v>12</v>
      </c>
      <c r="F243" s="1">
        <v>72</v>
      </c>
      <c r="G243" s="9">
        <v>29.07</v>
      </c>
      <c r="H243" s="1">
        <v>3</v>
      </c>
      <c r="I2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43" s="9">
        <f>CLIENTS_CHURN[[#This Row],[Facture_Mensuelle]]*CLIENTS_CHURN[[#This Row],[Remise (%)]]</f>
        <v>2.907</v>
      </c>
      <c r="K243">
        <f>IF(CLIENTS_CHURN[[#This Row],[Duree_Cumulee_Panne_Min]]&gt;0,1,0)</f>
        <v>1</v>
      </c>
      <c r="L243" t="str">
        <f>IF(CLIENTS_CHURN[[#This Row],[Type_Forfait]]="Pro Monde","B2B","B2C")</f>
        <v>B2B</v>
      </c>
    </row>
    <row r="244" spans="1:12" x14ac:dyDescent="0.25">
      <c r="A244" s="1">
        <f t="shared" si="3"/>
        <v>243</v>
      </c>
      <c r="B244" s="1" t="s">
        <v>108</v>
      </c>
      <c r="C244" s="1" t="s">
        <v>31</v>
      </c>
      <c r="D244" s="1">
        <v>114</v>
      </c>
      <c r="E244" s="1" t="s">
        <v>9</v>
      </c>
      <c r="F244" s="1">
        <v>283</v>
      </c>
      <c r="G244" s="9">
        <v>29.15</v>
      </c>
      <c r="H244" s="1">
        <v>3</v>
      </c>
      <c r="I2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4" s="9">
        <f>CLIENTS_CHURN[[#This Row],[Facture_Mensuelle]]*CLIENTS_CHURN[[#This Row],[Remise (%)]]</f>
        <v>13.1175</v>
      </c>
      <c r="K244">
        <f>IF(CLIENTS_CHURN[[#This Row],[Duree_Cumulee_Panne_Min]]&gt;0,1,0)</f>
        <v>1</v>
      </c>
      <c r="L244" t="str">
        <f>IF(CLIENTS_CHURN[[#This Row],[Type_Forfait]]="Pro Monde","B2B","B2C")</f>
        <v>B2C</v>
      </c>
    </row>
    <row r="245" spans="1:12" x14ac:dyDescent="0.25">
      <c r="A245" s="1">
        <f t="shared" si="3"/>
        <v>244</v>
      </c>
      <c r="B245" s="1" t="s">
        <v>219</v>
      </c>
      <c r="C245" s="1" t="s">
        <v>22</v>
      </c>
      <c r="D245" s="1">
        <v>58</v>
      </c>
      <c r="E245" s="1" t="s">
        <v>17</v>
      </c>
      <c r="F245" s="1">
        <v>405</v>
      </c>
      <c r="G245" s="9">
        <v>18.39</v>
      </c>
      <c r="H245" s="1">
        <v>0</v>
      </c>
      <c r="I2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5" s="9">
        <f>CLIENTS_CHURN[[#This Row],[Facture_Mensuelle]]*CLIENTS_CHURN[[#This Row],[Remise (%)]]</f>
        <v>8.275500000000001</v>
      </c>
      <c r="K245">
        <f>IF(CLIENTS_CHURN[[#This Row],[Duree_Cumulee_Panne_Min]]&gt;0,1,0)</f>
        <v>1</v>
      </c>
      <c r="L245" t="str">
        <f>IF(CLIENTS_CHURN[[#This Row],[Type_Forfait]]="Pro Monde","B2B","B2C")</f>
        <v>B2C</v>
      </c>
    </row>
    <row r="246" spans="1:12" x14ac:dyDescent="0.25">
      <c r="A246" s="1">
        <f t="shared" si="3"/>
        <v>245</v>
      </c>
      <c r="B246" s="1" t="s">
        <v>734</v>
      </c>
      <c r="C246" s="1" t="s">
        <v>42</v>
      </c>
      <c r="D246" s="1">
        <v>94</v>
      </c>
      <c r="E246" s="1" t="s">
        <v>20</v>
      </c>
      <c r="F246" s="1">
        <v>261</v>
      </c>
      <c r="G246" s="9">
        <v>70.09</v>
      </c>
      <c r="H246" s="1">
        <v>3</v>
      </c>
      <c r="I2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6" s="9">
        <f>CLIENTS_CHURN[[#This Row],[Facture_Mensuelle]]*CLIENTS_CHURN[[#This Row],[Remise (%)]]</f>
        <v>31.540500000000002</v>
      </c>
      <c r="K246">
        <f>IF(CLIENTS_CHURN[[#This Row],[Duree_Cumulee_Panne_Min]]&gt;0,1,0)</f>
        <v>1</v>
      </c>
      <c r="L246" t="str">
        <f>IF(CLIENTS_CHURN[[#This Row],[Type_Forfait]]="Pro Monde","B2B","B2C")</f>
        <v>B2C</v>
      </c>
    </row>
    <row r="247" spans="1:12" x14ac:dyDescent="0.25">
      <c r="A247" s="1">
        <f t="shared" si="3"/>
        <v>246</v>
      </c>
      <c r="B247" s="1" t="s">
        <v>420</v>
      </c>
      <c r="C247" s="1" t="s">
        <v>22</v>
      </c>
      <c r="D247" s="1">
        <v>74</v>
      </c>
      <c r="E247" s="1" t="s">
        <v>20</v>
      </c>
      <c r="F247" s="1">
        <v>253</v>
      </c>
      <c r="G247" s="9">
        <v>36.94</v>
      </c>
      <c r="H247" s="1">
        <v>5</v>
      </c>
      <c r="I2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7" s="9">
        <f>CLIENTS_CHURN[[#This Row],[Facture_Mensuelle]]*CLIENTS_CHURN[[#This Row],[Remise (%)]]</f>
        <v>16.623000000000001</v>
      </c>
      <c r="K247">
        <f>IF(CLIENTS_CHURN[[#This Row],[Duree_Cumulee_Panne_Min]]&gt;0,1,0)</f>
        <v>1</v>
      </c>
      <c r="L247" t="str">
        <f>IF(CLIENTS_CHURN[[#This Row],[Type_Forfait]]="Pro Monde","B2B","B2C")</f>
        <v>B2C</v>
      </c>
    </row>
    <row r="248" spans="1:12" x14ac:dyDescent="0.25">
      <c r="A248" s="1">
        <f t="shared" si="3"/>
        <v>247</v>
      </c>
      <c r="B248" s="1" t="s">
        <v>600</v>
      </c>
      <c r="C248" s="1" t="s">
        <v>14</v>
      </c>
      <c r="D248" s="1">
        <v>50</v>
      </c>
      <c r="E248" s="1" t="s">
        <v>20</v>
      </c>
      <c r="F248" s="1">
        <v>177</v>
      </c>
      <c r="G248" s="9">
        <v>74.569999999999993</v>
      </c>
      <c r="H248" s="1">
        <v>4</v>
      </c>
      <c r="I2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48" s="9">
        <f>CLIENTS_CHURN[[#This Row],[Facture_Mensuelle]]*CLIENTS_CHURN[[#This Row],[Remise (%)]]</f>
        <v>0</v>
      </c>
      <c r="K248">
        <f>IF(CLIENTS_CHURN[[#This Row],[Duree_Cumulee_Panne_Min]]&gt;0,1,0)</f>
        <v>1</v>
      </c>
      <c r="L248" t="str">
        <f>IF(CLIENTS_CHURN[[#This Row],[Type_Forfait]]="Pro Monde","B2B","B2C")</f>
        <v>B2C</v>
      </c>
    </row>
    <row r="249" spans="1:12" x14ac:dyDescent="0.25">
      <c r="A249" s="1">
        <f t="shared" si="3"/>
        <v>248</v>
      </c>
      <c r="B249" s="1" t="s">
        <v>775</v>
      </c>
      <c r="C249" s="1" t="s">
        <v>76</v>
      </c>
      <c r="D249" s="1">
        <v>26</v>
      </c>
      <c r="E249" s="1" t="s">
        <v>20</v>
      </c>
      <c r="F249" s="1">
        <v>378</v>
      </c>
      <c r="G249" s="9">
        <v>88.59</v>
      </c>
      <c r="H249" s="1">
        <v>4</v>
      </c>
      <c r="I2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49" s="9">
        <f>CLIENTS_CHURN[[#This Row],[Facture_Mensuelle]]*CLIENTS_CHURN[[#This Row],[Remise (%)]]</f>
        <v>39.865500000000004</v>
      </c>
      <c r="K249">
        <f>IF(CLIENTS_CHURN[[#This Row],[Duree_Cumulee_Panne_Min]]&gt;0,1,0)</f>
        <v>1</v>
      </c>
      <c r="L249" t="str">
        <f>IF(CLIENTS_CHURN[[#This Row],[Type_Forfait]]="Pro Monde","B2B","B2C")</f>
        <v>B2C</v>
      </c>
    </row>
    <row r="250" spans="1:12" x14ac:dyDescent="0.25">
      <c r="A250" s="1">
        <f t="shared" si="3"/>
        <v>249</v>
      </c>
      <c r="B250" s="1" t="s">
        <v>767</v>
      </c>
      <c r="C250" s="1" t="s">
        <v>27</v>
      </c>
      <c r="D250" s="1">
        <v>26</v>
      </c>
      <c r="E250" s="1" t="s">
        <v>9</v>
      </c>
      <c r="F250" s="1">
        <v>391</v>
      </c>
      <c r="G250" s="9">
        <v>18.28</v>
      </c>
      <c r="H250" s="1">
        <v>3</v>
      </c>
      <c r="I2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0" s="9">
        <f>CLIENTS_CHURN[[#This Row],[Facture_Mensuelle]]*CLIENTS_CHURN[[#This Row],[Remise (%)]]</f>
        <v>8.2260000000000009</v>
      </c>
      <c r="K250">
        <f>IF(CLIENTS_CHURN[[#This Row],[Duree_Cumulee_Panne_Min]]&gt;0,1,0)</f>
        <v>1</v>
      </c>
      <c r="L250" t="str">
        <f>IF(CLIENTS_CHURN[[#This Row],[Type_Forfait]]="Pro Monde","B2B","B2C")</f>
        <v>B2C</v>
      </c>
    </row>
    <row r="251" spans="1:12" x14ac:dyDescent="0.25">
      <c r="A251" s="1">
        <f t="shared" si="3"/>
        <v>250</v>
      </c>
      <c r="B251" s="1" t="s">
        <v>484</v>
      </c>
      <c r="C251" s="1" t="s">
        <v>60</v>
      </c>
      <c r="D251" s="1">
        <v>104</v>
      </c>
      <c r="E251" s="1" t="s">
        <v>12</v>
      </c>
      <c r="F251" s="1">
        <v>421</v>
      </c>
      <c r="G251" s="9">
        <v>26.24</v>
      </c>
      <c r="H251" s="1">
        <v>3</v>
      </c>
      <c r="I2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1" s="9">
        <f>CLIENTS_CHURN[[#This Row],[Facture_Mensuelle]]*CLIENTS_CHURN[[#This Row],[Remise (%)]]</f>
        <v>11.808</v>
      </c>
      <c r="K251">
        <f>IF(CLIENTS_CHURN[[#This Row],[Duree_Cumulee_Panne_Min]]&gt;0,1,0)</f>
        <v>1</v>
      </c>
      <c r="L251" t="str">
        <f>IF(CLIENTS_CHURN[[#This Row],[Type_Forfait]]="Pro Monde","B2B","B2C")</f>
        <v>B2B</v>
      </c>
    </row>
    <row r="252" spans="1:12" x14ac:dyDescent="0.25">
      <c r="A252" s="1">
        <f t="shared" si="3"/>
        <v>251</v>
      </c>
      <c r="B252" s="1" t="s">
        <v>231</v>
      </c>
      <c r="C252" s="1" t="s">
        <v>11</v>
      </c>
      <c r="D252" s="1">
        <v>108</v>
      </c>
      <c r="E252" s="1" t="s">
        <v>9</v>
      </c>
      <c r="F252" s="1">
        <v>230</v>
      </c>
      <c r="G252" s="9">
        <v>16.3</v>
      </c>
      <c r="H252" s="1">
        <v>5</v>
      </c>
      <c r="I2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52" s="9">
        <f>CLIENTS_CHURN[[#This Row],[Facture_Mensuelle]]*CLIENTS_CHURN[[#This Row],[Remise (%)]]</f>
        <v>0</v>
      </c>
      <c r="K252">
        <f>IF(CLIENTS_CHURN[[#This Row],[Duree_Cumulee_Panne_Min]]&gt;0,1,0)</f>
        <v>1</v>
      </c>
      <c r="L252" t="str">
        <f>IF(CLIENTS_CHURN[[#This Row],[Type_Forfait]]="Pro Monde","B2B","B2C")</f>
        <v>B2C</v>
      </c>
    </row>
    <row r="253" spans="1:12" x14ac:dyDescent="0.25">
      <c r="A253" s="1">
        <f t="shared" si="3"/>
        <v>252</v>
      </c>
      <c r="B253" s="1" t="s">
        <v>395</v>
      </c>
      <c r="C253" s="1" t="s">
        <v>11</v>
      </c>
      <c r="D253" s="1">
        <v>103</v>
      </c>
      <c r="E253" s="1" t="s">
        <v>12</v>
      </c>
      <c r="F253" s="1">
        <v>270</v>
      </c>
      <c r="G253" s="9">
        <v>67.87</v>
      </c>
      <c r="H253" s="1">
        <v>3</v>
      </c>
      <c r="I2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3" s="9">
        <f>CLIENTS_CHURN[[#This Row],[Facture_Mensuelle]]*CLIENTS_CHURN[[#This Row],[Remise (%)]]</f>
        <v>30.541500000000003</v>
      </c>
      <c r="K253">
        <f>IF(CLIENTS_CHURN[[#This Row],[Duree_Cumulee_Panne_Min]]&gt;0,1,0)</f>
        <v>1</v>
      </c>
      <c r="L253" t="str">
        <f>IF(CLIENTS_CHURN[[#This Row],[Type_Forfait]]="Pro Monde","B2B","B2C")</f>
        <v>B2B</v>
      </c>
    </row>
    <row r="254" spans="1:12" x14ac:dyDescent="0.25">
      <c r="A254" s="1">
        <f t="shared" si="3"/>
        <v>253</v>
      </c>
      <c r="B254" s="1" t="s">
        <v>642</v>
      </c>
      <c r="C254" s="1" t="s">
        <v>62</v>
      </c>
      <c r="D254" s="1">
        <v>93</v>
      </c>
      <c r="E254" s="1" t="s">
        <v>12</v>
      </c>
      <c r="F254" s="1">
        <v>56</v>
      </c>
      <c r="G254" s="9">
        <v>96.31</v>
      </c>
      <c r="H254" s="1">
        <v>4</v>
      </c>
      <c r="I2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54" s="9">
        <f>CLIENTS_CHURN[[#This Row],[Facture_Mensuelle]]*CLIENTS_CHURN[[#This Row],[Remise (%)]]</f>
        <v>9.6310000000000002</v>
      </c>
      <c r="K254">
        <f>IF(CLIENTS_CHURN[[#This Row],[Duree_Cumulee_Panne_Min]]&gt;0,1,0)</f>
        <v>1</v>
      </c>
      <c r="L254" t="str">
        <f>IF(CLIENTS_CHURN[[#This Row],[Type_Forfait]]="Pro Monde","B2B","B2C")</f>
        <v>B2B</v>
      </c>
    </row>
    <row r="255" spans="1:12" x14ac:dyDescent="0.25">
      <c r="A255" s="1">
        <f t="shared" si="3"/>
        <v>254</v>
      </c>
      <c r="B255" s="1" t="s">
        <v>474</v>
      </c>
      <c r="C255" s="1" t="s">
        <v>8</v>
      </c>
      <c r="D255" s="1">
        <v>86</v>
      </c>
      <c r="E255" s="1" t="s">
        <v>9</v>
      </c>
      <c r="F255" s="1">
        <v>452</v>
      </c>
      <c r="G255" s="9">
        <v>75.680000000000007</v>
      </c>
      <c r="H255" s="1">
        <v>0</v>
      </c>
      <c r="I2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5" s="9">
        <f>CLIENTS_CHURN[[#This Row],[Facture_Mensuelle]]*CLIENTS_CHURN[[#This Row],[Remise (%)]]</f>
        <v>34.056000000000004</v>
      </c>
      <c r="K255">
        <f>IF(CLIENTS_CHURN[[#This Row],[Duree_Cumulee_Panne_Min]]&gt;0,1,0)</f>
        <v>1</v>
      </c>
      <c r="L255" t="str">
        <f>IF(CLIENTS_CHURN[[#This Row],[Type_Forfait]]="Pro Monde","B2B","B2C")</f>
        <v>B2C</v>
      </c>
    </row>
    <row r="256" spans="1:12" x14ac:dyDescent="0.25">
      <c r="A256" s="1">
        <f t="shared" si="3"/>
        <v>255</v>
      </c>
      <c r="B256" s="1" t="s">
        <v>575</v>
      </c>
      <c r="C256" s="1" t="s">
        <v>42</v>
      </c>
      <c r="D256" s="1">
        <v>47</v>
      </c>
      <c r="E256" s="1" t="s">
        <v>20</v>
      </c>
      <c r="F256" s="1">
        <v>385</v>
      </c>
      <c r="G256" s="9">
        <v>41.33</v>
      </c>
      <c r="H256" s="1">
        <v>0</v>
      </c>
      <c r="I2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6" s="9">
        <f>CLIENTS_CHURN[[#This Row],[Facture_Mensuelle]]*CLIENTS_CHURN[[#This Row],[Remise (%)]]</f>
        <v>18.598500000000001</v>
      </c>
      <c r="K256">
        <f>IF(CLIENTS_CHURN[[#This Row],[Duree_Cumulee_Panne_Min]]&gt;0,1,0)</f>
        <v>1</v>
      </c>
      <c r="L256" t="str">
        <f>IF(CLIENTS_CHURN[[#This Row],[Type_Forfait]]="Pro Monde","B2B","B2C")</f>
        <v>B2C</v>
      </c>
    </row>
    <row r="257" spans="1:12" x14ac:dyDescent="0.25">
      <c r="A257" s="1">
        <f t="shared" si="3"/>
        <v>256</v>
      </c>
      <c r="B257" s="1" t="s">
        <v>437</v>
      </c>
      <c r="C257" s="1" t="s">
        <v>49</v>
      </c>
      <c r="D257" s="1">
        <v>83</v>
      </c>
      <c r="E257" s="1" t="s">
        <v>9</v>
      </c>
      <c r="F257" s="1">
        <v>105</v>
      </c>
      <c r="G257" s="9">
        <v>20.46</v>
      </c>
      <c r="H257" s="1">
        <v>1</v>
      </c>
      <c r="I2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57" s="9">
        <f>CLIENTS_CHURN[[#This Row],[Facture_Mensuelle]]*CLIENTS_CHURN[[#This Row],[Remise (%)]]</f>
        <v>0</v>
      </c>
      <c r="K257">
        <f>IF(CLIENTS_CHURN[[#This Row],[Duree_Cumulee_Panne_Min]]&gt;0,1,0)</f>
        <v>1</v>
      </c>
      <c r="L257" t="str">
        <f>IF(CLIENTS_CHURN[[#This Row],[Type_Forfait]]="Pro Monde","B2B","B2C")</f>
        <v>B2C</v>
      </c>
    </row>
    <row r="258" spans="1:12" x14ac:dyDescent="0.25">
      <c r="A258" s="1">
        <f t="shared" si="3"/>
        <v>257</v>
      </c>
      <c r="B258" s="1" t="s">
        <v>149</v>
      </c>
      <c r="C258" s="1" t="s">
        <v>31</v>
      </c>
      <c r="D258" s="1">
        <v>84</v>
      </c>
      <c r="E258" s="1" t="s">
        <v>17</v>
      </c>
      <c r="F258" s="1">
        <v>317</v>
      </c>
      <c r="G258" s="9">
        <v>36.200000000000003</v>
      </c>
      <c r="H258" s="1">
        <v>3</v>
      </c>
      <c r="I2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58" s="9">
        <f>CLIENTS_CHURN[[#This Row],[Facture_Mensuelle]]*CLIENTS_CHURN[[#This Row],[Remise (%)]]</f>
        <v>16.290000000000003</v>
      </c>
      <c r="K258">
        <f>IF(CLIENTS_CHURN[[#This Row],[Duree_Cumulee_Panne_Min]]&gt;0,1,0)</f>
        <v>1</v>
      </c>
      <c r="L258" t="str">
        <f>IF(CLIENTS_CHURN[[#This Row],[Type_Forfait]]="Pro Monde","B2B","B2C")</f>
        <v>B2C</v>
      </c>
    </row>
    <row r="259" spans="1:12" x14ac:dyDescent="0.25">
      <c r="A259" s="1">
        <f t="shared" si="3"/>
        <v>258</v>
      </c>
      <c r="B259" s="1" t="s">
        <v>70</v>
      </c>
      <c r="C259" s="1" t="s">
        <v>71</v>
      </c>
      <c r="D259" s="1">
        <v>6</v>
      </c>
      <c r="E259" s="1" t="s">
        <v>9</v>
      </c>
      <c r="F259" s="1">
        <v>207</v>
      </c>
      <c r="G259" s="9">
        <v>61.55</v>
      </c>
      <c r="H259" s="1">
        <v>0</v>
      </c>
      <c r="I2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59" s="9">
        <f>CLIENTS_CHURN[[#This Row],[Facture_Mensuelle]]*CLIENTS_CHURN[[#This Row],[Remise (%)]]</f>
        <v>0</v>
      </c>
      <c r="K259">
        <f>IF(CLIENTS_CHURN[[#This Row],[Duree_Cumulee_Panne_Min]]&gt;0,1,0)</f>
        <v>1</v>
      </c>
      <c r="L259" t="str">
        <f>IF(CLIENTS_CHURN[[#This Row],[Type_Forfait]]="Pro Monde","B2B","B2C")</f>
        <v>B2C</v>
      </c>
    </row>
    <row r="260" spans="1:12" x14ac:dyDescent="0.25">
      <c r="A260" s="1">
        <f t="shared" ref="A260:A323" si="4">A259+1</f>
        <v>259</v>
      </c>
      <c r="B260" s="1" t="s">
        <v>291</v>
      </c>
      <c r="C260" s="1" t="s">
        <v>8</v>
      </c>
      <c r="D260" s="1">
        <v>40</v>
      </c>
      <c r="E260" s="1" t="s">
        <v>9</v>
      </c>
      <c r="F260" s="1">
        <v>102</v>
      </c>
      <c r="G260" s="9">
        <v>96.59</v>
      </c>
      <c r="H260" s="1">
        <v>5</v>
      </c>
      <c r="I2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0" s="9">
        <f>CLIENTS_CHURN[[#This Row],[Facture_Mensuelle]]*CLIENTS_CHURN[[#This Row],[Remise (%)]]</f>
        <v>0</v>
      </c>
      <c r="K260">
        <f>IF(CLIENTS_CHURN[[#This Row],[Duree_Cumulee_Panne_Min]]&gt;0,1,0)</f>
        <v>1</v>
      </c>
      <c r="L260" t="str">
        <f>IF(CLIENTS_CHURN[[#This Row],[Type_Forfait]]="Pro Monde","B2B","B2C")</f>
        <v>B2C</v>
      </c>
    </row>
    <row r="261" spans="1:12" x14ac:dyDescent="0.25">
      <c r="A261" s="1">
        <f t="shared" si="4"/>
        <v>260</v>
      </c>
      <c r="B261" s="1" t="s">
        <v>152</v>
      </c>
      <c r="C261" s="1" t="s">
        <v>14</v>
      </c>
      <c r="D261" s="1">
        <v>42</v>
      </c>
      <c r="E261" s="1" t="s">
        <v>20</v>
      </c>
      <c r="F261" s="1">
        <v>173</v>
      </c>
      <c r="G261" s="9">
        <v>69.19</v>
      </c>
      <c r="H261" s="1">
        <v>4</v>
      </c>
      <c r="I2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1" s="9">
        <f>CLIENTS_CHURN[[#This Row],[Facture_Mensuelle]]*CLIENTS_CHURN[[#This Row],[Remise (%)]]</f>
        <v>0</v>
      </c>
      <c r="K261">
        <f>IF(CLIENTS_CHURN[[#This Row],[Duree_Cumulee_Panne_Min]]&gt;0,1,0)</f>
        <v>1</v>
      </c>
      <c r="L261" t="str">
        <f>IF(CLIENTS_CHURN[[#This Row],[Type_Forfait]]="Pro Monde","B2B","B2C")</f>
        <v>B2C</v>
      </c>
    </row>
    <row r="262" spans="1:12" x14ac:dyDescent="0.25">
      <c r="A262" s="1">
        <f t="shared" si="4"/>
        <v>261</v>
      </c>
      <c r="B262" s="1" t="s">
        <v>591</v>
      </c>
      <c r="C262" s="1" t="s">
        <v>128</v>
      </c>
      <c r="D262" s="1">
        <v>51</v>
      </c>
      <c r="E262" s="1" t="s">
        <v>17</v>
      </c>
      <c r="F262" s="1">
        <v>337</v>
      </c>
      <c r="G262" s="9">
        <v>68.67</v>
      </c>
      <c r="H262" s="1">
        <v>5</v>
      </c>
      <c r="I2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62" s="9">
        <f>CLIENTS_CHURN[[#This Row],[Facture_Mensuelle]]*CLIENTS_CHURN[[#This Row],[Remise (%)]]</f>
        <v>30.901500000000002</v>
      </c>
      <c r="K262">
        <f>IF(CLIENTS_CHURN[[#This Row],[Duree_Cumulee_Panne_Min]]&gt;0,1,0)</f>
        <v>1</v>
      </c>
      <c r="L262" t="str">
        <f>IF(CLIENTS_CHURN[[#This Row],[Type_Forfait]]="Pro Monde","B2B","B2C")</f>
        <v>B2C</v>
      </c>
    </row>
    <row r="263" spans="1:12" x14ac:dyDescent="0.25">
      <c r="A263" s="1">
        <f t="shared" si="4"/>
        <v>262</v>
      </c>
      <c r="B263" s="1" t="s">
        <v>366</v>
      </c>
      <c r="C263" s="1" t="s">
        <v>49</v>
      </c>
      <c r="D263" s="1">
        <v>108</v>
      </c>
      <c r="E263" s="1" t="s">
        <v>20</v>
      </c>
      <c r="F263" s="1">
        <v>123</v>
      </c>
      <c r="G263" s="9">
        <v>83.1</v>
      </c>
      <c r="H263" s="1">
        <v>1</v>
      </c>
      <c r="I2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3" s="9">
        <f>CLIENTS_CHURN[[#This Row],[Facture_Mensuelle]]*CLIENTS_CHURN[[#This Row],[Remise (%)]]</f>
        <v>0</v>
      </c>
      <c r="K263">
        <f>IF(CLIENTS_CHURN[[#This Row],[Duree_Cumulee_Panne_Min]]&gt;0,1,0)</f>
        <v>1</v>
      </c>
      <c r="L263" t="str">
        <f>IF(CLIENTS_CHURN[[#This Row],[Type_Forfait]]="Pro Monde","B2B","B2C")</f>
        <v>B2C</v>
      </c>
    </row>
    <row r="264" spans="1:12" x14ac:dyDescent="0.25">
      <c r="A264" s="1">
        <f t="shared" si="4"/>
        <v>263</v>
      </c>
      <c r="B264" s="1" t="s">
        <v>410</v>
      </c>
      <c r="C264" s="1" t="s">
        <v>19</v>
      </c>
      <c r="D264" s="1">
        <v>113</v>
      </c>
      <c r="E264" s="1" t="s">
        <v>9</v>
      </c>
      <c r="F264" s="1">
        <v>89</v>
      </c>
      <c r="G264" s="9">
        <v>54.28</v>
      </c>
      <c r="H264" s="1">
        <v>0</v>
      </c>
      <c r="I2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4" s="9">
        <f>CLIENTS_CHURN[[#This Row],[Facture_Mensuelle]]*CLIENTS_CHURN[[#This Row],[Remise (%)]]</f>
        <v>0</v>
      </c>
      <c r="K264">
        <f>IF(CLIENTS_CHURN[[#This Row],[Duree_Cumulee_Panne_Min]]&gt;0,1,0)</f>
        <v>1</v>
      </c>
      <c r="L264" t="str">
        <f>IF(CLIENTS_CHURN[[#This Row],[Type_Forfait]]="Pro Monde","B2B","B2C")</f>
        <v>B2C</v>
      </c>
    </row>
    <row r="265" spans="1:12" x14ac:dyDescent="0.25">
      <c r="A265" s="1">
        <f t="shared" si="4"/>
        <v>264</v>
      </c>
      <c r="B265" s="1" t="s">
        <v>515</v>
      </c>
      <c r="C265" s="1" t="s">
        <v>11</v>
      </c>
      <c r="D265" s="1">
        <v>101</v>
      </c>
      <c r="E265" s="1" t="s">
        <v>17</v>
      </c>
      <c r="F265" s="1">
        <v>416</v>
      </c>
      <c r="G265" s="9">
        <v>83.49</v>
      </c>
      <c r="H265" s="1">
        <v>2</v>
      </c>
      <c r="I2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65" s="9">
        <f>CLIENTS_CHURN[[#This Row],[Facture_Mensuelle]]*CLIENTS_CHURN[[#This Row],[Remise (%)]]</f>
        <v>37.570499999999996</v>
      </c>
      <c r="K265">
        <f>IF(CLIENTS_CHURN[[#This Row],[Duree_Cumulee_Panne_Min]]&gt;0,1,0)</f>
        <v>1</v>
      </c>
      <c r="L265" t="str">
        <f>IF(CLIENTS_CHURN[[#This Row],[Type_Forfait]]="Pro Monde","B2B","B2C")</f>
        <v>B2C</v>
      </c>
    </row>
    <row r="266" spans="1:12" x14ac:dyDescent="0.25">
      <c r="A266" s="1">
        <f t="shared" si="4"/>
        <v>265</v>
      </c>
      <c r="B266" s="1" t="s">
        <v>136</v>
      </c>
      <c r="C266" s="1" t="s">
        <v>71</v>
      </c>
      <c r="D266" s="1">
        <v>74</v>
      </c>
      <c r="E266" s="1" t="s">
        <v>9</v>
      </c>
      <c r="F266" s="1">
        <v>208</v>
      </c>
      <c r="G266" s="9">
        <v>39.56</v>
      </c>
      <c r="H266" s="1">
        <v>0</v>
      </c>
      <c r="I2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6" s="9">
        <f>CLIENTS_CHURN[[#This Row],[Facture_Mensuelle]]*CLIENTS_CHURN[[#This Row],[Remise (%)]]</f>
        <v>0</v>
      </c>
      <c r="K266">
        <f>IF(CLIENTS_CHURN[[#This Row],[Duree_Cumulee_Panne_Min]]&gt;0,1,0)</f>
        <v>1</v>
      </c>
      <c r="L266" t="str">
        <f>IF(CLIENTS_CHURN[[#This Row],[Type_Forfait]]="Pro Monde","B2B","B2C")</f>
        <v>B2C</v>
      </c>
    </row>
    <row r="267" spans="1:12" x14ac:dyDescent="0.25">
      <c r="A267" s="1">
        <f t="shared" si="4"/>
        <v>266</v>
      </c>
      <c r="B267" s="1" t="s">
        <v>294</v>
      </c>
      <c r="C267" s="1" t="s">
        <v>22</v>
      </c>
      <c r="D267" s="1">
        <v>10</v>
      </c>
      <c r="E267" s="1" t="s">
        <v>17</v>
      </c>
      <c r="F267" s="1">
        <v>93</v>
      </c>
      <c r="G267" s="9">
        <v>78.12</v>
      </c>
      <c r="H267" s="1">
        <v>4</v>
      </c>
      <c r="I2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67" s="9">
        <f>CLIENTS_CHURN[[#This Row],[Facture_Mensuelle]]*CLIENTS_CHURN[[#This Row],[Remise (%)]]</f>
        <v>0</v>
      </c>
      <c r="K267">
        <f>IF(CLIENTS_CHURN[[#This Row],[Duree_Cumulee_Panne_Min]]&gt;0,1,0)</f>
        <v>1</v>
      </c>
      <c r="L267" t="str">
        <f>IF(CLIENTS_CHURN[[#This Row],[Type_Forfait]]="Pro Monde","B2B","B2C")</f>
        <v>B2C</v>
      </c>
    </row>
    <row r="268" spans="1:12" x14ac:dyDescent="0.25">
      <c r="A268" s="1">
        <f t="shared" si="4"/>
        <v>267</v>
      </c>
      <c r="B268" s="1" t="s">
        <v>406</v>
      </c>
      <c r="C268" s="1" t="s">
        <v>35</v>
      </c>
      <c r="D268" s="1">
        <v>16</v>
      </c>
      <c r="E268" s="1" t="s">
        <v>9</v>
      </c>
      <c r="F268" s="1">
        <v>391</v>
      </c>
      <c r="G268" s="9">
        <v>90.12</v>
      </c>
      <c r="H268" s="1">
        <v>5</v>
      </c>
      <c r="I2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68" s="9">
        <f>CLIENTS_CHURN[[#This Row],[Facture_Mensuelle]]*CLIENTS_CHURN[[#This Row],[Remise (%)]]</f>
        <v>40.554000000000002</v>
      </c>
      <c r="K268">
        <f>IF(CLIENTS_CHURN[[#This Row],[Duree_Cumulee_Panne_Min]]&gt;0,1,0)</f>
        <v>1</v>
      </c>
      <c r="L268" t="str">
        <f>IF(CLIENTS_CHURN[[#This Row],[Type_Forfait]]="Pro Monde","B2B","B2C")</f>
        <v>B2C</v>
      </c>
    </row>
    <row r="269" spans="1:12" x14ac:dyDescent="0.25">
      <c r="A269" s="1">
        <f t="shared" si="4"/>
        <v>268</v>
      </c>
      <c r="B269" s="1" t="s">
        <v>550</v>
      </c>
      <c r="C269" s="1" t="s">
        <v>124</v>
      </c>
      <c r="D269" s="1">
        <v>59</v>
      </c>
      <c r="E269" s="1" t="s">
        <v>12</v>
      </c>
      <c r="F269" s="1">
        <v>72</v>
      </c>
      <c r="G269" s="9">
        <v>94.51</v>
      </c>
      <c r="H269" s="1">
        <v>2</v>
      </c>
      <c r="I2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69" s="9">
        <f>CLIENTS_CHURN[[#This Row],[Facture_Mensuelle]]*CLIENTS_CHURN[[#This Row],[Remise (%)]]</f>
        <v>9.4510000000000005</v>
      </c>
      <c r="K269">
        <f>IF(CLIENTS_CHURN[[#This Row],[Duree_Cumulee_Panne_Min]]&gt;0,1,0)</f>
        <v>1</v>
      </c>
      <c r="L269" t="str">
        <f>IF(CLIENTS_CHURN[[#This Row],[Type_Forfait]]="Pro Monde","B2B","B2C")</f>
        <v>B2B</v>
      </c>
    </row>
    <row r="270" spans="1:12" x14ac:dyDescent="0.25">
      <c r="A270" s="1">
        <f t="shared" si="4"/>
        <v>269</v>
      </c>
      <c r="B270" s="1" t="s">
        <v>343</v>
      </c>
      <c r="C270" s="1" t="s">
        <v>76</v>
      </c>
      <c r="D270" s="1">
        <v>41</v>
      </c>
      <c r="E270" s="1" t="s">
        <v>12</v>
      </c>
      <c r="F270" s="1">
        <v>474</v>
      </c>
      <c r="G270" s="9">
        <v>54.03</v>
      </c>
      <c r="H270" s="1">
        <v>4</v>
      </c>
      <c r="I2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0" s="9">
        <f>CLIENTS_CHURN[[#This Row],[Facture_Mensuelle]]*CLIENTS_CHURN[[#This Row],[Remise (%)]]</f>
        <v>24.313500000000001</v>
      </c>
      <c r="K270">
        <f>IF(CLIENTS_CHURN[[#This Row],[Duree_Cumulee_Panne_Min]]&gt;0,1,0)</f>
        <v>1</v>
      </c>
      <c r="L270" t="str">
        <f>IF(CLIENTS_CHURN[[#This Row],[Type_Forfait]]="Pro Monde","B2B","B2C")</f>
        <v>B2B</v>
      </c>
    </row>
    <row r="271" spans="1:12" x14ac:dyDescent="0.25">
      <c r="A271" s="1">
        <f t="shared" si="4"/>
        <v>270</v>
      </c>
      <c r="B271" s="1" t="s">
        <v>381</v>
      </c>
      <c r="C271" s="1" t="s">
        <v>128</v>
      </c>
      <c r="D271" s="1">
        <v>5</v>
      </c>
      <c r="E271" s="1" t="s">
        <v>20</v>
      </c>
      <c r="F271" s="1">
        <v>337</v>
      </c>
      <c r="G271" s="9">
        <v>21.07</v>
      </c>
      <c r="H271" s="1">
        <v>4</v>
      </c>
      <c r="I2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1" s="9">
        <f>CLIENTS_CHURN[[#This Row],[Facture_Mensuelle]]*CLIENTS_CHURN[[#This Row],[Remise (%)]]</f>
        <v>9.4815000000000005</v>
      </c>
      <c r="K271">
        <f>IF(CLIENTS_CHURN[[#This Row],[Duree_Cumulee_Panne_Min]]&gt;0,1,0)</f>
        <v>1</v>
      </c>
      <c r="L271" t="str">
        <f>IF(CLIENTS_CHURN[[#This Row],[Type_Forfait]]="Pro Monde","B2B","B2C")</f>
        <v>B2C</v>
      </c>
    </row>
    <row r="272" spans="1:12" x14ac:dyDescent="0.25">
      <c r="A272" s="1">
        <f t="shared" si="4"/>
        <v>271</v>
      </c>
      <c r="B272" s="1" t="s">
        <v>171</v>
      </c>
      <c r="C272" s="1" t="s">
        <v>86</v>
      </c>
      <c r="D272" s="1">
        <v>118</v>
      </c>
      <c r="E272" s="1" t="s">
        <v>20</v>
      </c>
      <c r="F272" s="1">
        <v>430</v>
      </c>
      <c r="G272" s="9">
        <v>36.97</v>
      </c>
      <c r="H272" s="1">
        <v>2</v>
      </c>
      <c r="I2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2" s="9">
        <f>CLIENTS_CHURN[[#This Row],[Facture_Mensuelle]]*CLIENTS_CHURN[[#This Row],[Remise (%)]]</f>
        <v>16.636500000000002</v>
      </c>
      <c r="K272">
        <f>IF(CLIENTS_CHURN[[#This Row],[Duree_Cumulee_Panne_Min]]&gt;0,1,0)</f>
        <v>1</v>
      </c>
      <c r="L272" t="str">
        <f>IF(CLIENTS_CHURN[[#This Row],[Type_Forfait]]="Pro Monde","B2B","B2C")</f>
        <v>B2C</v>
      </c>
    </row>
    <row r="273" spans="1:12" x14ac:dyDescent="0.25">
      <c r="A273" s="1">
        <f t="shared" si="4"/>
        <v>272</v>
      </c>
      <c r="B273" s="1" t="s">
        <v>583</v>
      </c>
      <c r="C273" s="1" t="s">
        <v>49</v>
      </c>
      <c r="D273" s="1">
        <v>53</v>
      </c>
      <c r="E273" s="1" t="s">
        <v>9</v>
      </c>
      <c r="F273" s="1">
        <v>243</v>
      </c>
      <c r="G273" s="9">
        <v>55.19</v>
      </c>
      <c r="H273" s="1">
        <v>4</v>
      </c>
      <c r="I2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3" s="9">
        <f>CLIENTS_CHURN[[#This Row],[Facture_Mensuelle]]*CLIENTS_CHURN[[#This Row],[Remise (%)]]</f>
        <v>24.8355</v>
      </c>
      <c r="K273">
        <f>IF(CLIENTS_CHURN[[#This Row],[Duree_Cumulee_Panne_Min]]&gt;0,1,0)</f>
        <v>1</v>
      </c>
      <c r="L273" t="str">
        <f>IF(CLIENTS_CHURN[[#This Row],[Type_Forfait]]="Pro Monde","B2B","B2C")</f>
        <v>B2C</v>
      </c>
    </row>
    <row r="274" spans="1:12" x14ac:dyDescent="0.25">
      <c r="A274" s="1">
        <f t="shared" si="4"/>
        <v>273</v>
      </c>
      <c r="B274" s="1" t="s">
        <v>185</v>
      </c>
      <c r="C274" s="1" t="s">
        <v>62</v>
      </c>
      <c r="D274" s="1">
        <v>95</v>
      </c>
      <c r="E274" s="1" t="s">
        <v>12</v>
      </c>
      <c r="F274" s="1">
        <v>95</v>
      </c>
      <c r="G274" s="9">
        <v>82.65</v>
      </c>
      <c r="H274" s="1">
        <v>2</v>
      </c>
      <c r="I2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274" s="9">
        <f>CLIENTS_CHURN[[#This Row],[Facture_Mensuelle]]*CLIENTS_CHURN[[#This Row],[Remise (%)]]</f>
        <v>8.2650000000000006</v>
      </c>
      <c r="K274">
        <f>IF(CLIENTS_CHURN[[#This Row],[Duree_Cumulee_Panne_Min]]&gt;0,1,0)</f>
        <v>1</v>
      </c>
      <c r="L274" t="str">
        <f>IF(CLIENTS_CHURN[[#This Row],[Type_Forfait]]="Pro Monde","B2B","B2C")</f>
        <v>B2B</v>
      </c>
    </row>
    <row r="275" spans="1:12" x14ac:dyDescent="0.25">
      <c r="A275" s="1">
        <f t="shared" si="4"/>
        <v>274</v>
      </c>
      <c r="B275" s="1" t="s">
        <v>112</v>
      </c>
      <c r="C275" s="1" t="s">
        <v>62</v>
      </c>
      <c r="D275" s="1">
        <v>83</v>
      </c>
      <c r="E275" s="1" t="s">
        <v>20</v>
      </c>
      <c r="F275" s="1">
        <v>14</v>
      </c>
      <c r="G275" s="9">
        <v>58.07</v>
      </c>
      <c r="H275" s="1">
        <v>3</v>
      </c>
      <c r="I2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75" s="9">
        <f>CLIENTS_CHURN[[#This Row],[Facture_Mensuelle]]*CLIENTS_CHURN[[#This Row],[Remise (%)]]</f>
        <v>0</v>
      </c>
      <c r="K275">
        <f>IF(CLIENTS_CHURN[[#This Row],[Duree_Cumulee_Panne_Min]]&gt;0,1,0)</f>
        <v>1</v>
      </c>
      <c r="L275" t="str">
        <f>IF(CLIENTS_CHURN[[#This Row],[Type_Forfait]]="Pro Monde","B2B","B2C")</f>
        <v>B2C</v>
      </c>
    </row>
    <row r="276" spans="1:12" x14ac:dyDescent="0.25">
      <c r="A276" s="1">
        <f t="shared" si="4"/>
        <v>275</v>
      </c>
      <c r="B276" s="1" t="s">
        <v>786</v>
      </c>
      <c r="C276" s="1" t="s">
        <v>128</v>
      </c>
      <c r="D276" s="1">
        <v>4</v>
      </c>
      <c r="E276" s="1" t="s">
        <v>17</v>
      </c>
      <c r="F276" s="1">
        <v>21</v>
      </c>
      <c r="G276" s="9">
        <v>45.8</v>
      </c>
      <c r="H276" s="1">
        <v>1</v>
      </c>
      <c r="I2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76" s="9">
        <f>CLIENTS_CHURN[[#This Row],[Facture_Mensuelle]]*CLIENTS_CHURN[[#This Row],[Remise (%)]]</f>
        <v>0</v>
      </c>
      <c r="K276">
        <f>IF(CLIENTS_CHURN[[#This Row],[Duree_Cumulee_Panne_Min]]&gt;0,1,0)</f>
        <v>1</v>
      </c>
      <c r="L276" t="str">
        <f>IF(CLIENTS_CHURN[[#This Row],[Type_Forfait]]="Pro Monde","B2B","B2C")</f>
        <v>B2C</v>
      </c>
    </row>
    <row r="277" spans="1:12" x14ac:dyDescent="0.25">
      <c r="A277" s="1">
        <f t="shared" si="4"/>
        <v>276</v>
      </c>
      <c r="B277" s="1" t="s">
        <v>732</v>
      </c>
      <c r="C277" s="1" t="s">
        <v>24</v>
      </c>
      <c r="D277" s="1">
        <v>35</v>
      </c>
      <c r="E277" s="1" t="s">
        <v>12</v>
      </c>
      <c r="F277" s="1">
        <v>299</v>
      </c>
      <c r="G277" s="9">
        <v>96.32</v>
      </c>
      <c r="H277" s="1">
        <v>4</v>
      </c>
      <c r="I2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7" s="9">
        <f>CLIENTS_CHURN[[#This Row],[Facture_Mensuelle]]*CLIENTS_CHURN[[#This Row],[Remise (%)]]</f>
        <v>43.344000000000001</v>
      </c>
      <c r="K277">
        <f>IF(CLIENTS_CHURN[[#This Row],[Duree_Cumulee_Panne_Min]]&gt;0,1,0)</f>
        <v>1</v>
      </c>
      <c r="L277" t="str">
        <f>IF(CLIENTS_CHURN[[#This Row],[Type_Forfait]]="Pro Monde","B2B","B2C")</f>
        <v>B2B</v>
      </c>
    </row>
    <row r="278" spans="1:12" x14ac:dyDescent="0.25">
      <c r="A278" s="1">
        <f t="shared" si="4"/>
        <v>277</v>
      </c>
      <c r="B278" s="1" t="s">
        <v>187</v>
      </c>
      <c r="C278" s="1" t="s">
        <v>29</v>
      </c>
      <c r="D278" s="1">
        <v>97</v>
      </c>
      <c r="E278" s="1" t="s">
        <v>17</v>
      </c>
      <c r="F278" s="1">
        <v>484</v>
      </c>
      <c r="G278" s="9">
        <v>61.98</v>
      </c>
      <c r="H278" s="1">
        <v>1</v>
      </c>
      <c r="I2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8" s="9">
        <f>CLIENTS_CHURN[[#This Row],[Facture_Mensuelle]]*CLIENTS_CHURN[[#This Row],[Remise (%)]]</f>
        <v>27.890999999999998</v>
      </c>
      <c r="K278">
        <f>IF(CLIENTS_CHURN[[#This Row],[Duree_Cumulee_Panne_Min]]&gt;0,1,0)</f>
        <v>1</v>
      </c>
      <c r="L278" t="str">
        <f>IF(CLIENTS_CHURN[[#This Row],[Type_Forfait]]="Pro Monde","B2B","B2C")</f>
        <v>B2C</v>
      </c>
    </row>
    <row r="279" spans="1:12" x14ac:dyDescent="0.25">
      <c r="A279" s="1">
        <f t="shared" si="4"/>
        <v>278</v>
      </c>
      <c r="B279" s="1" t="s">
        <v>293</v>
      </c>
      <c r="C279" s="1" t="s">
        <v>42</v>
      </c>
      <c r="D279" s="1">
        <v>76</v>
      </c>
      <c r="E279" s="1" t="s">
        <v>20</v>
      </c>
      <c r="F279" s="1">
        <v>383</v>
      </c>
      <c r="G279" s="9">
        <v>53.73</v>
      </c>
      <c r="H279" s="1">
        <v>2</v>
      </c>
      <c r="I2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79" s="9">
        <f>CLIENTS_CHURN[[#This Row],[Facture_Mensuelle]]*CLIENTS_CHURN[[#This Row],[Remise (%)]]</f>
        <v>24.1785</v>
      </c>
      <c r="K279">
        <f>IF(CLIENTS_CHURN[[#This Row],[Duree_Cumulee_Panne_Min]]&gt;0,1,0)</f>
        <v>1</v>
      </c>
      <c r="L279" t="str">
        <f>IF(CLIENTS_CHURN[[#This Row],[Type_Forfait]]="Pro Monde","B2B","B2C")</f>
        <v>B2C</v>
      </c>
    </row>
    <row r="280" spans="1:12" x14ac:dyDescent="0.25">
      <c r="A280" s="1">
        <f t="shared" si="4"/>
        <v>279</v>
      </c>
      <c r="B280" s="1" t="s">
        <v>514</v>
      </c>
      <c r="C280" s="1" t="s">
        <v>128</v>
      </c>
      <c r="D280" s="1">
        <v>10</v>
      </c>
      <c r="E280" s="1" t="s">
        <v>9</v>
      </c>
      <c r="F280" s="1">
        <v>425</v>
      </c>
      <c r="G280" s="9">
        <v>85.75</v>
      </c>
      <c r="H280" s="1">
        <v>0</v>
      </c>
      <c r="I2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80" s="9">
        <f>CLIENTS_CHURN[[#This Row],[Facture_Mensuelle]]*CLIENTS_CHURN[[#This Row],[Remise (%)]]</f>
        <v>38.587499999999999</v>
      </c>
      <c r="K280">
        <f>IF(CLIENTS_CHURN[[#This Row],[Duree_Cumulee_Panne_Min]]&gt;0,1,0)</f>
        <v>1</v>
      </c>
      <c r="L280" t="str">
        <f>IF(CLIENTS_CHURN[[#This Row],[Type_Forfait]]="Pro Monde","B2B","B2C")</f>
        <v>B2C</v>
      </c>
    </row>
    <row r="281" spans="1:12" x14ac:dyDescent="0.25">
      <c r="A281" s="1">
        <f t="shared" si="4"/>
        <v>280</v>
      </c>
      <c r="B281" s="1" t="s">
        <v>408</v>
      </c>
      <c r="C281" s="1" t="s">
        <v>31</v>
      </c>
      <c r="D281" s="1">
        <v>68</v>
      </c>
      <c r="E281" s="1" t="s">
        <v>12</v>
      </c>
      <c r="F281" s="1">
        <v>462</v>
      </c>
      <c r="G281" s="9">
        <v>41.91</v>
      </c>
      <c r="H281" s="1">
        <v>1</v>
      </c>
      <c r="I2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81" s="9">
        <f>CLIENTS_CHURN[[#This Row],[Facture_Mensuelle]]*CLIENTS_CHURN[[#This Row],[Remise (%)]]</f>
        <v>18.859500000000001</v>
      </c>
      <c r="K281">
        <f>IF(CLIENTS_CHURN[[#This Row],[Duree_Cumulee_Panne_Min]]&gt;0,1,0)</f>
        <v>1</v>
      </c>
      <c r="L281" t="str">
        <f>IF(CLIENTS_CHURN[[#This Row],[Type_Forfait]]="Pro Monde","B2B","B2C")</f>
        <v>B2B</v>
      </c>
    </row>
    <row r="282" spans="1:12" x14ac:dyDescent="0.25">
      <c r="A282" s="1">
        <f t="shared" si="4"/>
        <v>281</v>
      </c>
      <c r="B282" s="1" t="s">
        <v>77</v>
      </c>
      <c r="C282" s="1" t="s">
        <v>8</v>
      </c>
      <c r="D282" s="1">
        <v>16</v>
      </c>
      <c r="E282" s="1" t="s">
        <v>17</v>
      </c>
      <c r="F282" s="1">
        <v>43</v>
      </c>
      <c r="G282" s="9">
        <v>56.48</v>
      </c>
      <c r="H282" s="1">
        <v>0</v>
      </c>
      <c r="I2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2" s="9">
        <f>CLIENTS_CHURN[[#This Row],[Facture_Mensuelle]]*CLIENTS_CHURN[[#This Row],[Remise (%)]]</f>
        <v>0</v>
      </c>
      <c r="K282">
        <f>IF(CLIENTS_CHURN[[#This Row],[Duree_Cumulee_Panne_Min]]&gt;0,1,0)</f>
        <v>1</v>
      </c>
      <c r="L282" t="str">
        <f>IF(CLIENTS_CHURN[[#This Row],[Type_Forfait]]="Pro Monde","B2B","B2C")</f>
        <v>B2C</v>
      </c>
    </row>
    <row r="283" spans="1:12" x14ac:dyDescent="0.25">
      <c r="A283" s="1">
        <f t="shared" si="4"/>
        <v>282</v>
      </c>
      <c r="B283" s="1" t="s">
        <v>377</v>
      </c>
      <c r="C283" s="1" t="s">
        <v>86</v>
      </c>
      <c r="D283" s="1">
        <v>109</v>
      </c>
      <c r="E283" s="1" t="s">
        <v>12</v>
      </c>
      <c r="F283" s="1">
        <v>397</v>
      </c>
      <c r="G283" s="9">
        <v>63.92</v>
      </c>
      <c r="H283" s="1">
        <v>1</v>
      </c>
      <c r="I2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83" s="9">
        <f>CLIENTS_CHURN[[#This Row],[Facture_Mensuelle]]*CLIENTS_CHURN[[#This Row],[Remise (%)]]</f>
        <v>28.764000000000003</v>
      </c>
      <c r="K283">
        <f>IF(CLIENTS_CHURN[[#This Row],[Duree_Cumulee_Panne_Min]]&gt;0,1,0)</f>
        <v>1</v>
      </c>
      <c r="L283" t="str">
        <f>IF(CLIENTS_CHURN[[#This Row],[Type_Forfait]]="Pro Monde","B2B","B2C")</f>
        <v>B2B</v>
      </c>
    </row>
    <row r="284" spans="1:12" x14ac:dyDescent="0.25">
      <c r="A284" s="1">
        <f t="shared" si="4"/>
        <v>283</v>
      </c>
      <c r="B284" s="1" t="s">
        <v>552</v>
      </c>
      <c r="C284" s="1" t="s">
        <v>42</v>
      </c>
      <c r="D284" s="1">
        <v>61</v>
      </c>
      <c r="E284" s="1" t="s">
        <v>9</v>
      </c>
      <c r="F284" s="1">
        <v>140</v>
      </c>
      <c r="G284" s="9">
        <v>76.3</v>
      </c>
      <c r="H284" s="1">
        <v>4</v>
      </c>
      <c r="I2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4" s="9">
        <f>CLIENTS_CHURN[[#This Row],[Facture_Mensuelle]]*CLIENTS_CHURN[[#This Row],[Remise (%)]]</f>
        <v>0</v>
      </c>
      <c r="K284">
        <f>IF(CLIENTS_CHURN[[#This Row],[Duree_Cumulee_Panne_Min]]&gt;0,1,0)</f>
        <v>1</v>
      </c>
      <c r="L284" t="str">
        <f>IF(CLIENTS_CHURN[[#This Row],[Type_Forfait]]="Pro Monde","B2B","B2C")</f>
        <v>B2C</v>
      </c>
    </row>
    <row r="285" spans="1:12" x14ac:dyDescent="0.25">
      <c r="A285" s="1">
        <f t="shared" si="4"/>
        <v>284</v>
      </c>
      <c r="B285" s="1" t="s">
        <v>747</v>
      </c>
      <c r="C285" s="1" t="s">
        <v>86</v>
      </c>
      <c r="D285" s="1">
        <v>96</v>
      </c>
      <c r="E285" s="1" t="s">
        <v>12</v>
      </c>
      <c r="F285" s="1">
        <v>280</v>
      </c>
      <c r="G285" s="9">
        <v>80.36</v>
      </c>
      <c r="H285" s="1">
        <v>5</v>
      </c>
      <c r="I2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85" s="9">
        <f>CLIENTS_CHURN[[#This Row],[Facture_Mensuelle]]*CLIENTS_CHURN[[#This Row],[Remise (%)]]</f>
        <v>36.161999999999999</v>
      </c>
      <c r="K285">
        <f>IF(CLIENTS_CHURN[[#This Row],[Duree_Cumulee_Panne_Min]]&gt;0,1,0)</f>
        <v>1</v>
      </c>
      <c r="L285" t="str">
        <f>IF(CLIENTS_CHURN[[#This Row],[Type_Forfait]]="Pro Monde","B2B","B2C")</f>
        <v>B2B</v>
      </c>
    </row>
    <row r="286" spans="1:12" x14ac:dyDescent="0.25">
      <c r="A286" s="1">
        <f t="shared" si="4"/>
        <v>285</v>
      </c>
      <c r="B286" s="1" t="s">
        <v>253</v>
      </c>
      <c r="C286" s="1" t="s">
        <v>86</v>
      </c>
      <c r="D286" s="1">
        <v>25</v>
      </c>
      <c r="E286" s="1" t="s">
        <v>17</v>
      </c>
      <c r="F286" s="1">
        <v>33</v>
      </c>
      <c r="G286" s="9">
        <v>30.93</v>
      </c>
      <c r="H286" s="1">
        <v>1</v>
      </c>
      <c r="I2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6" s="9">
        <f>CLIENTS_CHURN[[#This Row],[Facture_Mensuelle]]*CLIENTS_CHURN[[#This Row],[Remise (%)]]</f>
        <v>0</v>
      </c>
      <c r="K286">
        <f>IF(CLIENTS_CHURN[[#This Row],[Duree_Cumulee_Panne_Min]]&gt;0,1,0)</f>
        <v>1</v>
      </c>
      <c r="L286" t="str">
        <f>IF(CLIENTS_CHURN[[#This Row],[Type_Forfait]]="Pro Monde","B2B","B2C")</f>
        <v>B2C</v>
      </c>
    </row>
    <row r="287" spans="1:12" x14ac:dyDescent="0.25">
      <c r="A287" s="1">
        <f t="shared" si="4"/>
        <v>286</v>
      </c>
      <c r="B287" s="1" t="s">
        <v>312</v>
      </c>
      <c r="C287" s="1" t="s">
        <v>33</v>
      </c>
      <c r="D287" s="1">
        <v>45</v>
      </c>
      <c r="E287" s="1" t="s">
        <v>20</v>
      </c>
      <c r="F287" s="1">
        <v>43</v>
      </c>
      <c r="G287" s="9">
        <v>12.31</v>
      </c>
      <c r="H287" s="1">
        <v>0</v>
      </c>
      <c r="I2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7" s="9">
        <f>CLIENTS_CHURN[[#This Row],[Facture_Mensuelle]]*CLIENTS_CHURN[[#This Row],[Remise (%)]]</f>
        <v>0</v>
      </c>
      <c r="K287">
        <f>IF(CLIENTS_CHURN[[#This Row],[Duree_Cumulee_Panne_Min]]&gt;0,1,0)</f>
        <v>1</v>
      </c>
      <c r="L287" t="str">
        <f>IF(CLIENTS_CHURN[[#This Row],[Type_Forfait]]="Pro Monde","B2B","B2C")</f>
        <v>B2C</v>
      </c>
    </row>
    <row r="288" spans="1:12" x14ac:dyDescent="0.25">
      <c r="A288" s="1">
        <f t="shared" si="4"/>
        <v>287</v>
      </c>
      <c r="B288" s="1" t="s">
        <v>562</v>
      </c>
      <c r="C288" s="1" t="s">
        <v>128</v>
      </c>
      <c r="D288" s="1">
        <v>63</v>
      </c>
      <c r="E288" s="1" t="s">
        <v>20</v>
      </c>
      <c r="F288" s="1">
        <v>109</v>
      </c>
      <c r="G288" s="9">
        <v>10.33</v>
      </c>
      <c r="H288" s="1">
        <v>3</v>
      </c>
      <c r="I2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8" s="9">
        <f>CLIENTS_CHURN[[#This Row],[Facture_Mensuelle]]*CLIENTS_CHURN[[#This Row],[Remise (%)]]</f>
        <v>0</v>
      </c>
      <c r="K288">
        <f>IF(CLIENTS_CHURN[[#This Row],[Duree_Cumulee_Panne_Min]]&gt;0,1,0)</f>
        <v>1</v>
      </c>
      <c r="L288" t="str">
        <f>IF(CLIENTS_CHURN[[#This Row],[Type_Forfait]]="Pro Monde","B2B","B2C")</f>
        <v>B2C</v>
      </c>
    </row>
    <row r="289" spans="1:12" x14ac:dyDescent="0.25">
      <c r="A289" s="1">
        <f t="shared" si="4"/>
        <v>288</v>
      </c>
      <c r="B289" s="1" t="s">
        <v>684</v>
      </c>
      <c r="C289" s="1" t="s">
        <v>55</v>
      </c>
      <c r="D289" s="1">
        <v>41</v>
      </c>
      <c r="E289" s="1" t="s">
        <v>20</v>
      </c>
      <c r="F289" s="1">
        <v>90</v>
      </c>
      <c r="G289" s="9">
        <v>97.26</v>
      </c>
      <c r="H289" s="1">
        <v>1</v>
      </c>
      <c r="I2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89" s="9">
        <f>CLIENTS_CHURN[[#This Row],[Facture_Mensuelle]]*CLIENTS_CHURN[[#This Row],[Remise (%)]]</f>
        <v>0</v>
      </c>
      <c r="K289">
        <f>IF(CLIENTS_CHURN[[#This Row],[Duree_Cumulee_Panne_Min]]&gt;0,1,0)</f>
        <v>1</v>
      </c>
      <c r="L289" t="str">
        <f>IF(CLIENTS_CHURN[[#This Row],[Type_Forfait]]="Pro Monde","B2B","B2C")</f>
        <v>B2C</v>
      </c>
    </row>
    <row r="290" spans="1:12" x14ac:dyDescent="0.25">
      <c r="A290" s="1">
        <f t="shared" si="4"/>
        <v>289</v>
      </c>
      <c r="B290" s="1" t="s">
        <v>206</v>
      </c>
      <c r="C290" s="1" t="s">
        <v>60</v>
      </c>
      <c r="D290" s="1">
        <v>35</v>
      </c>
      <c r="E290" s="1" t="s">
        <v>20</v>
      </c>
      <c r="F290" s="1">
        <v>107</v>
      </c>
      <c r="G290" s="9">
        <v>66.69</v>
      </c>
      <c r="H290" s="1">
        <v>4</v>
      </c>
      <c r="I2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90" s="9">
        <f>CLIENTS_CHURN[[#This Row],[Facture_Mensuelle]]*CLIENTS_CHURN[[#This Row],[Remise (%)]]</f>
        <v>0</v>
      </c>
      <c r="K290">
        <f>IF(CLIENTS_CHURN[[#This Row],[Duree_Cumulee_Panne_Min]]&gt;0,1,0)</f>
        <v>1</v>
      </c>
      <c r="L290" t="str">
        <f>IF(CLIENTS_CHURN[[#This Row],[Type_Forfait]]="Pro Monde","B2B","B2C")</f>
        <v>B2C</v>
      </c>
    </row>
    <row r="291" spans="1:12" x14ac:dyDescent="0.25">
      <c r="A291" s="1">
        <f t="shared" si="4"/>
        <v>290</v>
      </c>
      <c r="B291" s="1" t="s">
        <v>68</v>
      </c>
      <c r="C291" s="1" t="s">
        <v>27</v>
      </c>
      <c r="D291" s="1">
        <v>106</v>
      </c>
      <c r="E291" s="1" t="s">
        <v>17</v>
      </c>
      <c r="F291" s="1">
        <v>400</v>
      </c>
      <c r="G291" s="9">
        <v>70.02</v>
      </c>
      <c r="H291" s="1">
        <v>4</v>
      </c>
      <c r="I2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1" s="9">
        <f>CLIENTS_CHURN[[#This Row],[Facture_Mensuelle]]*CLIENTS_CHURN[[#This Row],[Remise (%)]]</f>
        <v>31.509</v>
      </c>
      <c r="K291">
        <f>IF(CLIENTS_CHURN[[#This Row],[Duree_Cumulee_Panne_Min]]&gt;0,1,0)</f>
        <v>1</v>
      </c>
      <c r="L291" t="str">
        <f>IF(CLIENTS_CHURN[[#This Row],[Type_Forfait]]="Pro Monde","B2B","B2C")</f>
        <v>B2C</v>
      </c>
    </row>
    <row r="292" spans="1:12" x14ac:dyDescent="0.25">
      <c r="A292" s="1">
        <f t="shared" si="4"/>
        <v>291</v>
      </c>
      <c r="B292" s="1" t="s">
        <v>127</v>
      </c>
      <c r="C292" s="1" t="s">
        <v>128</v>
      </c>
      <c r="D292" s="1">
        <v>16</v>
      </c>
      <c r="E292" s="1" t="s">
        <v>17</v>
      </c>
      <c r="F292" s="1">
        <v>390</v>
      </c>
      <c r="G292" s="9">
        <v>98.17</v>
      </c>
      <c r="H292" s="1">
        <v>5</v>
      </c>
      <c r="I2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2" s="9">
        <f>CLIENTS_CHURN[[#This Row],[Facture_Mensuelle]]*CLIENTS_CHURN[[#This Row],[Remise (%)]]</f>
        <v>44.176500000000004</v>
      </c>
      <c r="K292">
        <f>IF(CLIENTS_CHURN[[#This Row],[Duree_Cumulee_Panne_Min]]&gt;0,1,0)</f>
        <v>1</v>
      </c>
      <c r="L292" t="str">
        <f>IF(CLIENTS_CHURN[[#This Row],[Type_Forfait]]="Pro Monde","B2B","B2C")</f>
        <v>B2C</v>
      </c>
    </row>
    <row r="293" spans="1:12" x14ac:dyDescent="0.25">
      <c r="A293" s="1">
        <f t="shared" si="4"/>
        <v>292</v>
      </c>
      <c r="B293" s="1" t="s">
        <v>273</v>
      </c>
      <c r="C293" s="1" t="s">
        <v>58</v>
      </c>
      <c r="D293" s="1">
        <v>92</v>
      </c>
      <c r="E293" s="1" t="s">
        <v>17</v>
      </c>
      <c r="F293" s="1">
        <v>472</v>
      </c>
      <c r="G293" s="9">
        <v>78.44</v>
      </c>
      <c r="H293" s="1">
        <v>1</v>
      </c>
      <c r="I2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3" s="9">
        <f>CLIENTS_CHURN[[#This Row],[Facture_Mensuelle]]*CLIENTS_CHURN[[#This Row],[Remise (%)]]</f>
        <v>35.298000000000002</v>
      </c>
      <c r="K293">
        <f>IF(CLIENTS_CHURN[[#This Row],[Duree_Cumulee_Panne_Min]]&gt;0,1,0)</f>
        <v>1</v>
      </c>
      <c r="L293" t="str">
        <f>IF(CLIENTS_CHURN[[#This Row],[Type_Forfait]]="Pro Monde","B2B","B2C")</f>
        <v>B2C</v>
      </c>
    </row>
    <row r="294" spans="1:12" x14ac:dyDescent="0.25">
      <c r="A294" s="1">
        <f t="shared" si="4"/>
        <v>293</v>
      </c>
      <c r="B294" s="1" t="s">
        <v>217</v>
      </c>
      <c r="C294" s="1" t="s">
        <v>60</v>
      </c>
      <c r="D294" s="1">
        <v>115</v>
      </c>
      <c r="E294" s="1" t="s">
        <v>17</v>
      </c>
      <c r="F294" s="1">
        <v>236</v>
      </c>
      <c r="G294" s="9">
        <v>50.64</v>
      </c>
      <c r="H294" s="1">
        <v>1</v>
      </c>
      <c r="I2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94" s="9">
        <f>CLIENTS_CHURN[[#This Row],[Facture_Mensuelle]]*CLIENTS_CHURN[[#This Row],[Remise (%)]]</f>
        <v>0</v>
      </c>
      <c r="K294">
        <f>IF(CLIENTS_CHURN[[#This Row],[Duree_Cumulee_Panne_Min]]&gt;0,1,0)</f>
        <v>1</v>
      </c>
      <c r="L294" t="str">
        <f>IF(CLIENTS_CHURN[[#This Row],[Type_Forfait]]="Pro Monde","B2B","B2C")</f>
        <v>B2C</v>
      </c>
    </row>
    <row r="295" spans="1:12" x14ac:dyDescent="0.25">
      <c r="A295" s="1">
        <f t="shared" si="4"/>
        <v>294</v>
      </c>
      <c r="B295" s="1" t="s">
        <v>290</v>
      </c>
      <c r="C295" s="1" t="s">
        <v>16</v>
      </c>
      <c r="D295" s="1">
        <v>63</v>
      </c>
      <c r="E295" s="1" t="s">
        <v>20</v>
      </c>
      <c r="F295" s="1">
        <v>95</v>
      </c>
      <c r="G295" s="9">
        <v>56.81</v>
      </c>
      <c r="H295" s="1">
        <v>0</v>
      </c>
      <c r="I2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95" s="9">
        <f>CLIENTS_CHURN[[#This Row],[Facture_Mensuelle]]*CLIENTS_CHURN[[#This Row],[Remise (%)]]</f>
        <v>0</v>
      </c>
      <c r="K295">
        <f>IF(CLIENTS_CHURN[[#This Row],[Duree_Cumulee_Panne_Min]]&gt;0,1,0)</f>
        <v>1</v>
      </c>
      <c r="L295" t="str">
        <f>IF(CLIENTS_CHURN[[#This Row],[Type_Forfait]]="Pro Monde","B2B","B2C")</f>
        <v>B2C</v>
      </c>
    </row>
    <row r="296" spans="1:12" x14ac:dyDescent="0.25">
      <c r="A296" s="1">
        <f t="shared" si="4"/>
        <v>295</v>
      </c>
      <c r="B296" s="1" t="s">
        <v>739</v>
      </c>
      <c r="C296" s="1" t="s">
        <v>38</v>
      </c>
      <c r="D296" s="1">
        <v>119</v>
      </c>
      <c r="E296" s="1" t="s">
        <v>17</v>
      </c>
      <c r="F296" s="1">
        <v>133</v>
      </c>
      <c r="G296" s="9">
        <v>30.27</v>
      </c>
      <c r="H296" s="1">
        <v>5</v>
      </c>
      <c r="I2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296" s="9">
        <f>CLIENTS_CHURN[[#This Row],[Facture_Mensuelle]]*CLIENTS_CHURN[[#This Row],[Remise (%)]]</f>
        <v>0</v>
      </c>
      <c r="K296">
        <f>IF(CLIENTS_CHURN[[#This Row],[Duree_Cumulee_Panne_Min]]&gt;0,1,0)</f>
        <v>1</v>
      </c>
      <c r="L296" t="str">
        <f>IF(CLIENTS_CHURN[[#This Row],[Type_Forfait]]="Pro Monde","B2B","B2C")</f>
        <v>B2C</v>
      </c>
    </row>
    <row r="297" spans="1:12" x14ac:dyDescent="0.25">
      <c r="A297" s="1">
        <f t="shared" si="4"/>
        <v>296</v>
      </c>
      <c r="B297" s="1" t="s">
        <v>502</v>
      </c>
      <c r="C297" s="1" t="s">
        <v>62</v>
      </c>
      <c r="D297" s="1">
        <v>14</v>
      </c>
      <c r="E297" s="1" t="s">
        <v>20</v>
      </c>
      <c r="F297" s="1">
        <v>304</v>
      </c>
      <c r="G297" s="9">
        <v>48.13</v>
      </c>
      <c r="H297" s="1">
        <v>2</v>
      </c>
      <c r="I2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7" s="9">
        <f>CLIENTS_CHURN[[#This Row],[Facture_Mensuelle]]*CLIENTS_CHURN[[#This Row],[Remise (%)]]</f>
        <v>21.6585</v>
      </c>
      <c r="K297">
        <f>IF(CLIENTS_CHURN[[#This Row],[Duree_Cumulee_Panne_Min]]&gt;0,1,0)</f>
        <v>1</v>
      </c>
      <c r="L297" t="str">
        <f>IF(CLIENTS_CHURN[[#This Row],[Type_Forfait]]="Pro Monde","B2B","B2C")</f>
        <v>B2C</v>
      </c>
    </row>
    <row r="298" spans="1:12" x14ac:dyDescent="0.25">
      <c r="A298" s="1">
        <f t="shared" si="4"/>
        <v>297</v>
      </c>
      <c r="B298" s="1" t="s">
        <v>763</v>
      </c>
      <c r="C298" s="1" t="s">
        <v>38</v>
      </c>
      <c r="D298" s="1">
        <v>18</v>
      </c>
      <c r="E298" s="1" t="s">
        <v>17</v>
      </c>
      <c r="F298" s="1">
        <v>463</v>
      </c>
      <c r="G298" s="9">
        <v>41.66</v>
      </c>
      <c r="H298" s="1">
        <v>4</v>
      </c>
      <c r="I2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8" s="9">
        <f>CLIENTS_CHURN[[#This Row],[Facture_Mensuelle]]*CLIENTS_CHURN[[#This Row],[Remise (%)]]</f>
        <v>18.747</v>
      </c>
      <c r="K298">
        <f>IF(CLIENTS_CHURN[[#This Row],[Duree_Cumulee_Panne_Min]]&gt;0,1,0)</f>
        <v>1</v>
      </c>
      <c r="L298" t="str">
        <f>IF(CLIENTS_CHURN[[#This Row],[Type_Forfait]]="Pro Monde","B2B","B2C")</f>
        <v>B2C</v>
      </c>
    </row>
    <row r="299" spans="1:12" x14ac:dyDescent="0.25">
      <c r="A299" s="1">
        <f t="shared" si="4"/>
        <v>298</v>
      </c>
      <c r="B299" s="1" t="s">
        <v>354</v>
      </c>
      <c r="C299" s="1" t="s">
        <v>16</v>
      </c>
      <c r="D299" s="1">
        <v>76</v>
      </c>
      <c r="E299" s="1" t="s">
        <v>20</v>
      </c>
      <c r="F299" s="1">
        <v>332</v>
      </c>
      <c r="G299" s="9">
        <v>68.010000000000005</v>
      </c>
      <c r="H299" s="1">
        <v>4</v>
      </c>
      <c r="I2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299" s="9">
        <f>CLIENTS_CHURN[[#This Row],[Facture_Mensuelle]]*CLIENTS_CHURN[[#This Row],[Remise (%)]]</f>
        <v>30.604500000000002</v>
      </c>
      <c r="K299">
        <f>IF(CLIENTS_CHURN[[#This Row],[Duree_Cumulee_Panne_Min]]&gt;0,1,0)</f>
        <v>1</v>
      </c>
      <c r="L299" t="str">
        <f>IF(CLIENTS_CHURN[[#This Row],[Type_Forfait]]="Pro Monde","B2B","B2C")</f>
        <v>B2C</v>
      </c>
    </row>
    <row r="300" spans="1:12" x14ac:dyDescent="0.25">
      <c r="A300" s="1">
        <f t="shared" si="4"/>
        <v>299</v>
      </c>
      <c r="B300" s="1" t="s">
        <v>232</v>
      </c>
      <c r="C300" s="1" t="s">
        <v>29</v>
      </c>
      <c r="D300" s="1">
        <v>48</v>
      </c>
      <c r="E300" s="1" t="s">
        <v>17</v>
      </c>
      <c r="F300" s="1">
        <v>436</v>
      </c>
      <c r="G300" s="9">
        <v>15.17</v>
      </c>
      <c r="H300" s="1">
        <v>0</v>
      </c>
      <c r="I3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00" s="9">
        <f>CLIENTS_CHURN[[#This Row],[Facture_Mensuelle]]*CLIENTS_CHURN[[#This Row],[Remise (%)]]</f>
        <v>6.8265000000000002</v>
      </c>
      <c r="K300">
        <f>IF(CLIENTS_CHURN[[#This Row],[Duree_Cumulee_Panne_Min]]&gt;0,1,0)</f>
        <v>1</v>
      </c>
      <c r="L300" t="str">
        <f>IF(CLIENTS_CHURN[[#This Row],[Type_Forfait]]="Pro Monde","B2B","B2C")</f>
        <v>B2C</v>
      </c>
    </row>
    <row r="301" spans="1:12" x14ac:dyDescent="0.25">
      <c r="A301" s="1">
        <f t="shared" si="4"/>
        <v>300</v>
      </c>
      <c r="B301" s="1" t="s">
        <v>13</v>
      </c>
      <c r="C301" s="1" t="s">
        <v>14</v>
      </c>
      <c r="D301" s="1">
        <v>34</v>
      </c>
      <c r="E301" s="1" t="s">
        <v>12</v>
      </c>
      <c r="F301" s="1">
        <v>453</v>
      </c>
      <c r="G301" s="9">
        <v>56.84</v>
      </c>
      <c r="H301" s="1">
        <v>0</v>
      </c>
      <c r="I3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01" s="9">
        <f>CLIENTS_CHURN[[#This Row],[Facture_Mensuelle]]*CLIENTS_CHURN[[#This Row],[Remise (%)]]</f>
        <v>25.578000000000003</v>
      </c>
      <c r="K301">
        <f>IF(CLIENTS_CHURN[[#This Row],[Duree_Cumulee_Panne_Min]]&gt;0,1,0)</f>
        <v>1</v>
      </c>
      <c r="L301" t="str">
        <f>IF(CLIENTS_CHURN[[#This Row],[Type_Forfait]]="Pro Monde","B2B","B2C")</f>
        <v>B2B</v>
      </c>
    </row>
    <row r="302" spans="1:12" x14ac:dyDescent="0.25">
      <c r="A302" s="1">
        <f t="shared" si="4"/>
        <v>301</v>
      </c>
      <c r="B302" s="1" t="s">
        <v>221</v>
      </c>
      <c r="C302" s="1" t="s">
        <v>42</v>
      </c>
      <c r="D302" s="1">
        <v>31</v>
      </c>
      <c r="E302" s="1" t="s">
        <v>17</v>
      </c>
      <c r="F302" s="1">
        <v>160</v>
      </c>
      <c r="G302" s="9">
        <v>59.76</v>
      </c>
      <c r="H302" s="1">
        <v>4</v>
      </c>
      <c r="I3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2" s="9">
        <f>CLIENTS_CHURN[[#This Row],[Facture_Mensuelle]]*CLIENTS_CHURN[[#This Row],[Remise (%)]]</f>
        <v>0</v>
      </c>
      <c r="K302">
        <f>IF(CLIENTS_CHURN[[#This Row],[Duree_Cumulee_Panne_Min]]&gt;0,1,0)</f>
        <v>1</v>
      </c>
      <c r="L302" t="str">
        <f>IF(CLIENTS_CHURN[[#This Row],[Type_Forfait]]="Pro Monde","B2B","B2C")</f>
        <v>B2C</v>
      </c>
    </row>
    <row r="303" spans="1:12" x14ac:dyDescent="0.25">
      <c r="A303" s="1">
        <f t="shared" si="4"/>
        <v>302</v>
      </c>
      <c r="B303" s="1" t="s">
        <v>118</v>
      </c>
      <c r="C303" s="1" t="s">
        <v>8</v>
      </c>
      <c r="D303" s="1">
        <v>74</v>
      </c>
      <c r="E303" s="1" t="s">
        <v>20</v>
      </c>
      <c r="F303" s="1">
        <v>9</v>
      </c>
      <c r="G303" s="9">
        <v>99.89</v>
      </c>
      <c r="H303" s="1">
        <v>0</v>
      </c>
      <c r="I3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3" s="9">
        <f>CLIENTS_CHURN[[#This Row],[Facture_Mensuelle]]*CLIENTS_CHURN[[#This Row],[Remise (%)]]</f>
        <v>0</v>
      </c>
      <c r="K303">
        <f>IF(CLIENTS_CHURN[[#This Row],[Duree_Cumulee_Panne_Min]]&gt;0,1,0)</f>
        <v>1</v>
      </c>
      <c r="L303" t="str">
        <f>IF(CLIENTS_CHURN[[#This Row],[Type_Forfait]]="Pro Monde","B2B","B2C")</f>
        <v>B2C</v>
      </c>
    </row>
    <row r="304" spans="1:12" x14ac:dyDescent="0.25">
      <c r="A304" s="1">
        <f t="shared" si="4"/>
        <v>303</v>
      </c>
      <c r="B304" s="1" t="s">
        <v>141</v>
      </c>
      <c r="C304" s="1" t="s">
        <v>24</v>
      </c>
      <c r="D304" s="1">
        <v>88</v>
      </c>
      <c r="E304" s="1" t="s">
        <v>20</v>
      </c>
      <c r="F304" s="1">
        <v>319</v>
      </c>
      <c r="G304" s="9">
        <v>56.18</v>
      </c>
      <c r="H304" s="1">
        <v>0</v>
      </c>
      <c r="I3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04" s="9">
        <f>CLIENTS_CHURN[[#This Row],[Facture_Mensuelle]]*CLIENTS_CHURN[[#This Row],[Remise (%)]]</f>
        <v>25.280999999999999</v>
      </c>
      <c r="K304">
        <f>IF(CLIENTS_CHURN[[#This Row],[Duree_Cumulee_Panne_Min]]&gt;0,1,0)</f>
        <v>1</v>
      </c>
      <c r="L304" t="str">
        <f>IF(CLIENTS_CHURN[[#This Row],[Type_Forfait]]="Pro Monde","B2B","B2C")</f>
        <v>B2C</v>
      </c>
    </row>
    <row r="305" spans="1:12" x14ac:dyDescent="0.25">
      <c r="A305" s="1">
        <f t="shared" si="4"/>
        <v>304</v>
      </c>
      <c r="B305" s="1" t="s">
        <v>635</v>
      </c>
      <c r="C305" s="1" t="s">
        <v>55</v>
      </c>
      <c r="D305" s="1">
        <v>81</v>
      </c>
      <c r="E305" s="1" t="s">
        <v>20</v>
      </c>
      <c r="F305" s="1">
        <v>64</v>
      </c>
      <c r="G305" s="9">
        <v>43.45</v>
      </c>
      <c r="H305" s="1">
        <v>2</v>
      </c>
      <c r="I3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5" s="9">
        <f>CLIENTS_CHURN[[#This Row],[Facture_Mensuelle]]*CLIENTS_CHURN[[#This Row],[Remise (%)]]</f>
        <v>0</v>
      </c>
      <c r="K305">
        <f>IF(CLIENTS_CHURN[[#This Row],[Duree_Cumulee_Panne_Min]]&gt;0,1,0)</f>
        <v>1</v>
      </c>
      <c r="L305" t="str">
        <f>IF(CLIENTS_CHURN[[#This Row],[Type_Forfait]]="Pro Monde","B2B","B2C")</f>
        <v>B2C</v>
      </c>
    </row>
    <row r="306" spans="1:12" x14ac:dyDescent="0.25">
      <c r="A306" s="1">
        <f t="shared" si="4"/>
        <v>305</v>
      </c>
      <c r="B306" s="1" t="s">
        <v>596</v>
      </c>
      <c r="C306" s="1" t="s">
        <v>19</v>
      </c>
      <c r="D306" s="1">
        <v>74</v>
      </c>
      <c r="E306" s="1" t="s">
        <v>20</v>
      </c>
      <c r="F306" s="1">
        <v>16</v>
      </c>
      <c r="G306" s="9">
        <v>93.01</v>
      </c>
      <c r="H306" s="1">
        <v>3</v>
      </c>
      <c r="I3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6" s="9">
        <f>CLIENTS_CHURN[[#This Row],[Facture_Mensuelle]]*CLIENTS_CHURN[[#This Row],[Remise (%)]]</f>
        <v>0</v>
      </c>
      <c r="K306">
        <f>IF(CLIENTS_CHURN[[#This Row],[Duree_Cumulee_Panne_Min]]&gt;0,1,0)</f>
        <v>1</v>
      </c>
      <c r="L306" t="str">
        <f>IF(CLIENTS_CHURN[[#This Row],[Type_Forfait]]="Pro Monde","B2B","B2C")</f>
        <v>B2C</v>
      </c>
    </row>
    <row r="307" spans="1:12" x14ac:dyDescent="0.25">
      <c r="A307" s="1">
        <f t="shared" si="4"/>
        <v>306</v>
      </c>
      <c r="B307" s="1" t="s">
        <v>625</v>
      </c>
      <c r="C307" s="1" t="s">
        <v>22</v>
      </c>
      <c r="D307" s="1">
        <v>108</v>
      </c>
      <c r="E307" s="1" t="s">
        <v>17</v>
      </c>
      <c r="F307" s="1">
        <v>460</v>
      </c>
      <c r="G307" s="9">
        <v>88.95</v>
      </c>
      <c r="H307" s="1">
        <v>3</v>
      </c>
      <c r="I3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07" s="9">
        <f>CLIENTS_CHURN[[#This Row],[Facture_Mensuelle]]*CLIENTS_CHURN[[#This Row],[Remise (%)]]</f>
        <v>40.027500000000003</v>
      </c>
      <c r="K307">
        <f>IF(CLIENTS_CHURN[[#This Row],[Duree_Cumulee_Panne_Min]]&gt;0,1,0)</f>
        <v>1</v>
      </c>
      <c r="L307" t="str">
        <f>IF(CLIENTS_CHURN[[#This Row],[Type_Forfait]]="Pro Monde","B2B","B2C")</f>
        <v>B2C</v>
      </c>
    </row>
    <row r="308" spans="1:12" x14ac:dyDescent="0.25">
      <c r="A308" s="1">
        <f t="shared" si="4"/>
        <v>307</v>
      </c>
      <c r="B308" s="1" t="s">
        <v>314</v>
      </c>
      <c r="C308" s="1" t="s">
        <v>33</v>
      </c>
      <c r="D308" s="1">
        <v>91</v>
      </c>
      <c r="E308" s="1" t="s">
        <v>20</v>
      </c>
      <c r="F308" s="1">
        <v>63</v>
      </c>
      <c r="G308" s="9">
        <v>57.76</v>
      </c>
      <c r="H308" s="1">
        <v>5</v>
      </c>
      <c r="I3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8" s="9">
        <f>CLIENTS_CHURN[[#This Row],[Facture_Mensuelle]]*CLIENTS_CHURN[[#This Row],[Remise (%)]]</f>
        <v>0</v>
      </c>
      <c r="K308">
        <f>IF(CLIENTS_CHURN[[#This Row],[Duree_Cumulee_Panne_Min]]&gt;0,1,0)</f>
        <v>1</v>
      </c>
      <c r="L308" t="str">
        <f>IF(CLIENTS_CHURN[[#This Row],[Type_Forfait]]="Pro Monde","B2B","B2C")</f>
        <v>B2C</v>
      </c>
    </row>
    <row r="309" spans="1:12" x14ac:dyDescent="0.25">
      <c r="A309" s="1">
        <f t="shared" si="4"/>
        <v>308</v>
      </c>
      <c r="B309" s="1" t="s">
        <v>438</v>
      </c>
      <c r="C309" s="1" t="s">
        <v>65</v>
      </c>
      <c r="D309" s="1">
        <v>7</v>
      </c>
      <c r="E309" s="1" t="s">
        <v>20</v>
      </c>
      <c r="F309" s="1">
        <v>94</v>
      </c>
      <c r="G309" s="9">
        <v>68.38</v>
      </c>
      <c r="H309" s="1">
        <v>3</v>
      </c>
      <c r="I3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09" s="9">
        <f>CLIENTS_CHURN[[#This Row],[Facture_Mensuelle]]*CLIENTS_CHURN[[#This Row],[Remise (%)]]</f>
        <v>0</v>
      </c>
      <c r="K309">
        <f>IF(CLIENTS_CHURN[[#This Row],[Duree_Cumulee_Panne_Min]]&gt;0,1,0)</f>
        <v>1</v>
      </c>
      <c r="L309" t="str">
        <f>IF(CLIENTS_CHURN[[#This Row],[Type_Forfait]]="Pro Monde","B2B","B2C")</f>
        <v>B2C</v>
      </c>
    </row>
    <row r="310" spans="1:12" x14ac:dyDescent="0.25">
      <c r="A310" s="1">
        <f t="shared" si="4"/>
        <v>309</v>
      </c>
      <c r="B310" s="1" t="s">
        <v>345</v>
      </c>
      <c r="C310" s="1" t="s">
        <v>86</v>
      </c>
      <c r="D310" s="1">
        <v>47</v>
      </c>
      <c r="E310" s="1" t="s">
        <v>9</v>
      </c>
      <c r="F310" s="1">
        <v>49</v>
      </c>
      <c r="G310" s="9">
        <v>55.88</v>
      </c>
      <c r="H310" s="1">
        <v>3</v>
      </c>
      <c r="I3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10" s="9">
        <f>CLIENTS_CHURN[[#This Row],[Facture_Mensuelle]]*CLIENTS_CHURN[[#This Row],[Remise (%)]]</f>
        <v>0</v>
      </c>
      <c r="K310">
        <f>IF(CLIENTS_CHURN[[#This Row],[Duree_Cumulee_Panne_Min]]&gt;0,1,0)</f>
        <v>1</v>
      </c>
      <c r="L310" t="str">
        <f>IF(CLIENTS_CHURN[[#This Row],[Type_Forfait]]="Pro Monde","B2B","B2C")</f>
        <v>B2C</v>
      </c>
    </row>
    <row r="311" spans="1:12" x14ac:dyDescent="0.25">
      <c r="A311" s="1">
        <f t="shared" si="4"/>
        <v>310</v>
      </c>
      <c r="B311" s="1" t="s">
        <v>738</v>
      </c>
      <c r="C311" s="1" t="s">
        <v>128</v>
      </c>
      <c r="D311" s="1">
        <v>54</v>
      </c>
      <c r="E311" s="1" t="s">
        <v>20</v>
      </c>
      <c r="F311" s="1">
        <v>215</v>
      </c>
      <c r="G311" s="9">
        <v>54.69</v>
      </c>
      <c r="H311" s="1">
        <v>0</v>
      </c>
      <c r="I3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11" s="9">
        <f>CLIENTS_CHURN[[#This Row],[Facture_Mensuelle]]*CLIENTS_CHURN[[#This Row],[Remise (%)]]</f>
        <v>0</v>
      </c>
      <c r="K311">
        <f>IF(CLIENTS_CHURN[[#This Row],[Duree_Cumulee_Panne_Min]]&gt;0,1,0)</f>
        <v>1</v>
      </c>
      <c r="L311" t="str">
        <f>IF(CLIENTS_CHURN[[#This Row],[Type_Forfait]]="Pro Monde","B2B","B2C")</f>
        <v>B2C</v>
      </c>
    </row>
    <row r="312" spans="1:12" x14ac:dyDescent="0.25">
      <c r="A312" s="1">
        <f t="shared" si="4"/>
        <v>311</v>
      </c>
      <c r="B312" s="1" t="s">
        <v>570</v>
      </c>
      <c r="C312" s="1" t="s">
        <v>14</v>
      </c>
      <c r="D312" s="1">
        <v>80</v>
      </c>
      <c r="E312" s="1" t="s">
        <v>12</v>
      </c>
      <c r="F312" s="1">
        <v>458</v>
      </c>
      <c r="G312" s="9">
        <v>98.11</v>
      </c>
      <c r="H312" s="1">
        <v>0</v>
      </c>
      <c r="I3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12" s="9">
        <f>CLIENTS_CHURN[[#This Row],[Facture_Mensuelle]]*CLIENTS_CHURN[[#This Row],[Remise (%)]]</f>
        <v>44.149500000000003</v>
      </c>
      <c r="K312">
        <f>IF(CLIENTS_CHURN[[#This Row],[Duree_Cumulee_Panne_Min]]&gt;0,1,0)</f>
        <v>1</v>
      </c>
      <c r="L312" t="str">
        <f>IF(CLIENTS_CHURN[[#This Row],[Type_Forfait]]="Pro Monde","B2B","B2C")</f>
        <v>B2B</v>
      </c>
    </row>
    <row r="313" spans="1:12" x14ac:dyDescent="0.25">
      <c r="A313" s="1">
        <f t="shared" si="4"/>
        <v>312</v>
      </c>
      <c r="B313" s="1" t="s">
        <v>427</v>
      </c>
      <c r="C313" s="1" t="s">
        <v>65</v>
      </c>
      <c r="D313" s="1">
        <v>115</v>
      </c>
      <c r="E313" s="1" t="s">
        <v>20</v>
      </c>
      <c r="F313" s="1">
        <v>467</v>
      </c>
      <c r="G313" s="9">
        <v>24.57</v>
      </c>
      <c r="H313" s="1">
        <v>3</v>
      </c>
      <c r="I3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13" s="9">
        <f>CLIENTS_CHURN[[#This Row],[Facture_Mensuelle]]*CLIENTS_CHURN[[#This Row],[Remise (%)]]</f>
        <v>11.0565</v>
      </c>
      <c r="K313">
        <f>IF(CLIENTS_CHURN[[#This Row],[Duree_Cumulee_Panne_Min]]&gt;0,1,0)</f>
        <v>1</v>
      </c>
      <c r="L313" t="str">
        <f>IF(CLIENTS_CHURN[[#This Row],[Type_Forfait]]="Pro Monde","B2B","B2C")</f>
        <v>B2C</v>
      </c>
    </row>
    <row r="314" spans="1:12" x14ac:dyDescent="0.25">
      <c r="A314" s="1">
        <f t="shared" si="4"/>
        <v>313</v>
      </c>
      <c r="B314" s="1" t="s">
        <v>673</v>
      </c>
      <c r="C314" s="1" t="s">
        <v>128</v>
      </c>
      <c r="D314" s="1">
        <v>104</v>
      </c>
      <c r="E314" s="1" t="s">
        <v>20</v>
      </c>
      <c r="F314" s="1">
        <v>50</v>
      </c>
      <c r="G314" s="9">
        <v>90.99</v>
      </c>
      <c r="H314" s="1">
        <v>4</v>
      </c>
      <c r="I3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14" s="9">
        <f>CLIENTS_CHURN[[#This Row],[Facture_Mensuelle]]*CLIENTS_CHURN[[#This Row],[Remise (%)]]</f>
        <v>0</v>
      </c>
      <c r="K314">
        <f>IF(CLIENTS_CHURN[[#This Row],[Duree_Cumulee_Panne_Min]]&gt;0,1,0)</f>
        <v>1</v>
      </c>
      <c r="L314" t="str">
        <f>IF(CLIENTS_CHURN[[#This Row],[Type_Forfait]]="Pro Monde","B2B","B2C")</f>
        <v>B2C</v>
      </c>
    </row>
    <row r="315" spans="1:12" x14ac:dyDescent="0.25">
      <c r="A315" s="1">
        <f t="shared" si="4"/>
        <v>314</v>
      </c>
      <c r="B315" s="1" t="s">
        <v>594</v>
      </c>
      <c r="C315" s="1" t="s">
        <v>24</v>
      </c>
      <c r="D315" s="1">
        <v>103</v>
      </c>
      <c r="E315" s="1" t="s">
        <v>9</v>
      </c>
      <c r="F315" s="1">
        <v>310</v>
      </c>
      <c r="G315" s="9">
        <v>49.25</v>
      </c>
      <c r="H315" s="1">
        <v>2</v>
      </c>
      <c r="I3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15" s="9">
        <f>CLIENTS_CHURN[[#This Row],[Facture_Mensuelle]]*CLIENTS_CHURN[[#This Row],[Remise (%)]]</f>
        <v>22.162500000000001</v>
      </c>
      <c r="K315">
        <f>IF(CLIENTS_CHURN[[#This Row],[Duree_Cumulee_Panne_Min]]&gt;0,1,0)</f>
        <v>1</v>
      </c>
      <c r="L315" t="str">
        <f>IF(CLIENTS_CHURN[[#This Row],[Type_Forfait]]="Pro Monde","B2B","B2C")</f>
        <v>B2C</v>
      </c>
    </row>
    <row r="316" spans="1:12" x14ac:dyDescent="0.25">
      <c r="A316" s="1">
        <f t="shared" si="4"/>
        <v>315</v>
      </c>
      <c r="B316" s="1" t="s">
        <v>326</v>
      </c>
      <c r="C316" s="1" t="s">
        <v>31</v>
      </c>
      <c r="D316" s="1">
        <v>32</v>
      </c>
      <c r="E316" s="1" t="s">
        <v>12</v>
      </c>
      <c r="F316" s="1">
        <v>4</v>
      </c>
      <c r="G316" s="9">
        <v>39</v>
      </c>
      <c r="H316" s="1">
        <v>0</v>
      </c>
      <c r="I3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16" s="9">
        <f>CLIENTS_CHURN[[#This Row],[Facture_Mensuelle]]*CLIENTS_CHURN[[#This Row],[Remise (%)]]</f>
        <v>3.9000000000000004</v>
      </c>
      <c r="K316">
        <f>IF(CLIENTS_CHURN[[#This Row],[Duree_Cumulee_Panne_Min]]&gt;0,1,0)</f>
        <v>1</v>
      </c>
      <c r="L316" t="str">
        <f>IF(CLIENTS_CHURN[[#This Row],[Type_Forfait]]="Pro Monde","B2B","B2C")</f>
        <v>B2B</v>
      </c>
    </row>
    <row r="317" spans="1:12" x14ac:dyDescent="0.25">
      <c r="A317" s="1">
        <f t="shared" si="4"/>
        <v>316</v>
      </c>
      <c r="B317" s="1" t="s">
        <v>446</v>
      </c>
      <c r="C317" s="1" t="s">
        <v>22</v>
      </c>
      <c r="D317" s="1">
        <v>54</v>
      </c>
      <c r="E317" s="1" t="s">
        <v>17</v>
      </c>
      <c r="F317" s="1">
        <v>450</v>
      </c>
      <c r="G317" s="9">
        <v>90.85</v>
      </c>
      <c r="H317" s="1">
        <v>1</v>
      </c>
      <c r="I3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17" s="9">
        <f>CLIENTS_CHURN[[#This Row],[Facture_Mensuelle]]*CLIENTS_CHURN[[#This Row],[Remise (%)]]</f>
        <v>40.8825</v>
      </c>
      <c r="K317">
        <f>IF(CLIENTS_CHURN[[#This Row],[Duree_Cumulee_Panne_Min]]&gt;0,1,0)</f>
        <v>1</v>
      </c>
      <c r="L317" t="str">
        <f>IF(CLIENTS_CHURN[[#This Row],[Type_Forfait]]="Pro Monde","B2B","B2C")</f>
        <v>B2C</v>
      </c>
    </row>
    <row r="318" spans="1:12" x14ac:dyDescent="0.25">
      <c r="A318" s="1">
        <f t="shared" si="4"/>
        <v>317</v>
      </c>
      <c r="B318" s="1" t="s">
        <v>10</v>
      </c>
      <c r="C318" s="1" t="s">
        <v>11</v>
      </c>
      <c r="D318" s="1">
        <v>63</v>
      </c>
      <c r="E318" s="1" t="s">
        <v>12</v>
      </c>
      <c r="F318" s="1">
        <v>205</v>
      </c>
      <c r="G318" s="9">
        <v>89.19</v>
      </c>
      <c r="H318" s="1">
        <v>0</v>
      </c>
      <c r="I3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18" s="9">
        <f>CLIENTS_CHURN[[#This Row],[Facture_Mensuelle]]*CLIENTS_CHURN[[#This Row],[Remise (%)]]</f>
        <v>8.9190000000000005</v>
      </c>
      <c r="K318">
        <f>IF(CLIENTS_CHURN[[#This Row],[Duree_Cumulee_Panne_Min]]&gt;0,1,0)</f>
        <v>1</v>
      </c>
      <c r="L318" t="str">
        <f>IF(CLIENTS_CHURN[[#This Row],[Type_Forfait]]="Pro Monde","B2B","B2C")</f>
        <v>B2B</v>
      </c>
    </row>
    <row r="319" spans="1:12" x14ac:dyDescent="0.25">
      <c r="A319" s="1">
        <f t="shared" si="4"/>
        <v>318</v>
      </c>
      <c r="B319" s="1" t="s">
        <v>615</v>
      </c>
      <c r="C319" s="1" t="s">
        <v>22</v>
      </c>
      <c r="D319" s="1">
        <v>16</v>
      </c>
      <c r="E319" s="1" t="s">
        <v>9</v>
      </c>
      <c r="F319" s="1">
        <v>274</v>
      </c>
      <c r="G319" s="9">
        <v>27.97</v>
      </c>
      <c r="H319" s="1">
        <v>4</v>
      </c>
      <c r="I3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19" s="9">
        <f>CLIENTS_CHURN[[#This Row],[Facture_Mensuelle]]*CLIENTS_CHURN[[#This Row],[Remise (%)]]</f>
        <v>12.586499999999999</v>
      </c>
      <c r="K319">
        <f>IF(CLIENTS_CHURN[[#This Row],[Duree_Cumulee_Panne_Min]]&gt;0,1,0)</f>
        <v>1</v>
      </c>
      <c r="L319" t="str">
        <f>IF(CLIENTS_CHURN[[#This Row],[Type_Forfait]]="Pro Monde","B2B","B2C")</f>
        <v>B2C</v>
      </c>
    </row>
    <row r="320" spans="1:12" x14ac:dyDescent="0.25">
      <c r="A320" s="1">
        <f t="shared" si="4"/>
        <v>319</v>
      </c>
      <c r="B320" s="1" t="s">
        <v>776</v>
      </c>
      <c r="C320" s="1" t="s">
        <v>134</v>
      </c>
      <c r="D320" s="1">
        <v>95</v>
      </c>
      <c r="E320" s="1" t="s">
        <v>9</v>
      </c>
      <c r="F320" s="1">
        <v>313</v>
      </c>
      <c r="G320" s="9">
        <v>32.49</v>
      </c>
      <c r="H320" s="1">
        <v>1</v>
      </c>
      <c r="I3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0" s="9">
        <f>CLIENTS_CHURN[[#This Row],[Facture_Mensuelle]]*CLIENTS_CHURN[[#This Row],[Remise (%)]]</f>
        <v>14.620500000000002</v>
      </c>
      <c r="K320">
        <f>IF(CLIENTS_CHURN[[#This Row],[Duree_Cumulee_Panne_Min]]&gt;0,1,0)</f>
        <v>1</v>
      </c>
      <c r="L320" t="str">
        <f>IF(CLIENTS_CHURN[[#This Row],[Type_Forfait]]="Pro Monde","B2B","B2C")</f>
        <v>B2C</v>
      </c>
    </row>
    <row r="321" spans="1:12" x14ac:dyDescent="0.25">
      <c r="A321" s="1">
        <f t="shared" si="4"/>
        <v>320</v>
      </c>
      <c r="B321" s="1" t="s">
        <v>199</v>
      </c>
      <c r="C321" s="1" t="s">
        <v>35</v>
      </c>
      <c r="D321" s="1">
        <v>48</v>
      </c>
      <c r="E321" s="1" t="s">
        <v>12</v>
      </c>
      <c r="F321" s="1">
        <v>76</v>
      </c>
      <c r="G321" s="9">
        <v>39.35</v>
      </c>
      <c r="H321" s="1">
        <v>2</v>
      </c>
      <c r="I3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21" s="9">
        <f>CLIENTS_CHURN[[#This Row],[Facture_Mensuelle]]*CLIENTS_CHURN[[#This Row],[Remise (%)]]</f>
        <v>3.9350000000000005</v>
      </c>
      <c r="K321">
        <f>IF(CLIENTS_CHURN[[#This Row],[Duree_Cumulee_Panne_Min]]&gt;0,1,0)</f>
        <v>1</v>
      </c>
      <c r="L321" t="str">
        <f>IF(CLIENTS_CHURN[[#This Row],[Type_Forfait]]="Pro Monde","B2B","B2C")</f>
        <v>B2B</v>
      </c>
    </row>
    <row r="322" spans="1:12" x14ac:dyDescent="0.25">
      <c r="A322" s="1">
        <f t="shared" si="4"/>
        <v>321</v>
      </c>
      <c r="B322" s="1" t="s">
        <v>126</v>
      </c>
      <c r="C322" s="1" t="s">
        <v>22</v>
      </c>
      <c r="D322" s="1">
        <v>83</v>
      </c>
      <c r="E322" s="1" t="s">
        <v>17</v>
      </c>
      <c r="F322" s="1">
        <v>126</v>
      </c>
      <c r="G322" s="9">
        <v>67.17</v>
      </c>
      <c r="H322" s="1">
        <v>1</v>
      </c>
      <c r="I3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22" s="9">
        <f>CLIENTS_CHURN[[#This Row],[Facture_Mensuelle]]*CLIENTS_CHURN[[#This Row],[Remise (%)]]</f>
        <v>0</v>
      </c>
      <c r="K322">
        <f>IF(CLIENTS_CHURN[[#This Row],[Duree_Cumulee_Panne_Min]]&gt;0,1,0)</f>
        <v>1</v>
      </c>
      <c r="L322" t="str">
        <f>IF(CLIENTS_CHURN[[#This Row],[Type_Forfait]]="Pro Monde","B2B","B2C")</f>
        <v>B2C</v>
      </c>
    </row>
    <row r="323" spans="1:12" x14ac:dyDescent="0.25">
      <c r="A323" s="1">
        <f t="shared" si="4"/>
        <v>322</v>
      </c>
      <c r="B323" s="1" t="s">
        <v>456</v>
      </c>
      <c r="C323" s="1" t="s">
        <v>14</v>
      </c>
      <c r="D323" s="1">
        <v>96</v>
      </c>
      <c r="E323" s="1" t="s">
        <v>20</v>
      </c>
      <c r="F323" s="1">
        <v>155</v>
      </c>
      <c r="G323" s="9">
        <v>69.16</v>
      </c>
      <c r="H323" s="1">
        <v>4</v>
      </c>
      <c r="I3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23" s="9">
        <f>CLIENTS_CHURN[[#This Row],[Facture_Mensuelle]]*CLIENTS_CHURN[[#This Row],[Remise (%)]]</f>
        <v>0</v>
      </c>
      <c r="K323">
        <f>IF(CLIENTS_CHURN[[#This Row],[Duree_Cumulee_Panne_Min]]&gt;0,1,0)</f>
        <v>1</v>
      </c>
      <c r="L323" t="str">
        <f>IF(CLIENTS_CHURN[[#This Row],[Type_Forfait]]="Pro Monde","B2B","B2C")</f>
        <v>B2C</v>
      </c>
    </row>
    <row r="324" spans="1:12" x14ac:dyDescent="0.25">
      <c r="A324" s="1">
        <f t="shared" ref="A324:A387" si="5">A323+1</f>
        <v>323</v>
      </c>
      <c r="B324" s="1" t="s">
        <v>473</v>
      </c>
      <c r="C324" s="1" t="s">
        <v>128</v>
      </c>
      <c r="D324" s="1">
        <v>13</v>
      </c>
      <c r="E324" s="1" t="s">
        <v>20</v>
      </c>
      <c r="F324" s="1">
        <v>482</v>
      </c>
      <c r="G324" s="9">
        <v>50.15</v>
      </c>
      <c r="H324" s="1">
        <v>0</v>
      </c>
      <c r="I3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4" s="9">
        <f>CLIENTS_CHURN[[#This Row],[Facture_Mensuelle]]*CLIENTS_CHURN[[#This Row],[Remise (%)]]</f>
        <v>22.567499999999999</v>
      </c>
      <c r="K324">
        <f>IF(CLIENTS_CHURN[[#This Row],[Duree_Cumulee_Panne_Min]]&gt;0,1,0)</f>
        <v>1</v>
      </c>
      <c r="L324" t="str">
        <f>IF(CLIENTS_CHURN[[#This Row],[Type_Forfait]]="Pro Monde","B2B","B2C")</f>
        <v>B2C</v>
      </c>
    </row>
    <row r="325" spans="1:12" x14ac:dyDescent="0.25">
      <c r="A325" s="1">
        <f t="shared" si="5"/>
        <v>324</v>
      </c>
      <c r="B325" s="1" t="s">
        <v>184</v>
      </c>
      <c r="C325" s="1" t="s">
        <v>11</v>
      </c>
      <c r="D325" s="1">
        <v>4</v>
      </c>
      <c r="E325" s="1" t="s">
        <v>17</v>
      </c>
      <c r="F325" s="1">
        <v>227</v>
      </c>
      <c r="G325" s="9">
        <v>83.32</v>
      </c>
      <c r="H325" s="1">
        <v>2</v>
      </c>
      <c r="I3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25" s="9">
        <f>CLIENTS_CHURN[[#This Row],[Facture_Mensuelle]]*CLIENTS_CHURN[[#This Row],[Remise (%)]]</f>
        <v>0</v>
      </c>
      <c r="K325">
        <f>IF(CLIENTS_CHURN[[#This Row],[Duree_Cumulee_Panne_Min]]&gt;0,1,0)</f>
        <v>1</v>
      </c>
      <c r="L325" t="str">
        <f>IF(CLIENTS_CHURN[[#This Row],[Type_Forfait]]="Pro Monde","B2B","B2C")</f>
        <v>B2C</v>
      </c>
    </row>
    <row r="326" spans="1:12" x14ac:dyDescent="0.25">
      <c r="A326" s="1">
        <f t="shared" si="5"/>
        <v>325</v>
      </c>
      <c r="B326" s="1" t="s">
        <v>248</v>
      </c>
      <c r="C326" s="1" t="s">
        <v>124</v>
      </c>
      <c r="D326" s="1">
        <v>49</v>
      </c>
      <c r="E326" s="1" t="s">
        <v>20</v>
      </c>
      <c r="F326" s="1">
        <v>6</v>
      </c>
      <c r="G326" s="9">
        <v>44.41</v>
      </c>
      <c r="H326" s="1">
        <v>3</v>
      </c>
      <c r="I3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26" s="9">
        <f>CLIENTS_CHURN[[#This Row],[Facture_Mensuelle]]*CLIENTS_CHURN[[#This Row],[Remise (%)]]</f>
        <v>0</v>
      </c>
      <c r="K326">
        <f>IF(CLIENTS_CHURN[[#This Row],[Duree_Cumulee_Panne_Min]]&gt;0,1,0)</f>
        <v>1</v>
      </c>
      <c r="L326" t="str">
        <f>IF(CLIENTS_CHURN[[#This Row],[Type_Forfait]]="Pro Monde","B2B","B2C")</f>
        <v>B2C</v>
      </c>
    </row>
    <row r="327" spans="1:12" x14ac:dyDescent="0.25">
      <c r="A327" s="1">
        <f t="shared" si="5"/>
        <v>326</v>
      </c>
      <c r="B327" s="1" t="s">
        <v>722</v>
      </c>
      <c r="C327" s="1" t="s">
        <v>8</v>
      </c>
      <c r="D327" s="1">
        <v>37</v>
      </c>
      <c r="E327" s="1" t="s">
        <v>9</v>
      </c>
      <c r="F327" s="1">
        <v>420</v>
      </c>
      <c r="G327" s="9">
        <v>67.260000000000005</v>
      </c>
      <c r="H327" s="1">
        <v>4</v>
      </c>
      <c r="I3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7" s="9">
        <f>CLIENTS_CHURN[[#This Row],[Facture_Mensuelle]]*CLIENTS_CHURN[[#This Row],[Remise (%)]]</f>
        <v>30.267000000000003</v>
      </c>
      <c r="K327">
        <f>IF(CLIENTS_CHURN[[#This Row],[Duree_Cumulee_Panne_Min]]&gt;0,1,0)</f>
        <v>1</v>
      </c>
      <c r="L327" t="str">
        <f>IF(CLIENTS_CHURN[[#This Row],[Type_Forfait]]="Pro Monde","B2B","B2C")</f>
        <v>B2C</v>
      </c>
    </row>
    <row r="328" spans="1:12" x14ac:dyDescent="0.25">
      <c r="A328" s="1">
        <f t="shared" si="5"/>
        <v>327</v>
      </c>
      <c r="B328" s="1" t="s">
        <v>582</v>
      </c>
      <c r="C328" s="1" t="s">
        <v>24</v>
      </c>
      <c r="D328" s="1">
        <v>88</v>
      </c>
      <c r="E328" s="1" t="s">
        <v>17</v>
      </c>
      <c r="F328" s="1">
        <v>246</v>
      </c>
      <c r="G328" s="9">
        <v>90.7</v>
      </c>
      <c r="H328" s="1">
        <v>3</v>
      </c>
      <c r="I3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8" s="9">
        <f>CLIENTS_CHURN[[#This Row],[Facture_Mensuelle]]*CLIENTS_CHURN[[#This Row],[Remise (%)]]</f>
        <v>40.815000000000005</v>
      </c>
      <c r="K328">
        <f>IF(CLIENTS_CHURN[[#This Row],[Duree_Cumulee_Panne_Min]]&gt;0,1,0)</f>
        <v>1</v>
      </c>
      <c r="L328" t="str">
        <f>IF(CLIENTS_CHURN[[#This Row],[Type_Forfait]]="Pro Monde","B2B","B2C")</f>
        <v>B2C</v>
      </c>
    </row>
    <row r="329" spans="1:12" x14ac:dyDescent="0.25">
      <c r="A329" s="1">
        <f t="shared" si="5"/>
        <v>328</v>
      </c>
      <c r="B329" s="1" t="s">
        <v>768</v>
      </c>
      <c r="C329" s="1" t="s">
        <v>55</v>
      </c>
      <c r="D329" s="1">
        <v>26</v>
      </c>
      <c r="E329" s="1" t="s">
        <v>17</v>
      </c>
      <c r="F329" s="1">
        <v>413</v>
      </c>
      <c r="G329" s="9">
        <v>10.9</v>
      </c>
      <c r="H329" s="1">
        <v>5</v>
      </c>
      <c r="I3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29" s="9">
        <f>CLIENTS_CHURN[[#This Row],[Facture_Mensuelle]]*CLIENTS_CHURN[[#This Row],[Remise (%)]]</f>
        <v>4.9050000000000002</v>
      </c>
      <c r="K329">
        <f>IF(CLIENTS_CHURN[[#This Row],[Duree_Cumulee_Panne_Min]]&gt;0,1,0)</f>
        <v>1</v>
      </c>
      <c r="L329" t="str">
        <f>IF(CLIENTS_CHURN[[#This Row],[Type_Forfait]]="Pro Monde","B2B","B2C")</f>
        <v>B2C</v>
      </c>
    </row>
    <row r="330" spans="1:12" x14ac:dyDescent="0.25">
      <c r="A330" s="1">
        <f t="shared" si="5"/>
        <v>329</v>
      </c>
      <c r="B330" s="1" t="s">
        <v>726</v>
      </c>
      <c r="C330" s="1" t="s">
        <v>22</v>
      </c>
      <c r="D330" s="1">
        <v>86</v>
      </c>
      <c r="E330" s="1" t="s">
        <v>12</v>
      </c>
      <c r="F330" s="1">
        <v>353</v>
      </c>
      <c r="G330" s="9">
        <v>25.37</v>
      </c>
      <c r="H330" s="1">
        <v>1</v>
      </c>
      <c r="I3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30" s="9">
        <f>CLIENTS_CHURN[[#This Row],[Facture_Mensuelle]]*CLIENTS_CHURN[[#This Row],[Remise (%)]]</f>
        <v>11.416500000000001</v>
      </c>
      <c r="K330">
        <f>IF(CLIENTS_CHURN[[#This Row],[Duree_Cumulee_Panne_Min]]&gt;0,1,0)</f>
        <v>1</v>
      </c>
      <c r="L330" t="str">
        <f>IF(CLIENTS_CHURN[[#This Row],[Type_Forfait]]="Pro Monde","B2B","B2C")</f>
        <v>B2B</v>
      </c>
    </row>
    <row r="331" spans="1:12" x14ac:dyDescent="0.25">
      <c r="A331" s="1">
        <f t="shared" si="5"/>
        <v>330</v>
      </c>
      <c r="B331" s="1" t="s">
        <v>662</v>
      </c>
      <c r="C331" s="1" t="s">
        <v>76</v>
      </c>
      <c r="D331" s="1">
        <v>101</v>
      </c>
      <c r="E331" s="1" t="s">
        <v>12</v>
      </c>
      <c r="F331" s="1">
        <v>108</v>
      </c>
      <c r="G331" s="9">
        <v>76.05</v>
      </c>
      <c r="H331" s="1">
        <v>3</v>
      </c>
      <c r="I3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31" s="9">
        <f>CLIENTS_CHURN[[#This Row],[Facture_Mensuelle]]*CLIENTS_CHURN[[#This Row],[Remise (%)]]</f>
        <v>7.6050000000000004</v>
      </c>
      <c r="K331">
        <f>IF(CLIENTS_CHURN[[#This Row],[Duree_Cumulee_Panne_Min]]&gt;0,1,0)</f>
        <v>1</v>
      </c>
      <c r="L331" t="str">
        <f>IF(CLIENTS_CHURN[[#This Row],[Type_Forfait]]="Pro Monde","B2B","B2C")</f>
        <v>B2B</v>
      </c>
    </row>
    <row r="332" spans="1:12" x14ac:dyDescent="0.25">
      <c r="A332" s="1">
        <f t="shared" si="5"/>
        <v>331</v>
      </c>
      <c r="B332" s="1" t="s">
        <v>364</v>
      </c>
      <c r="C332" s="1" t="s">
        <v>55</v>
      </c>
      <c r="D332" s="1">
        <v>105</v>
      </c>
      <c r="E332" s="1" t="s">
        <v>9</v>
      </c>
      <c r="F332" s="1">
        <v>17</v>
      </c>
      <c r="G332" s="9">
        <v>60.05</v>
      </c>
      <c r="H332" s="1">
        <v>4</v>
      </c>
      <c r="I3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32" s="9">
        <f>CLIENTS_CHURN[[#This Row],[Facture_Mensuelle]]*CLIENTS_CHURN[[#This Row],[Remise (%)]]</f>
        <v>0</v>
      </c>
      <c r="K332">
        <f>IF(CLIENTS_CHURN[[#This Row],[Duree_Cumulee_Panne_Min]]&gt;0,1,0)</f>
        <v>1</v>
      </c>
      <c r="L332" t="str">
        <f>IF(CLIENTS_CHURN[[#This Row],[Type_Forfait]]="Pro Monde","B2B","B2C")</f>
        <v>B2C</v>
      </c>
    </row>
    <row r="333" spans="1:12" x14ac:dyDescent="0.25">
      <c r="A333" s="1">
        <f t="shared" si="5"/>
        <v>332</v>
      </c>
      <c r="B333" s="1" t="s">
        <v>276</v>
      </c>
      <c r="C333" s="1" t="s">
        <v>38</v>
      </c>
      <c r="D333" s="1">
        <v>61</v>
      </c>
      <c r="E333" s="1" t="s">
        <v>20</v>
      </c>
      <c r="F333" s="1">
        <v>87</v>
      </c>
      <c r="G333" s="9">
        <v>68.319999999999993</v>
      </c>
      <c r="H333" s="1">
        <v>2</v>
      </c>
      <c r="I3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33" s="9">
        <f>CLIENTS_CHURN[[#This Row],[Facture_Mensuelle]]*CLIENTS_CHURN[[#This Row],[Remise (%)]]</f>
        <v>0</v>
      </c>
      <c r="K333">
        <f>IF(CLIENTS_CHURN[[#This Row],[Duree_Cumulee_Panne_Min]]&gt;0,1,0)</f>
        <v>1</v>
      </c>
      <c r="L333" t="str">
        <f>IF(CLIENTS_CHURN[[#This Row],[Type_Forfait]]="Pro Monde","B2B","B2C")</f>
        <v>B2C</v>
      </c>
    </row>
    <row r="334" spans="1:12" x14ac:dyDescent="0.25">
      <c r="A334" s="1">
        <f t="shared" si="5"/>
        <v>333</v>
      </c>
      <c r="B334" s="1" t="s">
        <v>536</v>
      </c>
      <c r="C334" s="1" t="s">
        <v>71</v>
      </c>
      <c r="D334" s="1">
        <v>94</v>
      </c>
      <c r="E334" s="1" t="s">
        <v>20</v>
      </c>
      <c r="F334" s="1">
        <v>6</v>
      </c>
      <c r="G334" s="9">
        <v>67.459999999999994</v>
      </c>
      <c r="H334" s="1">
        <v>5</v>
      </c>
      <c r="I3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34" s="9">
        <f>CLIENTS_CHURN[[#This Row],[Facture_Mensuelle]]*CLIENTS_CHURN[[#This Row],[Remise (%)]]</f>
        <v>0</v>
      </c>
      <c r="K334">
        <f>IF(CLIENTS_CHURN[[#This Row],[Duree_Cumulee_Panne_Min]]&gt;0,1,0)</f>
        <v>1</v>
      </c>
      <c r="L334" t="str">
        <f>IF(CLIENTS_CHURN[[#This Row],[Type_Forfait]]="Pro Monde","B2B","B2C")</f>
        <v>B2C</v>
      </c>
    </row>
    <row r="335" spans="1:12" x14ac:dyDescent="0.25">
      <c r="A335" s="1">
        <f t="shared" si="5"/>
        <v>334</v>
      </c>
      <c r="B335" s="1" t="s">
        <v>239</v>
      </c>
      <c r="C335" s="1" t="s">
        <v>29</v>
      </c>
      <c r="D335" s="1">
        <v>6</v>
      </c>
      <c r="E335" s="1" t="s">
        <v>12</v>
      </c>
      <c r="F335" s="1">
        <v>109</v>
      </c>
      <c r="G335" s="9">
        <v>39.880000000000003</v>
      </c>
      <c r="H335" s="1">
        <v>4</v>
      </c>
      <c r="I3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35" s="9">
        <f>CLIENTS_CHURN[[#This Row],[Facture_Mensuelle]]*CLIENTS_CHURN[[#This Row],[Remise (%)]]</f>
        <v>3.9880000000000004</v>
      </c>
      <c r="K335">
        <f>IF(CLIENTS_CHURN[[#This Row],[Duree_Cumulee_Panne_Min]]&gt;0,1,0)</f>
        <v>1</v>
      </c>
      <c r="L335" t="str">
        <f>IF(CLIENTS_CHURN[[#This Row],[Type_Forfait]]="Pro Monde","B2B","B2C")</f>
        <v>B2B</v>
      </c>
    </row>
    <row r="336" spans="1:12" x14ac:dyDescent="0.25">
      <c r="A336" s="1">
        <f t="shared" si="5"/>
        <v>335</v>
      </c>
      <c r="B336" s="1" t="s">
        <v>328</v>
      </c>
      <c r="C336" s="1" t="s">
        <v>62</v>
      </c>
      <c r="D336" s="1">
        <v>62</v>
      </c>
      <c r="E336" s="1" t="s">
        <v>20</v>
      </c>
      <c r="F336" s="1">
        <v>136</v>
      </c>
      <c r="G336" s="9">
        <v>88.61</v>
      </c>
      <c r="H336" s="1">
        <v>2</v>
      </c>
      <c r="I3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36" s="9">
        <f>CLIENTS_CHURN[[#This Row],[Facture_Mensuelle]]*CLIENTS_CHURN[[#This Row],[Remise (%)]]</f>
        <v>0</v>
      </c>
      <c r="K336">
        <f>IF(CLIENTS_CHURN[[#This Row],[Duree_Cumulee_Panne_Min]]&gt;0,1,0)</f>
        <v>1</v>
      </c>
      <c r="L336" t="str">
        <f>IF(CLIENTS_CHURN[[#This Row],[Type_Forfait]]="Pro Monde","B2B","B2C")</f>
        <v>B2C</v>
      </c>
    </row>
    <row r="337" spans="1:12" x14ac:dyDescent="0.25">
      <c r="A337" s="1">
        <f t="shared" si="5"/>
        <v>336</v>
      </c>
      <c r="B337" s="1" t="s">
        <v>660</v>
      </c>
      <c r="C337" s="1" t="s">
        <v>33</v>
      </c>
      <c r="D337" s="1">
        <v>34</v>
      </c>
      <c r="E337" s="1" t="s">
        <v>20</v>
      </c>
      <c r="F337" s="1">
        <v>181</v>
      </c>
      <c r="G337" s="9">
        <v>35.92</v>
      </c>
      <c r="H337" s="1">
        <v>2</v>
      </c>
      <c r="I3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37" s="9">
        <f>CLIENTS_CHURN[[#This Row],[Facture_Mensuelle]]*CLIENTS_CHURN[[#This Row],[Remise (%)]]</f>
        <v>0</v>
      </c>
      <c r="K337">
        <f>IF(CLIENTS_CHURN[[#This Row],[Duree_Cumulee_Panne_Min]]&gt;0,1,0)</f>
        <v>1</v>
      </c>
      <c r="L337" t="str">
        <f>IF(CLIENTS_CHURN[[#This Row],[Type_Forfait]]="Pro Monde","B2B","B2C")</f>
        <v>B2C</v>
      </c>
    </row>
    <row r="338" spans="1:12" x14ac:dyDescent="0.25">
      <c r="A338" s="1">
        <f t="shared" si="5"/>
        <v>337</v>
      </c>
      <c r="B338" s="1" t="s">
        <v>478</v>
      </c>
      <c r="C338" s="1" t="s">
        <v>14</v>
      </c>
      <c r="D338" s="1">
        <v>99</v>
      </c>
      <c r="E338" s="1" t="s">
        <v>12</v>
      </c>
      <c r="F338" s="1">
        <v>138</v>
      </c>
      <c r="G338" s="9">
        <v>54.64</v>
      </c>
      <c r="H338" s="1">
        <v>5</v>
      </c>
      <c r="I3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38" s="9">
        <f>CLIENTS_CHURN[[#This Row],[Facture_Mensuelle]]*CLIENTS_CHURN[[#This Row],[Remise (%)]]</f>
        <v>5.4640000000000004</v>
      </c>
      <c r="K338">
        <f>IF(CLIENTS_CHURN[[#This Row],[Duree_Cumulee_Panne_Min]]&gt;0,1,0)</f>
        <v>1</v>
      </c>
      <c r="L338" t="str">
        <f>IF(CLIENTS_CHURN[[#This Row],[Type_Forfait]]="Pro Monde","B2B","B2C")</f>
        <v>B2B</v>
      </c>
    </row>
    <row r="339" spans="1:12" x14ac:dyDescent="0.25">
      <c r="A339" s="1">
        <f t="shared" si="5"/>
        <v>338</v>
      </c>
      <c r="B339" s="1" t="s">
        <v>370</v>
      </c>
      <c r="C339" s="1" t="s">
        <v>38</v>
      </c>
      <c r="D339" s="1">
        <v>59</v>
      </c>
      <c r="E339" s="1" t="s">
        <v>9</v>
      </c>
      <c r="F339" s="1">
        <v>352</v>
      </c>
      <c r="G339" s="9">
        <v>74.239999999999995</v>
      </c>
      <c r="H339" s="1">
        <v>0</v>
      </c>
      <c r="I3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39" s="9">
        <f>CLIENTS_CHURN[[#This Row],[Facture_Mensuelle]]*CLIENTS_CHURN[[#This Row],[Remise (%)]]</f>
        <v>33.408000000000001</v>
      </c>
      <c r="K339">
        <f>IF(CLIENTS_CHURN[[#This Row],[Duree_Cumulee_Panne_Min]]&gt;0,1,0)</f>
        <v>1</v>
      </c>
      <c r="L339" t="str">
        <f>IF(CLIENTS_CHURN[[#This Row],[Type_Forfait]]="Pro Monde","B2B","B2C")</f>
        <v>B2C</v>
      </c>
    </row>
    <row r="340" spans="1:12" x14ac:dyDescent="0.25">
      <c r="A340" s="1">
        <f t="shared" si="5"/>
        <v>339</v>
      </c>
      <c r="B340" s="1" t="s">
        <v>522</v>
      </c>
      <c r="C340" s="1" t="s">
        <v>49</v>
      </c>
      <c r="D340" s="1">
        <v>19</v>
      </c>
      <c r="E340" s="1" t="s">
        <v>17</v>
      </c>
      <c r="F340" s="1">
        <v>71</v>
      </c>
      <c r="G340" s="9">
        <v>68.2</v>
      </c>
      <c r="H340" s="1">
        <v>0</v>
      </c>
      <c r="I3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40" s="9">
        <f>CLIENTS_CHURN[[#This Row],[Facture_Mensuelle]]*CLIENTS_CHURN[[#This Row],[Remise (%)]]</f>
        <v>0</v>
      </c>
      <c r="K340">
        <f>IF(CLIENTS_CHURN[[#This Row],[Duree_Cumulee_Panne_Min]]&gt;0,1,0)</f>
        <v>1</v>
      </c>
      <c r="L340" t="str">
        <f>IF(CLIENTS_CHURN[[#This Row],[Type_Forfait]]="Pro Monde","B2B","B2C")</f>
        <v>B2C</v>
      </c>
    </row>
    <row r="341" spans="1:12" x14ac:dyDescent="0.25">
      <c r="A341" s="1">
        <f t="shared" si="5"/>
        <v>340</v>
      </c>
      <c r="B341" s="1" t="s">
        <v>306</v>
      </c>
      <c r="C341" s="1" t="s">
        <v>58</v>
      </c>
      <c r="D341" s="1">
        <v>56</v>
      </c>
      <c r="E341" s="1" t="s">
        <v>12</v>
      </c>
      <c r="F341" s="1">
        <v>55</v>
      </c>
      <c r="G341" s="9">
        <v>82.56</v>
      </c>
      <c r="H341" s="1">
        <v>2</v>
      </c>
      <c r="I3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1" s="9">
        <f>CLIENTS_CHURN[[#This Row],[Facture_Mensuelle]]*CLIENTS_CHURN[[#This Row],[Remise (%)]]</f>
        <v>8.2560000000000002</v>
      </c>
      <c r="K341">
        <f>IF(CLIENTS_CHURN[[#This Row],[Duree_Cumulee_Panne_Min]]&gt;0,1,0)</f>
        <v>1</v>
      </c>
      <c r="L341" t="str">
        <f>IF(CLIENTS_CHURN[[#This Row],[Type_Forfait]]="Pro Monde","B2B","B2C")</f>
        <v>B2B</v>
      </c>
    </row>
    <row r="342" spans="1:12" x14ac:dyDescent="0.25">
      <c r="A342" s="1">
        <f t="shared" si="5"/>
        <v>341</v>
      </c>
      <c r="B342" s="1" t="s">
        <v>601</v>
      </c>
      <c r="C342" s="1" t="s">
        <v>35</v>
      </c>
      <c r="D342" s="1">
        <v>94</v>
      </c>
      <c r="E342" s="1" t="s">
        <v>12</v>
      </c>
      <c r="F342" s="1">
        <v>247</v>
      </c>
      <c r="G342" s="9">
        <v>96.57</v>
      </c>
      <c r="H342" s="1">
        <v>0</v>
      </c>
      <c r="I3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42" s="9">
        <f>CLIENTS_CHURN[[#This Row],[Facture_Mensuelle]]*CLIENTS_CHURN[[#This Row],[Remise (%)]]</f>
        <v>43.456499999999998</v>
      </c>
      <c r="K342">
        <f>IF(CLIENTS_CHURN[[#This Row],[Duree_Cumulee_Panne_Min]]&gt;0,1,0)</f>
        <v>1</v>
      </c>
      <c r="L342" t="str">
        <f>IF(CLIENTS_CHURN[[#This Row],[Type_Forfait]]="Pro Monde","B2B","B2C")</f>
        <v>B2B</v>
      </c>
    </row>
    <row r="343" spans="1:12" x14ac:dyDescent="0.25">
      <c r="A343" s="1">
        <f t="shared" si="5"/>
        <v>342</v>
      </c>
      <c r="B343" s="1" t="s">
        <v>638</v>
      </c>
      <c r="C343" s="1" t="s">
        <v>62</v>
      </c>
      <c r="D343" s="1">
        <v>14</v>
      </c>
      <c r="E343" s="1" t="s">
        <v>12</v>
      </c>
      <c r="F343" s="1">
        <v>236</v>
      </c>
      <c r="G343" s="9">
        <v>54.43</v>
      </c>
      <c r="H343" s="1">
        <v>3</v>
      </c>
      <c r="I3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3" s="9">
        <f>CLIENTS_CHURN[[#This Row],[Facture_Mensuelle]]*CLIENTS_CHURN[[#This Row],[Remise (%)]]</f>
        <v>5.4430000000000005</v>
      </c>
      <c r="K343">
        <f>IF(CLIENTS_CHURN[[#This Row],[Duree_Cumulee_Panne_Min]]&gt;0,1,0)</f>
        <v>1</v>
      </c>
      <c r="L343" t="str">
        <f>IF(CLIENTS_CHURN[[#This Row],[Type_Forfait]]="Pro Monde","B2B","B2C")</f>
        <v>B2B</v>
      </c>
    </row>
    <row r="344" spans="1:12" x14ac:dyDescent="0.25">
      <c r="A344" s="1">
        <f t="shared" si="5"/>
        <v>343</v>
      </c>
      <c r="B344" s="1" t="s">
        <v>468</v>
      </c>
      <c r="C344" s="1" t="s">
        <v>62</v>
      </c>
      <c r="D344" s="1">
        <v>63</v>
      </c>
      <c r="E344" s="1" t="s">
        <v>12</v>
      </c>
      <c r="F344" s="1">
        <v>121</v>
      </c>
      <c r="G344" s="9">
        <v>39.18</v>
      </c>
      <c r="H344" s="1">
        <v>2</v>
      </c>
      <c r="I3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4" s="9">
        <f>CLIENTS_CHURN[[#This Row],[Facture_Mensuelle]]*CLIENTS_CHURN[[#This Row],[Remise (%)]]</f>
        <v>3.9180000000000001</v>
      </c>
      <c r="K344">
        <f>IF(CLIENTS_CHURN[[#This Row],[Duree_Cumulee_Panne_Min]]&gt;0,1,0)</f>
        <v>1</v>
      </c>
      <c r="L344" t="str">
        <f>IF(CLIENTS_CHURN[[#This Row],[Type_Forfait]]="Pro Monde","B2B","B2C")</f>
        <v>B2B</v>
      </c>
    </row>
    <row r="345" spans="1:12" x14ac:dyDescent="0.25">
      <c r="A345" s="1">
        <f t="shared" si="5"/>
        <v>344</v>
      </c>
      <c r="B345" s="1" t="s">
        <v>421</v>
      </c>
      <c r="C345" s="1" t="s">
        <v>8</v>
      </c>
      <c r="D345" s="1">
        <v>111</v>
      </c>
      <c r="E345" s="1" t="s">
        <v>17</v>
      </c>
      <c r="F345" s="1">
        <v>194</v>
      </c>
      <c r="G345" s="9">
        <v>48.55</v>
      </c>
      <c r="H345" s="1">
        <v>2</v>
      </c>
      <c r="I3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45" s="9">
        <f>CLIENTS_CHURN[[#This Row],[Facture_Mensuelle]]*CLIENTS_CHURN[[#This Row],[Remise (%)]]</f>
        <v>0</v>
      </c>
      <c r="K345">
        <f>IF(CLIENTS_CHURN[[#This Row],[Duree_Cumulee_Panne_Min]]&gt;0,1,0)</f>
        <v>1</v>
      </c>
      <c r="L345" t="str">
        <f>IF(CLIENTS_CHURN[[#This Row],[Type_Forfait]]="Pro Monde","B2B","B2C")</f>
        <v>B2C</v>
      </c>
    </row>
    <row r="346" spans="1:12" x14ac:dyDescent="0.25">
      <c r="A346" s="1">
        <f t="shared" si="5"/>
        <v>345</v>
      </c>
      <c r="B346" s="1" t="s">
        <v>783</v>
      </c>
      <c r="C346" s="1" t="s">
        <v>49</v>
      </c>
      <c r="D346" s="1">
        <v>25</v>
      </c>
      <c r="E346" s="1" t="s">
        <v>12</v>
      </c>
      <c r="F346" s="1">
        <v>66</v>
      </c>
      <c r="G346" s="9">
        <v>90.14</v>
      </c>
      <c r="H346" s="1">
        <v>5</v>
      </c>
      <c r="I3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6" s="9">
        <f>CLIENTS_CHURN[[#This Row],[Facture_Mensuelle]]*CLIENTS_CHURN[[#This Row],[Remise (%)]]</f>
        <v>9.0140000000000011</v>
      </c>
      <c r="K346">
        <f>IF(CLIENTS_CHURN[[#This Row],[Duree_Cumulee_Panne_Min]]&gt;0,1,0)</f>
        <v>1</v>
      </c>
      <c r="L346" t="str">
        <f>IF(CLIENTS_CHURN[[#This Row],[Type_Forfait]]="Pro Monde","B2B","B2C")</f>
        <v>B2B</v>
      </c>
    </row>
    <row r="347" spans="1:12" x14ac:dyDescent="0.25">
      <c r="A347" s="1">
        <f t="shared" si="5"/>
        <v>346</v>
      </c>
      <c r="B347" s="1" t="s">
        <v>373</v>
      </c>
      <c r="C347" s="1" t="s">
        <v>86</v>
      </c>
      <c r="D347" s="1">
        <v>37</v>
      </c>
      <c r="E347" s="1" t="s">
        <v>12</v>
      </c>
      <c r="F347" s="1">
        <v>88</v>
      </c>
      <c r="G347" s="9">
        <v>77.77</v>
      </c>
      <c r="H347" s="1">
        <v>1</v>
      </c>
      <c r="I3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7" s="9">
        <f>CLIENTS_CHURN[[#This Row],[Facture_Mensuelle]]*CLIENTS_CHURN[[#This Row],[Remise (%)]]</f>
        <v>7.7770000000000001</v>
      </c>
      <c r="K347">
        <f>IF(CLIENTS_CHURN[[#This Row],[Duree_Cumulee_Panne_Min]]&gt;0,1,0)</f>
        <v>1</v>
      </c>
      <c r="L347" t="str">
        <f>IF(CLIENTS_CHURN[[#This Row],[Type_Forfait]]="Pro Monde","B2B","B2C")</f>
        <v>B2B</v>
      </c>
    </row>
    <row r="348" spans="1:12" x14ac:dyDescent="0.25">
      <c r="A348" s="1">
        <f t="shared" si="5"/>
        <v>347</v>
      </c>
      <c r="B348" s="1" t="s">
        <v>774</v>
      </c>
      <c r="C348" s="1" t="s">
        <v>24</v>
      </c>
      <c r="D348" s="1">
        <v>29</v>
      </c>
      <c r="E348" s="1" t="s">
        <v>17</v>
      </c>
      <c r="F348" s="1">
        <v>306</v>
      </c>
      <c r="G348" s="9">
        <v>82.16</v>
      </c>
      <c r="H348" s="1">
        <v>1</v>
      </c>
      <c r="I3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48" s="9">
        <f>CLIENTS_CHURN[[#This Row],[Facture_Mensuelle]]*CLIENTS_CHURN[[#This Row],[Remise (%)]]</f>
        <v>36.972000000000001</v>
      </c>
      <c r="K348">
        <f>IF(CLIENTS_CHURN[[#This Row],[Duree_Cumulee_Panne_Min]]&gt;0,1,0)</f>
        <v>1</v>
      </c>
      <c r="L348" t="str">
        <f>IF(CLIENTS_CHURN[[#This Row],[Type_Forfait]]="Pro Monde","B2B","B2C")</f>
        <v>B2C</v>
      </c>
    </row>
    <row r="349" spans="1:12" x14ac:dyDescent="0.25">
      <c r="A349" s="1">
        <f t="shared" si="5"/>
        <v>348</v>
      </c>
      <c r="B349" s="1" t="s">
        <v>464</v>
      </c>
      <c r="C349" s="1" t="s">
        <v>65</v>
      </c>
      <c r="D349" s="1">
        <v>13</v>
      </c>
      <c r="E349" s="1" t="s">
        <v>12</v>
      </c>
      <c r="F349" s="1">
        <v>87</v>
      </c>
      <c r="G349" s="9">
        <v>66.36</v>
      </c>
      <c r="H349" s="1">
        <v>0</v>
      </c>
      <c r="I3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49" s="9">
        <f>CLIENTS_CHURN[[#This Row],[Facture_Mensuelle]]*CLIENTS_CHURN[[#This Row],[Remise (%)]]</f>
        <v>6.6360000000000001</v>
      </c>
      <c r="K349">
        <f>IF(CLIENTS_CHURN[[#This Row],[Duree_Cumulee_Panne_Min]]&gt;0,1,0)</f>
        <v>1</v>
      </c>
      <c r="L349" t="str">
        <f>IF(CLIENTS_CHURN[[#This Row],[Type_Forfait]]="Pro Monde","B2B","B2C")</f>
        <v>B2B</v>
      </c>
    </row>
    <row r="350" spans="1:12" x14ac:dyDescent="0.25">
      <c r="A350" s="1">
        <f t="shared" si="5"/>
        <v>349</v>
      </c>
      <c r="B350" s="1" t="s">
        <v>215</v>
      </c>
      <c r="C350" s="1" t="s">
        <v>76</v>
      </c>
      <c r="D350" s="1">
        <v>27</v>
      </c>
      <c r="E350" s="1" t="s">
        <v>9</v>
      </c>
      <c r="F350" s="1">
        <v>369</v>
      </c>
      <c r="G350" s="9">
        <v>19.78</v>
      </c>
      <c r="H350" s="1">
        <v>1</v>
      </c>
      <c r="I3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0" s="9">
        <f>CLIENTS_CHURN[[#This Row],[Facture_Mensuelle]]*CLIENTS_CHURN[[#This Row],[Remise (%)]]</f>
        <v>8.9010000000000016</v>
      </c>
      <c r="K350">
        <f>IF(CLIENTS_CHURN[[#This Row],[Duree_Cumulee_Panne_Min]]&gt;0,1,0)</f>
        <v>1</v>
      </c>
      <c r="L350" t="str">
        <f>IF(CLIENTS_CHURN[[#This Row],[Type_Forfait]]="Pro Monde","B2B","B2C")</f>
        <v>B2C</v>
      </c>
    </row>
    <row r="351" spans="1:12" x14ac:dyDescent="0.25">
      <c r="A351" s="1">
        <f t="shared" si="5"/>
        <v>350</v>
      </c>
      <c r="B351" s="1" t="s">
        <v>724</v>
      </c>
      <c r="C351" s="1" t="s">
        <v>124</v>
      </c>
      <c r="D351" s="1">
        <v>110</v>
      </c>
      <c r="E351" s="1" t="s">
        <v>9</v>
      </c>
      <c r="F351" s="1">
        <v>289</v>
      </c>
      <c r="G351" s="9">
        <v>83.67</v>
      </c>
      <c r="H351" s="1">
        <v>4</v>
      </c>
      <c r="I3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1" s="9">
        <f>CLIENTS_CHURN[[#This Row],[Facture_Mensuelle]]*CLIENTS_CHURN[[#This Row],[Remise (%)]]</f>
        <v>37.651499999999999</v>
      </c>
      <c r="K351">
        <f>IF(CLIENTS_CHURN[[#This Row],[Duree_Cumulee_Panne_Min]]&gt;0,1,0)</f>
        <v>1</v>
      </c>
      <c r="L351" t="str">
        <f>IF(CLIENTS_CHURN[[#This Row],[Type_Forfait]]="Pro Monde","B2B","B2C")</f>
        <v>B2C</v>
      </c>
    </row>
    <row r="352" spans="1:12" x14ac:dyDescent="0.25">
      <c r="A352" s="1">
        <f t="shared" si="5"/>
        <v>351</v>
      </c>
      <c r="B352" s="1" t="s">
        <v>764</v>
      </c>
      <c r="C352" s="1" t="s">
        <v>60</v>
      </c>
      <c r="D352" s="1">
        <v>82</v>
      </c>
      <c r="E352" s="1" t="s">
        <v>12</v>
      </c>
      <c r="F352" s="1">
        <v>312</v>
      </c>
      <c r="G352" s="9">
        <v>40.880000000000003</v>
      </c>
      <c r="H352" s="1">
        <v>0</v>
      </c>
      <c r="I3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2" s="9">
        <f>CLIENTS_CHURN[[#This Row],[Facture_Mensuelle]]*CLIENTS_CHURN[[#This Row],[Remise (%)]]</f>
        <v>18.396000000000001</v>
      </c>
      <c r="K352">
        <f>IF(CLIENTS_CHURN[[#This Row],[Duree_Cumulee_Panne_Min]]&gt;0,1,0)</f>
        <v>1</v>
      </c>
      <c r="L352" t="str">
        <f>IF(CLIENTS_CHURN[[#This Row],[Type_Forfait]]="Pro Monde","B2B","B2C")</f>
        <v>B2B</v>
      </c>
    </row>
    <row r="353" spans="1:12" x14ac:dyDescent="0.25">
      <c r="A353" s="1">
        <f t="shared" si="5"/>
        <v>352</v>
      </c>
      <c r="B353" s="1" t="s">
        <v>716</v>
      </c>
      <c r="C353" s="1" t="s">
        <v>86</v>
      </c>
      <c r="D353" s="1">
        <v>1</v>
      </c>
      <c r="E353" s="1" t="s">
        <v>12</v>
      </c>
      <c r="F353" s="1">
        <v>424</v>
      </c>
      <c r="G353" s="9">
        <v>59.2</v>
      </c>
      <c r="H353" s="1">
        <v>2</v>
      </c>
      <c r="I3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3" s="9">
        <f>CLIENTS_CHURN[[#This Row],[Facture_Mensuelle]]*CLIENTS_CHURN[[#This Row],[Remise (%)]]</f>
        <v>26.64</v>
      </c>
      <c r="K353">
        <f>IF(CLIENTS_CHURN[[#This Row],[Duree_Cumulee_Panne_Min]]&gt;0,1,0)</f>
        <v>1</v>
      </c>
      <c r="L353" t="str">
        <f>IF(CLIENTS_CHURN[[#This Row],[Type_Forfait]]="Pro Monde","B2B","B2C")</f>
        <v>B2B</v>
      </c>
    </row>
    <row r="354" spans="1:12" x14ac:dyDescent="0.25">
      <c r="A354" s="1">
        <f t="shared" si="5"/>
        <v>353</v>
      </c>
      <c r="B354" s="1" t="s">
        <v>142</v>
      </c>
      <c r="C354" s="1" t="s">
        <v>19</v>
      </c>
      <c r="D354" s="1">
        <v>72</v>
      </c>
      <c r="E354" s="1" t="s">
        <v>9</v>
      </c>
      <c r="F354" s="1">
        <v>5</v>
      </c>
      <c r="G354" s="9">
        <v>68.650000000000006</v>
      </c>
      <c r="H354" s="1">
        <v>0</v>
      </c>
      <c r="I3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54" s="9">
        <f>CLIENTS_CHURN[[#This Row],[Facture_Mensuelle]]*CLIENTS_CHURN[[#This Row],[Remise (%)]]</f>
        <v>0</v>
      </c>
      <c r="K354">
        <f>IF(CLIENTS_CHURN[[#This Row],[Duree_Cumulee_Panne_Min]]&gt;0,1,0)</f>
        <v>1</v>
      </c>
      <c r="L354" t="str">
        <f>IF(CLIENTS_CHURN[[#This Row],[Type_Forfait]]="Pro Monde","B2B","B2C")</f>
        <v>B2C</v>
      </c>
    </row>
    <row r="355" spans="1:12" x14ac:dyDescent="0.25">
      <c r="A355" s="1">
        <f t="shared" si="5"/>
        <v>354</v>
      </c>
      <c r="B355" s="1" t="s">
        <v>150</v>
      </c>
      <c r="C355" s="1" t="s">
        <v>62</v>
      </c>
      <c r="D355" s="1">
        <v>7</v>
      </c>
      <c r="E355" s="1" t="s">
        <v>9</v>
      </c>
      <c r="F355" s="1">
        <v>317</v>
      </c>
      <c r="G355" s="9">
        <v>97.32</v>
      </c>
      <c r="H355" s="1">
        <v>1</v>
      </c>
      <c r="I3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5" s="9">
        <f>CLIENTS_CHURN[[#This Row],[Facture_Mensuelle]]*CLIENTS_CHURN[[#This Row],[Remise (%)]]</f>
        <v>43.793999999999997</v>
      </c>
      <c r="K355">
        <f>IF(CLIENTS_CHURN[[#This Row],[Duree_Cumulee_Panne_Min]]&gt;0,1,0)</f>
        <v>1</v>
      </c>
      <c r="L355" t="str">
        <f>IF(CLIENTS_CHURN[[#This Row],[Type_Forfait]]="Pro Monde","B2B","B2C")</f>
        <v>B2C</v>
      </c>
    </row>
    <row r="356" spans="1:12" x14ac:dyDescent="0.25">
      <c r="A356" s="1">
        <f t="shared" si="5"/>
        <v>355</v>
      </c>
      <c r="B356" s="1" t="s">
        <v>584</v>
      </c>
      <c r="C356" s="1" t="s">
        <v>124</v>
      </c>
      <c r="D356" s="1">
        <v>65</v>
      </c>
      <c r="E356" s="1" t="s">
        <v>12</v>
      </c>
      <c r="F356" s="1">
        <v>274</v>
      </c>
      <c r="G356" s="9">
        <v>88.1</v>
      </c>
      <c r="H356" s="1">
        <v>4</v>
      </c>
      <c r="I3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6" s="9">
        <f>CLIENTS_CHURN[[#This Row],[Facture_Mensuelle]]*CLIENTS_CHURN[[#This Row],[Remise (%)]]</f>
        <v>39.644999999999996</v>
      </c>
      <c r="K356">
        <f>IF(CLIENTS_CHURN[[#This Row],[Duree_Cumulee_Panne_Min]]&gt;0,1,0)</f>
        <v>1</v>
      </c>
      <c r="L356" t="str">
        <f>IF(CLIENTS_CHURN[[#This Row],[Type_Forfait]]="Pro Monde","B2B","B2C")</f>
        <v>B2B</v>
      </c>
    </row>
    <row r="357" spans="1:12" x14ac:dyDescent="0.25">
      <c r="A357" s="1">
        <f t="shared" si="5"/>
        <v>356</v>
      </c>
      <c r="B357" s="1" t="s">
        <v>682</v>
      </c>
      <c r="C357" s="1" t="s">
        <v>49</v>
      </c>
      <c r="D357" s="1">
        <v>16</v>
      </c>
      <c r="E357" s="1" t="s">
        <v>9</v>
      </c>
      <c r="F357" s="1">
        <v>96</v>
      </c>
      <c r="G357" s="9">
        <v>86.78</v>
      </c>
      <c r="H357" s="1">
        <v>1</v>
      </c>
      <c r="I3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57" s="9">
        <f>CLIENTS_CHURN[[#This Row],[Facture_Mensuelle]]*CLIENTS_CHURN[[#This Row],[Remise (%)]]</f>
        <v>0</v>
      </c>
      <c r="K357">
        <f>IF(CLIENTS_CHURN[[#This Row],[Duree_Cumulee_Panne_Min]]&gt;0,1,0)</f>
        <v>1</v>
      </c>
      <c r="L357" t="str">
        <f>IF(CLIENTS_CHURN[[#This Row],[Type_Forfait]]="Pro Monde","B2B","B2C")</f>
        <v>B2C</v>
      </c>
    </row>
    <row r="358" spans="1:12" x14ac:dyDescent="0.25">
      <c r="A358" s="1">
        <f t="shared" si="5"/>
        <v>357</v>
      </c>
      <c r="B358" s="1" t="s">
        <v>617</v>
      </c>
      <c r="C358" s="1" t="s">
        <v>11</v>
      </c>
      <c r="D358" s="1">
        <v>74</v>
      </c>
      <c r="E358" s="1" t="s">
        <v>17</v>
      </c>
      <c r="F358" s="1">
        <v>265</v>
      </c>
      <c r="G358" s="9">
        <v>90.81</v>
      </c>
      <c r="H358" s="1">
        <v>3</v>
      </c>
      <c r="I3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58" s="9">
        <f>CLIENTS_CHURN[[#This Row],[Facture_Mensuelle]]*CLIENTS_CHURN[[#This Row],[Remise (%)]]</f>
        <v>40.8645</v>
      </c>
      <c r="K358">
        <f>IF(CLIENTS_CHURN[[#This Row],[Duree_Cumulee_Panne_Min]]&gt;0,1,0)</f>
        <v>1</v>
      </c>
      <c r="L358" t="str">
        <f>IF(CLIENTS_CHURN[[#This Row],[Type_Forfait]]="Pro Monde","B2B","B2C")</f>
        <v>B2C</v>
      </c>
    </row>
    <row r="359" spans="1:12" x14ac:dyDescent="0.25">
      <c r="A359" s="1">
        <f t="shared" si="5"/>
        <v>358</v>
      </c>
      <c r="B359" s="1" t="s">
        <v>277</v>
      </c>
      <c r="C359" s="1" t="s">
        <v>134</v>
      </c>
      <c r="D359" s="1">
        <v>106</v>
      </c>
      <c r="E359" s="1" t="s">
        <v>20</v>
      </c>
      <c r="F359" s="1">
        <v>128</v>
      </c>
      <c r="G359" s="9">
        <v>35.96</v>
      </c>
      <c r="H359" s="1">
        <v>2</v>
      </c>
      <c r="I3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59" s="9">
        <f>CLIENTS_CHURN[[#This Row],[Facture_Mensuelle]]*CLIENTS_CHURN[[#This Row],[Remise (%)]]</f>
        <v>0</v>
      </c>
      <c r="K359">
        <f>IF(CLIENTS_CHURN[[#This Row],[Duree_Cumulee_Panne_Min]]&gt;0,1,0)</f>
        <v>1</v>
      </c>
      <c r="L359" t="str">
        <f>IF(CLIENTS_CHURN[[#This Row],[Type_Forfait]]="Pro Monde","B2B","B2C")</f>
        <v>B2C</v>
      </c>
    </row>
    <row r="360" spans="1:12" x14ac:dyDescent="0.25">
      <c r="A360" s="1">
        <f t="shared" si="5"/>
        <v>359</v>
      </c>
      <c r="B360" s="1" t="s">
        <v>525</v>
      </c>
      <c r="C360" s="1" t="s">
        <v>38</v>
      </c>
      <c r="D360" s="1">
        <v>50</v>
      </c>
      <c r="E360" s="1" t="s">
        <v>20</v>
      </c>
      <c r="F360" s="1">
        <v>357</v>
      </c>
      <c r="G360" s="9">
        <v>17</v>
      </c>
      <c r="H360" s="1">
        <v>3</v>
      </c>
      <c r="I3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60" s="9">
        <f>CLIENTS_CHURN[[#This Row],[Facture_Mensuelle]]*CLIENTS_CHURN[[#This Row],[Remise (%)]]</f>
        <v>7.65</v>
      </c>
      <c r="K360">
        <f>IF(CLIENTS_CHURN[[#This Row],[Duree_Cumulee_Panne_Min]]&gt;0,1,0)</f>
        <v>1</v>
      </c>
      <c r="L360" t="str">
        <f>IF(CLIENTS_CHURN[[#This Row],[Type_Forfait]]="Pro Monde","B2B","B2C")</f>
        <v>B2C</v>
      </c>
    </row>
    <row r="361" spans="1:12" x14ac:dyDescent="0.25">
      <c r="A361" s="1">
        <f t="shared" si="5"/>
        <v>360</v>
      </c>
      <c r="B361" s="1" t="s">
        <v>704</v>
      </c>
      <c r="C361" s="1" t="s">
        <v>27</v>
      </c>
      <c r="D361" s="1">
        <v>37</v>
      </c>
      <c r="E361" s="1" t="s">
        <v>20</v>
      </c>
      <c r="F361" s="1">
        <v>3</v>
      </c>
      <c r="G361" s="9">
        <v>20.89</v>
      </c>
      <c r="H361" s="1">
        <v>5</v>
      </c>
      <c r="I3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1" s="9">
        <f>CLIENTS_CHURN[[#This Row],[Facture_Mensuelle]]*CLIENTS_CHURN[[#This Row],[Remise (%)]]</f>
        <v>0</v>
      </c>
      <c r="K361">
        <f>IF(CLIENTS_CHURN[[#This Row],[Duree_Cumulee_Panne_Min]]&gt;0,1,0)</f>
        <v>1</v>
      </c>
      <c r="L361" t="str">
        <f>IF(CLIENTS_CHURN[[#This Row],[Type_Forfait]]="Pro Monde","B2B","B2C")</f>
        <v>B2C</v>
      </c>
    </row>
    <row r="362" spans="1:12" x14ac:dyDescent="0.25">
      <c r="A362" s="1">
        <f t="shared" si="5"/>
        <v>361</v>
      </c>
      <c r="B362" s="1" t="s">
        <v>477</v>
      </c>
      <c r="C362" s="1" t="s">
        <v>35</v>
      </c>
      <c r="D362" s="1">
        <v>71</v>
      </c>
      <c r="E362" s="1" t="s">
        <v>20</v>
      </c>
      <c r="F362" s="1">
        <v>68</v>
      </c>
      <c r="G362" s="9">
        <v>53.11</v>
      </c>
      <c r="H362" s="1">
        <v>2</v>
      </c>
      <c r="I3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2" s="9">
        <f>CLIENTS_CHURN[[#This Row],[Facture_Mensuelle]]*CLIENTS_CHURN[[#This Row],[Remise (%)]]</f>
        <v>0</v>
      </c>
      <c r="K362">
        <f>IF(CLIENTS_CHURN[[#This Row],[Duree_Cumulee_Panne_Min]]&gt;0,1,0)</f>
        <v>1</v>
      </c>
      <c r="L362" t="str">
        <f>IF(CLIENTS_CHURN[[#This Row],[Type_Forfait]]="Pro Monde","B2B","B2C")</f>
        <v>B2C</v>
      </c>
    </row>
    <row r="363" spans="1:12" x14ac:dyDescent="0.25">
      <c r="A363" s="1">
        <f t="shared" si="5"/>
        <v>362</v>
      </c>
      <c r="B363" s="1" t="s">
        <v>48</v>
      </c>
      <c r="C363" s="1" t="s">
        <v>49</v>
      </c>
      <c r="D363" s="1">
        <v>119</v>
      </c>
      <c r="E363" s="1" t="s">
        <v>20</v>
      </c>
      <c r="F363" s="1">
        <v>228</v>
      </c>
      <c r="G363" s="9">
        <v>94.72</v>
      </c>
      <c r="H363" s="1">
        <v>3</v>
      </c>
      <c r="I3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3" s="9">
        <f>CLIENTS_CHURN[[#This Row],[Facture_Mensuelle]]*CLIENTS_CHURN[[#This Row],[Remise (%)]]</f>
        <v>0</v>
      </c>
      <c r="K363">
        <f>IF(CLIENTS_CHURN[[#This Row],[Duree_Cumulee_Panne_Min]]&gt;0,1,0)</f>
        <v>1</v>
      </c>
      <c r="L363" t="str">
        <f>IF(CLIENTS_CHURN[[#This Row],[Type_Forfait]]="Pro Monde","B2B","B2C")</f>
        <v>B2C</v>
      </c>
    </row>
    <row r="364" spans="1:12" x14ac:dyDescent="0.25">
      <c r="A364" s="1">
        <f t="shared" si="5"/>
        <v>363</v>
      </c>
      <c r="B364" s="1" t="s">
        <v>687</v>
      </c>
      <c r="C364" s="1" t="s">
        <v>16</v>
      </c>
      <c r="D364" s="1">
        <v>20</v>
      </c>
      <c r="E364" s="1" t="s">
        <v>17</v>
      </c>
      <c r="F364" s="1">
        <v>297</v>
      </c>
      <c r="G364" s="9">
        <v>14.77</v>
      </c>
      <c r="H364" s="1">
        <v>0</v>
      </c>
      <c r="I3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64" s="9">
        <f>CLIENTS_CHURN[[#This Row],[Facture_Mensuelle]]*CLIENTS_CHURN[[#This Row],[Remise (%)]]</f>
        <v>6.6464999999999996</v>
      </c>
      <c r="K364">
        <f>IF(CLIENTS_CHURN[[#This Row],[Duree_Cumulee_Panne_Min]]&gt;0,1,0)</f>
        <v>1</v>
      </c>
      <c r="L364" t="str">
        <f>IF(CLIENTS_CHURN[[#This Row],[Type_Forfait]]="Pro Monde","B2B","B2C")</f>
        <v>B2C</v>
      </c>
    </row>
    <row r="365" spans="1:12" x14ac:dyDescent="0.25">
      <c r="A365" s="1">
        <f t="shared" si="5"/>
        <v>364</v>
      </c>
      <c r="B365" s="1" t="s">
        <v>746</v>
      </c>
      <c r="C365" s="1" t="s">
        <v>27</v>
      </c>
      <c r="D365" s="1">
        <v>109</v>
      </c>
      <c r="E365" s="1" t="s">
        <v>20</v>
      </c>
      <c r="F365" s="1">
        <v>104</v>
      </c>
      <c r="G365" s="9">
        <v>12.37</v>
      </c>
      <c r="H365" s="1">
        <v>5</v>
      </c>
      <c r="I3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5" s="9">
        <f>CLIENTS_CHURN[[#This Row],[Facture_Mensuelle]]*CLIENTS_CHURN[[#This Row],[Remise (%)]]</f>
        <v>0</v>
      </c>
      <c r="K365">
        <f>IF(CLIENTS_CHURN[[#This Row],[Duree_Cumulee_Panne_Min]]&gt;0,1,0)</f>
        <v>1</v>
      </c>
      <c r="L365" t="str">
        <f>IF(CLIENTS_CHURN[[#This Row],[Type_Forfait]]="Pro Monde","B2B","B2C")</f>
        <v>B2C</v>
      </c>
    </row>
    <row r="366" spans="1:12" x14ac:dyDescent="0.25">
      <c r="A366" s="1">
        <f t="shared" si="5"/>
        <v>365</v>
      </c>
      <c r="B366" s="1" t="s">
        <v>752</v>
      </c>
      <c r="C366" s="1" t="s">
        <v>71</v>
      </c>
      <c r="D366" s="1">
        <v>78</v>
      </c>
      <c r="E366" s="1" t="s">
        <v>9</v>
      </c>
      <c r="F366" s="1">
        <v>387</v>
      </c>
      <c r="G366" s="9">
        <v>11.63</v>
      </c>
      <c r="H366" s="1">
        <v>2</v>
      </c>
      <c r="I3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66" s="9">
        <f>CLIENTS_CHURN[[#This Row],[Facture_Mensuelle]]*CLIENTS_CHURN[[#This Row],[Remise (%)]]</f>
        <v>5.2335000000000003</v>
      </c>
      <c r="K366">
        <f>IF(CLIENTS_CHURN[[#This Row],[Duree_Cumulee_Panne_Min]]&gt;0,1,0)</f>
        <v>1</v>
      </c>
      <c r="L366" t="str">
        <f>IF(CLIENTS_CHURN[[#This Row],[Type_Forfait]]="Pro Monde","B2B","B2C")</f>
        <v>B2C</v>
      </c>
    </row>
    <row r="367" spans="1:12" x14ac:dyDescent="0.25">
      <c r="A367" s="1">
        <f t="shared" si="5"/>
        <v>366</v>
      </c>
      <c r="B367" s="1" t="s">
        <v>581</v>
      </c>
      <c r="C367" s="1" t="s">
        <v>38</v>
      </c>
      <c r="D367" s="1">
        <v>11</v>
      </c>
      <c r="E367" s="1" t="s">
        <v>12</v>
      </c>
      <c r="F367" s="1">
        <v>214</v>
      </c>
      <c r="G367" s="9">
        <v>11.46</v>
      </c>
      <c r="H367" s="1">
        <v>5</v>
      </c>
      <c r="I3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67" s="9">
        <f>CLIENTS_CHURN[[#This Row],[Facture_Mensuelle]]*CLIENTS_CHURN[[#This Row],[Remise (%)]]</f>
        <v>1.1460000000000001</v>
      </c>
      <c r="K367">
        <f>IF(CLIENTS_CHURN[[#This Row],[Duree_Cumulee_Panne_Min]]&gt;0,1,0)</f>
        <v>1</v>
      </c>
      <c r="L367" t="str">
        <f>IF(CLIENTS_CHURN[[#This Row],[Type_Forfait]]="Pro Monde","B2B","B2C")</f>
        <v>B2B</v>
      </c>
    </row>
    <row r="368" spans="1:12" x14ac:dyDescent="0.25">
      <c r="A368" s="1">
        <f t="shared" si="5"/>
        <v>367</v>
      </c>
      <c r="B368" s="1" t="s">
        <v>133</v>
      </c>
      <c r="C368" s="1" t="s">
        <v>134</v>
      </c>
      <c r="D368" s="1">
        <v>80</v>
      </c>
      <c r="E368" s="1" t="s">
        <v>20</v>
      </c>
      <c r="F368" s="1">
        <v>155</v>
      </c>
      <c r="G368" s="9">
        <v>28.96</v>
      </c>
      <c r="H368" s="1">
        <v>2</v>
      </c>
      <c r="I3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8" s="9">
        <f>CLIENTS_CHURN[[#This Row],[Facture_Mensuelle]]*CLIENTS_CHURN[[#This Row],[Remise (%)]]</f>
        <v>0</v>
      </c>
      <c r="K368">
        <f>IF(CLIENTS_CHURN[[#This Row],[Duree_Cumulee_Panne_Min]]&gt;0,1,0)</f>
        <v>1</v>
      </c>
      <c r="L368" t="str">
        <f>IF(CLIENTS_CHURN[[#This Row],[Type_Forfait]]="Pro Monde","B2B","B2C")</f>
        <v>B2C</v>
      </c>
    </row>
    <row r="369" spans="1:12" x14ac:dyDescent="0.25">
      <c r="A369" s="1">
        <f t="shared" si="5"/>
        <v>368</v>
      </c>
      <c r="B369" s="1" t="s">
        <v>569</v>
      </c>
      <c r="C369" s="1" t="s">
        <v>86</v>
      </c>
      <c r="D369" s="1">
        <v>110</v>
      </c>
      <c r="E369" s="1" t="s">
        <v>20</v>
      </c>
      <c r="F369" s="1">
        <v>47</v>
      </c>
      <c r="G369" s="9">
        <v>29.68</v>
      </c>
      <c r="H369" s="1">
        <v>0</v>
      </c>
      <c r="I3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69" s="9">
        <f>CLIENTS_CHURN[[#This Row],[Facture_Mensuelle]]*CLIENTS_CHURN[[#This Row],[Remise (%)]]</f>
        <v>0</v>
      </c>
      <c r="K369">
        <f>IF(CLIENTS_CHURN[[#This Row],[Duree_Cumulee_Panne_Min]]&gt;0,1,0)</f>
        <v>1</v>
      </c>
      <c r="L369" t="str">
        <f>IF(CLIENTS_CHURN[[#This Row],[Type_Forfait]]="Pro Monde","B2B","B2C")</f>
        <v>B2C</v>
      </c>
    </row>
    <row r="370" spans="1:12" x14ac:dyDescent="0.25">
      <c r="A370" s="1">
        <f t="shared" si="5"/>
        <v>369</v>
      </c>
      <c r="B370" s="1" t="s">
        <v>214</v>
      </c>
      <c r="C370" s="1" t="s">
        <v>42</v>
      </c>
      <c r="D370" s="1">
        <v>5</v>
      </c>
      <c r="E370" s="1" t="s">
        <v>17</v>
      </c>
      <c r="F370" s="1">
        <v>239</v>
      </c>
      <c r="G370" s="9">
        <v>26.95</v>
      </c>
      <c r="H370" s="1">
        <v>2</v>
      </c>
      <c r="I3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70" s="9">
        <f>CLIENTS_CHURN[[#This Row],[Facture_Mensuelle]]*CLIENTS_CHURN[[#This Row],[Remise (%)]]</f>
        <v>0</v>
      </c>
      <c r="K370">
        <f>IF(CLIENTS_CHURN[[#This Row],[Duree_Cumulee_Panne_Min]]&gt;0,1,0)</f>
        <v>1</v>
      </c>
      <c r="L370" t="str">
        <f>IF(CLIENTS_CHURN[[#This Row],[Type_Forfait]]="Pro Monde","B2B","B2C")</f>
        <v>B2C</v>
      </c>
    </row>
    <row r="371" spans="1:12" x14ac:dyDescent="0.25">
      <c r="A371" s="1">
        <f t="shared" si="5"/>
        <v>370</v>
      </c>
      <c r="B371" s="1" t="s">
        <v>419</v>
      </c>
      <c r="C371" s="1" t="s">
        <v>76</v>
      </c>
      <c r="D371" s="1">
        <v>90</v>
      </c>
      <c r="E371" s="1" t="s">
        <v>17</v>
      </c>
      <c r="F371" s="1">
        <v>216</v>
      </c>
      <c r="G371" s="9">
        <v>45.58</v>
      </c>
      <c r="H371" s="1">
        <v>0</v>
      </c>
      <c r="I3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71" s="9">
        <f>CLIENTS_CHURN[[#This Row],[Facture_Mensuelle]]*CLIENTS_CHURN[[#This Row],[Remise (%)]]</f>
        <v>0</v>
      </c>
      <c r="K371">
        <f>IF(CLIENTS_CHURN[[#This Row],[Duree_Cumulee_Panne_Min]]&gt;0,1,0)</f>
        <v>1</v>
      </c>
      <c r="L371" t="str">
        <f>IF(CLIENTS_CHURN[[#This Row],[Type_Forfait]]="Pro Monde","B2B","B2C")</f>
        <v>B2C</v>
      </c>
    </row>
    <row r="372" spans="1:12" x14ac:dyDescent="0.25">
      <c r="A372" s="1">
        <f t="shared" si="5"/>
        <v>371</v>
      </c>
      <c r="B372" s="1" t="s">
        <v>331</v>
      </c>
      <c r="C372" s="1" t="s">
        <v>16</v>
      </c>
      <c r="D372" s="1">
        <v>105</v>
      </c>
      <c r="E372" s="1" t="s">
        <v>20</v>
      </c>
      <c r="F372" s="1">
        <v>3</v>
      </c>
      <c r="G372" s="9">
        <v>71.010000000000005</v>
      </c>
      <c r="H372" s="1">
        <v>1</v>
      </c>
      <c r="I3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72" s="9">
        <f>CLIENTS_CHURN[[#This Row],[Facture_Mensuelle]]*CLIENTS_CHURN[[#This Row],[Remise (%)]]</f>
        <v>0</v>
      </c>
      <c r="K372">
        <f>IF(CLIENTS_CHURN[[#This Row],[Duree_Cumulee_Panne_Min]]&gt;0,1,0)</f>
        <v>1</v>
      </c>
      <c r="L372" t="str">
        <f>IF(CLIENTS_CHURN[[#This Row],[Type_Forfait]]="Pro Monde","B2B","B2C")</f>
        <v>B2C</v>
      </c>
    </row>
    <row r="373" spans="1:12" x14ac:dyDescent="0.25">
      <c r="A373" s="1">
        <f t="shared" si="5"/>
        <v>372</v>
      </c>
      <c r="B373" s="1" t="s">
        <v>471</v>
      </c>
      <c r="C373" s="1" t="s">
        <v>38</v>
      </c>
      <c r="D373" s="1">
        <v>39</v>
      </c>
      <c r="E373" s="1" t="s">
        <v>20</v>
      </c>
      <c r="F373" s="1">
        <v>327</v>
      </c>
      <c r="G373" s="9">
        <v>87.24</v>
      </c>
      <c r="H373" s="1">
        <v>4</v>
      </c>
      <c r="I3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3" s="9">
        <f>CLIENTS_CHURN[[#This Row],[Facture_Mensuelle]]*CLIENTS_CHURN[[#This Row],[Remise (%)]]</f>
        <v>39.257999999999996</v>
      </c>
      <c r="K373">
        <f>IF(CLIENTS_CHURN[[#This Row],[Duree_Cumulee_Panne_Min]]&gt;0,1,0)</f>
        <v>1</v>
      </c>
      <c r="L373" t="str">
        <f>IF(CLIENTS_CHURN[[#This Row],[Type_Forfait]]="Pro Monde","B2B","B2C")</f>
        <v>B2C</v>
      </c>
    </row>
    <row r="374" spans="1:12" x14ac:dyDescent="0.25">
      <c r="A374" s="1">
        <f t="shared" si="5"/>
        <v>373</v>
      </c>
      <c r="B374" s="1" t="s">
        <v>607</v>
      </c>
      <c r="C374" s="1" t="s">
        <v>22</v>
      </c>
      <c r="D374" s="1">
        <v>21</v>
      </c>
      <c r="E374" s="1" t="s">
        <v>17</v>
      </c>
      <c r="F374" s="1">
        <v>267</v>
      </c>
      <c r="G374" s="9">
        <v>74.989999999999995</v>
      </c>
      <c r="H374" s="1">
        <v>1</v>
      </c>
      <c r="I3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4" s="9">
        <f>CLIENTS_CHURN[[#This Row],[Facture_Mensuelle]]*CLIENTS_CHURN[[#This Row],[Remise (%)]]</f>
        <v>33.7455</v>
      </c>
      <c r="K374">
        <f>IF(CLIENTS_CHURN[[#This Row],[Duree_Cumulee_Panne_Min]]&gt;0,1,0)</f>
        <v>1</v>
      </c>
      <c r="L374" t="str">
        <f>IF(CLIENTS_CHURN[[#This Row],[Type_Forfait]]="Pro Monde","B2B","B2C")</f>
        <v>B2C</v>
      </c>
    </row>
    <row r="375" spans="1:12" x14ac:dyDescent="0.25">
      <c r="A375" s="1">
        <f t="shared" si="5"/>
        <v>374</v>
      </c>
      <c r="B375" s="1" t="s">
        <v>740</v>
      </c>
      <c r="C375" s="1" t="s">
        <v>14</v>
      </c>
      <c r="D375" s="1">
        <v>9</v>
      </c>
      <c r="E375" s="1" t="s">
        <v>20</v>
      </c>
      <c r="F375" s="1">
        <v>102</v>
      </c>
      <c r="G375" s="9">
        <v>41.52</v>
      </c>
      <c r="H375" s="1">
        <v>0</v>
      </c>
      <c r="I3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75" s="9">
        <f>CLIENTS_CHURN[[#This Row],[Facture_Mensuelle]]*CLIENTS_CHURN[[#This Row],[Remise (%)]]</f>
        <v>0</v>
      </c>
      <c r="K375">
        <f>IF(CLIENTS_CHURN[[#This Row],[Duree_Cumulee_Panne_Min]]&gt;0,1,0)</f>
        <v>1</v>
      </c>
      <c r="L375" t="str">
        <f>IF(CLIENTS_CHURN[[#This Row],[Type_Forfait]]="Pro Monde","B2B","B2C")</f>
        <v>B2C</v>
      </c>
    </row>
    <row r="376" spans="1:12" x14ac:dyDescent="0.25">
      <c r="A376" s="1">
        <f t="shared" si="5"/>
        <v>375</v>
      </c>
      <c r="B376" s="1" t="s">
        <v>99</v>
      </c>
      <c r="C376" s="1" t="s">
        <v>22</v>
      </c>
      <c r="D376" s="1">
        <v>53</v>
      </c>
      <c r="E376" s="1" t="s">
        <v>12</v>
      </c>
      <c r="F376" s="1">
        <v>385</v>
      </c>
      <c r="G376" s="9">
        <v>68.78</v>
      </c>
      <c r="H376" s="1">
        <v>3</v>
      </c>
      <c r="I3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6" s="9">
        <f>CLIENTS_CHURN[[#This Row],[Facture_Mensuelle]]*CLIENTS_CHURN[[#This Row],[Remise (%)]]</f>
        <v>30.951000000000001</v>
      </c>
      <c r="K376">
        <f>IF(CLIENTS_CHURN[[#This Row],[Duree_Cumulee_Panne_Min]]&gt;0,1,0)</f>
        <v>1</v>
      </c>
      <c r="L376" t="str">
        <f>IF(CLIENTS_CHURN[[#This Row],[Type_Forfait]]="Pro Monde","B2B","B2C")</f>
        <v>B2B</v>
      </c>
    </row>
    <row r="377" spans="1:12" x14ac:dyDescent="0.25">
      <c r="A377" s="1">
        <f t="shared" si="5"/>
        <v>376</v>
      </c>
      <c r="B377" s="1" t="s">
        <v>505</v>
      </c>
      <c r="C377" s="1" t="s">
        <v>55</v>
      </c>
      <c r="D377" s="1">
        <v>64</v>
      </c>
      <c r="E377" s="1" t="s">
        <v>12</v>
      </c>
      <c r="F377" s="1">
        <v>15</v>
      </c>
      <c r="G377" s="9">
        <v>56.94</v>
      </c>
      <c r="H377" s="1">
        <v>4</v>
      </c>
      <c r="I3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77" s="9">
        <f>CLIENTS_CHURN[[#This Row],[Facture_Mensuelle]]*CLIENTS_CHURN[[#This Row],[Remise (%)]]</f>
        <v>5.694</v>
      </c>
      <c r="K377">
        <f>IF(CLIENTS_CHURN[[#This Row],[Duree_Cumulee_Panne_Min]]&gt;0,1,0)</f>
        <v>1</v>
      </c>
      <c r="L377" t="str">
        <f>IF(CLIENTS_CHURN[[#This Row],[Type_Forfait]]="Pro Monde","B2B","B2C")</f>
        <v>B2B</v>
      </c>
    </row>
    <row r="378" spans="1:12" x14ac:dyDescent="0.25">
      <c r="A378" s="1">
        <f t="shared" si="5"/>
        <v>377</v>
      </c>
      <c r="B378" s="1" t="s">
        <v>434</v>
      </c>
      <c r="C378" s="1" t="s">
        <v>38</v>
      </c>
      <c r="D378" s="1">
        <v>45</v>
      </c>
      <c r="E378" s="1" t="s">
        <v>17</v>
      </c>
      <c r="F378" s="1">
        <v>439</v>
      </c>
      <c r="G378" s="9">
        <v>13.62</v>
      </c>
      <c r="H378" s="1">
        <v>4</v>
      </c>
      <c r="I3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8" s="9">
        <f>CLIENTS_CHURN[[#This Row],[Facture_Mensuelle]]*CLIENTS_CHURN[[#This Row],[Remise (%)]]</f>
        <v>6.1289999999999996</v>
      </c>
      <c r="K378">
        <f>IF(CLIENTS_CHURN[[#This Row],[Duree_Cumulee_Panne_Min]]&gt;0,1,0)</f>
        <v>1</v>
      </c>
      <c r="L378" t="str">
        <f>IF(CLIENTS_CHURN[[#This Row],[Type_Forfait]]="Pro Monde","B2B","B2C")</f>
        <v>B2C</v>
      </c>
    </row>
    <row r="379" spans="1:12" x14ac:dyDescent="0.25">
      <c r="A379" s="1">
        <f t="shared" si="5"/>
        <v>378</v>
      </c>
      <c r="B379" s="1" t="s">
        <v>88</v>
      </c>
      <c r="C379" s="1" t="s">
        <v>60</v>
      </c>
      <c r="D379" s="1">
        <v>86</v>
      </c>
      <c r="E379" s="1" t="s">
        <v>17</v>
      </c>
      <c r="F379" s="1">
        <v>460</v>
      </c>
      <c r="G379" s="9">
        <v>22.81</v>
      </c>
      <c r="H379" s="1">
        <v>4</v>
      </c>
      <c r="I3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79" s="9">
        <f>CLIENTS_CHURN[[#This Row],[Facture_Mensuelle]]*CLIENTS_CHURN[[#This Row],[Remise (%)]]</f>
        <v>10.2645</v>
      </c>
      <c r="K379">
        <f>IF(CLIENTS_CHURN[[#This Row],[Duree_Cumulee_Panne_Min]]&gt;0,1,0)</f>
        <v>1</v>
      </c>
      <c r="L379" t="str">
        <f>IF(CLIENTS_CHURN[[#This Row],[Type_Forfait]]="Pro Monde","B2B","B2C")</f>
        <v>B2C</v>
      </c>
    </row>
    <row r="380" spans="1:12" x14ac:dyDescent="0.25">
      <c r="A380" s="1">
        <f t="shared" si="5"/>
        <v>379</v>
      </c>
      <c r="B380" s="1" t="s">
        <v>418</v>
      </c>
      <c r="C380" s="1" t="s">
        <v>42</v>
      </c>
      <c r="D380" s="1">
        <v>45</v>
      </c>
      <c r="E380" s="1" t="s">
        <v>20</v>
      </c>
      <c r="F380" s="1">
        <v>26</v>
      </c>
      <c r="G380" s="9">
        <v>30.35</v>
      </c>
      <c r="H380" s="1">
        <v>1</v>
      </c>
      <c r="I3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0" s="9">
        <f>CLIENTS_CHURN[[#This Row],[Facture_Mensuelle]]*CLIENTS_CHURN[[#This Row],[Remise (%)]]</f>
        <v>0</v>
      </c>
      <c r="K380">
        <f>IF(CLIENTS_CHURN[[#This Row],[Duree_Cumulee_Panne_Min]]&gt;0,1,0)</f>
        <v>1</v>
      </c>
      <c r="L380" t="str">
        <f>IF(CLIENTS_CHURN[[#This Row],[Type_Forfait]]="Pro Monde","B2B","B2C")</f>
        <v>B2C</v>
      </c>
    </row>
    <row r="381" spans="1:12" x14ac:dyDescent="0.25">
      <c r="A381" s="1">
        <f t="shared" si="5"/>
        <v>380</v>
      </c>
      <c r="B381" s="1" t="s">
        <v>404</v>
      </c>
      <c r="C381" s="1" t="s">
        <v>65</v>
      </c>
      <c r="D381" s="1">
        <v>101</v>
      </c>
      <c r="E381" s="1" t="s">
        <v>9</v>
      </c>
      <c r="F381" s="1">
        <v>476</v>
      </c>
      <c r="G381" s="9">
        <v>41.85</v>
      </c>
      <c r="H381" s="1">
        <v>4</v>
      </c>
      <c r="I3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81" s="9">
        <f>CLIENTS_CHURN[[#This Row],[Facture_Mensuelle]]*CLIENTS_CHURN[[#This Row],[Remise (%)]]</f>
        <v>18.8325</v>
      </c>
      <c r="K381">
        <f>IF(CLIENTS_CHURN[[#This Row],[Duree_Cumulee_Panne_Min]]&gt;0,1,0)</f>
        <v>1</v>
      </c>
      <c r="L381" t="str">
        <f>IF(CLIENTS_CHURN[[#This Row],[Type_Forfait]]="Pro Monde","B2B","B2C")</f>
        <v>B2C</v>
      </c>
    </row>
    <row r="382" spans="1:12" x14ac:dyDescent="0.25">
      <c r="A382" s="1">
        <f t="shared" si="5"/>
        <v>381</v>
      </c>
      <c r="B382" s="1" t="s">
        <v>229</v>
      </c>
      <c r="C382" s="1" t="s">
        <v>24</v>
      </c>
      <c r="D382" s="1">
        <v>21</v>
      </c>
      <c r="E382" s="1" t="s">
        <v>20</v>
      </c>
      <c r="F382" s="1">
        <v>107</v>
      </c>
      <c r="G382" s="9">
        <v>30.97</v>
      </c>
      <c r="H382" s="1">
        <v>4</v>
      </c>
      <c r="I3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2" s="9">
        <f>CLIENTS_CHURN[[#This Row],[Facture_Mensuelle]]*CLIENTS_CHURN[[#This Row],[Remise (%)]]</f>
        <v>0</v>
      </c>
      <c r="K382">
        <f>IF(CLIENTS_CHURN[[#This Row],[Duree_Cumulee_Panne_Min]]&gt;0,1,0)</f>
        <v>1</v>
      </c>
      <c r="L382" t="str">
        <f>IF(CLIENTS_CHURN[[#This Row],[Type_Forfait]]="Pro Monde","B2B","B2C")</f>
        <v>B2C</v>
      </c>
    </row>
    <row r="383" spans="1:12" x14ac:dyDescent="0.25">
      <c r="A383" s="1">
        <f t="shared" si="5"/>
        <v>382</v>
      </c>
      <c r="B383" s="1" t="s">
        <v>778</v>
      </c>
      <c r="C383" s="1" t="s">
        <v>134</v>
      </c>
      <c r="D383" s="1">
        <v>56</v>
      </c>
      <c r="E383" s="1" t="s">
        <v>20</v>
      </c>
      <c r="F383" s="1">
        <v>41</v>
      </c>
      <c r="G383" s="9">
        <v>15.1</v>
      </c>
      <c r="H383" s="1">
        <v>5</v>
      </c>
      <c r="I3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3" s="9">
        <f>CLIENTS_CHURN[[#This Row],[Facture_Mensuelle]]*CLIENTS_CHURN[[#This Row],[Remise (%)]]</f>
        <v>0</v>
      </c>
      <c r="K383">
        <f>IF(CLIENTS_CHURN[[#This Row],[Duree_Cumulee_Panne_Min]]&gt;0,1,0)</f>
        <v>1</v>
      </c>
      <c r="L383" t="str">
        <f>IF(CLIENTS_CHURN[[#This Row],[Type_Forfait]]="Pro Monde","B2B","B2C")</f>
        <v>B2C</v>
      </c>
    </row>
    <row r="384" spans="1:12" x14ac:dyDescent="0.25">
      <c r="A384" s="1">
        <f t="shared" si="5"/>
        <v>383</v>
      </c>
      <c r="B384" s="1" t="s">
        <v>491</v>
      </c>
      <c r="C384" s="1" t="s">
        <v>58</v>
      </c>
      <c r="D384" s="1">
        <v>55</v>
      </c>
      <c r="E384" s="1" t="s">
        <v>20</v>
      </c>
      <c r="F384" s="1">
        <v>494</v>
      </c>
      <c r="G384" s="9">
        <v>77.599999999999994</v>
      </c>
      <c r="H384" s="1">
        <v>4</v>
      </c>
      <c r="I3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84" s="9">
        <f>CLIENTS_CHURN[[#This Row],[Facture_Mensuelle]]*CLIENTS_CHURN[[#This Row],[Remise (%)]]</f>
        <v>34.92</v>
      </c>
      <c r="K384">
        <f>IF(CLIENTS_CHURN[[#This Row],[Duree_Cumulee_Panne_Min]]&gt;0,1,0)</f>
        <v>1</v>
      </c>
      <c r="L384" t="str">
        <f>IF(CLIENTS_CHURN[[#This Row],[Type_Forfait]]="Pro Monde","B2B","B2C")</f>
        <v>B2C</v>
      </c>
    </row>
    <row r="385" spans="1:12" x14ac:dyDescent="0.25">
      <c r="A385" s="1">
        <f t="shared" si="5"/>
        <v>384</v>
      </c>
      <c r="B385" s="1" t="s">
        <v>634</v>
      </c>
      <c r="C385" s="1" t="s">
        <v>8</v>
      </c>
      <c r="D385" s="1">
        <v>2</v>
      </c>
      <c r="E385" s="1" t="s">
        <v>12</v>
      </c>
      <c r="F385" s="1">
        <v>481</v>
      </c>
      <c r="G385" s="9">
        <v>29.37</v>
      </c>
      <c r="H385" s="1">
        <v>4</v>
      </c>
      <c r="I3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85" s="9">
        <f>CLIENTS_CHURN[[#This Row],[Facture_Mensuelle]]*CLIENTS_CHURN[[#This Row],[Remise (%)]]</f>
        <v>13.2165</v>
      </c>
      <c r="K385">
        <f>IF(CLIENTS_CHURN[[#This Row],[Duree_Cumulee_Panne_Min]]&gt;0,1,0)</f>
        <v>1</v>
      </c>
      <c r="L385" t="str">
        <f>IF(CLIENTS_CHURN[[#This Row],[Type_Forfait]]="Pro Monde","B2B","B2C")</f>
        <v>B2B</v>
      </c>
    </row>
    <row r="386" spans="1:12" x14ac:dyDescent="0.25">
      <c r="A386" s="1">
        <f t="shared" si="5"/>
        <v>385</v>
      </c>
      <c r="B386" s="1" t="s">
        <v>579</v>
      </c>
      <c r="C386" s="1" t="s">
        <v>22</v>
      </c>
      <c r="D386" s="1">
        <v>41</v>
      </c>
      <c r="E386" s="1" t="s">
        <v>9</v>
      </c>
      <c r="F386" s="1">
        <v>178</v>
      </c>
      <c r="G386" s="9">
        <v>11.29</v>
      </c>
      <c r="H386" s="1">
        <v>4</v>
      </c>
      <c r="I3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6" s="9">
        <f>CLIENTS_CHURN[[#This Row],[Facture_Mensuelle]]*CLIENTS_CHURN[[#This Row],[Remise (%)]]</f>
        <v>0</v>
      </c>
      <c r="K386">
        <f>IF(CLIENTS_CHURN[[#This Row],[Duree_Cumulee_Panne_Min]]&gt;0,1,0)</f>
        <v>1</v>
      </c>
      <c r="L386" t="str">
        <f>IF(CLIENTS_CHURN[[#This Row],[Type_Forfait]]="Pro Monde","B2B","B2C")</f>
        <v>B2C</v>
      </c>
    </row>
    <row r="387" spans="1:12" x14ac:dyDescent="0.25">
      <c r="A387" s="1">
        <f t="shared" si="5"/>
        <v>386</v>
      </c>
      <c r="B387" s="1" t="s">
        <v>599</v>
      </c>
      <c r="C387" s="1" t="s">
        <v>8</v>
      </c>
      <c r="D387" s="1">
        <v>82</v>
      </c>
      <c r="E387" s="1" t="s">
        <v>20</v>
      </c>
      <c r="F387" s="1">
        <v>175</v>
      </c>
      <c r="G387" s="9">
        <v>86.14</v>
      </c>
      <c r="H387" s="1">
        <v>1</v>
      </c>
      <c r="I3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7" s="9">
        <f>CLIENTS_CHURN[[#This Row],[Facture_Mensuelle]]*CLIENTS_CHURN[[#This Row],[Remise (%)]]</f>
        <v>0</v>
      </c>
      <c r="K387">
        <f>IF(CLIENTS_CHURN[[#This Row],[Duree_Cumulee_Panne_Min]]&gt;0,1,0)</f>
        <v>1</v>
      </c>
      <c r="L387" t="str">
        <f>IF(CLIENTS_CHURN[[#This Row],[Type_Forfait]]="Pro Monde","B2B","B2C")</f>
        <v>B2C</v>
      </c>
    </row>
    <row r="388" spans="1:12" x14ac:dyDescent="0.25">
      <c r="A388" s="1">
        <f t="shared" ref="A388:A451" si="6">A387+1</f>
        <v>387</v>
      </c>
      <c r="B388" s="1" t="s">
        <v>263</v>
      </c>
      <c r="C388" s="1" t="s">
        <v>33</v>
      </c>
      <c r="D388" s="1">
        <v>86</v>
      </c>
      <c r="E388" s="1" t="s">
        <v>9</v>
      </c>
      <c r="F388" s="1">
        <v>111</v>
      </c>
      <c r="G388" s="9">
        <v>23.65</v>
      </c>
      <c r="H388" s="1">
        <v>0</v>
      </c>
      <c r="I3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88" s="9">
        <f>CLIENTS_CHURN[[#This Row],[Facture_Mensuelle]]*CLIENTS_CHURN[[#This Row],[Remise (%)]]</f>
        <v>0</v>
      </c>
      <c r="K388">
        <f>IF(CLIENTS_CHURN[[#This Row],[Duree_Cumulee_Panne_Min]]&gt;0,1,0)</f>
        <v>1</v>
      </c>
      <c r="L388" t="str">
        <f>IF(CLIENTS_CHURN[[#This Row],[Type_Forfait]]="Pro Monde","B2B","B2C")</f>
        <v>B2C</v>
      </c>
    </row>
    <row r="389" spans="1:12" x14ac:dyDescent="0.25">
      <c r="A389" s="1">
        <f t="shared" si="6"/>
        <v>388</v>
      </c>
      <c r="B389" s="1" t="s">
        <v>444</v>
      </c>
      <c r="C389" s="1" t="s">
        <v>24</v>
      </c>
      <c r="D389" s="1">
        <v>45</v>
      </c>
      <c r="E389" s="1" t="s">
        <v>20</v>
      </c>
      <c r="F389" s="1">
        <v>356</v>
      </c>
      <c r="G389" s="9">
        <v>33.76</v>
      </c>
      <c r="H389" s="1">
        <v>0</v>
      </c>
      <c r="I3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89" s="9">
        <f>CLIENTS_CHURN[[#This Row],[Facture_Mensuelle]]*CLIENTS_CHURN[[#This Row],[Remise (%)]]</f>
        <v>15.192</v>
      </c>
      <c r="K389">
        <f>IF(CLIENTS_CHURN[[#This Row],[Duree_Cumulee_Panne_Min]]&gt;0,1,0)</f>
        <v>1</v>
      </c>
      <c r="L389" t="str">
        <f>IF(CLIENTS_CHURN[[#This Row],[Type_Forfait]]="Pro Monde","B2B","B2C")</f>
        <v>B2C</v>
      </c>
    </row>
    <row r="390" spans="1:12" x14ac:dyDescent="0.25">
      <c r="A390" s="1">
        <f t="shared" si="6"/>
        <v>389</v>
      </c>
      <c r="B390" s="1" t="s">
        <v>91</v>
      </c>
      <c r="C390" s="1" t="s">
        <v>49</v>
      </c>
      <c r="D390" s="1">
        <v>111</v>
      </c>
      <c r="E390" s="1" t="s">
        <v>9</v>
      </c>
      <c r="F390" s="1">
        <v>103</v>
      </c>
      <c r="G390" s="9">
        <v>32.06</v>
      </c>
      <c r="H390" s="1">
        <v>0</v>
      </c>
      <c r="I3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90" s="9">
        <f>CLIENTS_CHURN[[#This Row],[Facture_Mensuelle]]*CLIENTS_CHURN[[#This Row],[Remise (%)]]</f>
        <v>0</v>
      </c>
      <c r="K390">
        <f>IF(CLIENTS_CHURN[[#This Row],[Duree_Cumulee_Panne_Min]]&gt;0,1,0)</f>
        <v>1</v>
      </c>
      <c r="L390" t="str">
        <f>IF(CLIENTS_CHURN[[#This Row],[Type_Forfait]]="Pro Monde","B2B","B2C")</f>
        <v>B2C</v>
      </c>
    </row>
    <row r="391" spans="1:12" x14ac:dyDescent="0.25">
      <c r="A391" s="1">
        <f t="shared" si="6"/>
        <v>390</v>
      </c>
      <c r="B391" s="1" t="s">
        <v>624</v>
      </c>
      <c r="C391" s="1" t="s">
        <v>42</v>
      </c>
      <c r="D391" s="1">
        <v>34</v>
      </c>
      <c r="E391" s="1" t="s">
        <v>12</v>
      </c>
      <c r="F391" s="1">
        <v>58</v>
      </c>
      <c r="G391" s="9">
        <v>64.349999999999994</v>
      </c>
      <c r="H391" s="1">
        <v>0</v>
      </c>
      <c r="I3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91" s="9">
        <f>CLIENTS_CHURN[[#This Row],[Facture_Mensuelle]]*CLIENTS_CHURN[[#This Row],[Remise (%)]]</f>
        <v>6.4349999999999996</v>
      </c>
      <c r="K391">
        <f>IF(CLIENTS_CHURN[[#This Row],[Duree_Cumulee_Panne_Min]]&gt;0,1,0)</f>
        <v>1</v>
      </c>
      <c r="L391" t="str">
        <f>IF(CLIENTS_CHURN[[#This Row],[Type_Forfait]]="Pro Monde","B2B","B2C")</f>
        <v>B2B</v>
      </c>
    </row>
    <row r="392" spans="1:12" x14ac:dyDescent="0.25">
      <c r="A392" s="1">
        <f t="shared" si="6"/>
        <v>391</v>
      </c>
      <c r="B392" s="1" t="s">
        <v>611</v>
      </c>
      <c r="C392" s="1" t="s">
        <v>65</v>
      </c>
      <c r="D392" s="1">
        <v>91</v>
      </c>
      <c r="E392" s="1" t="s">
        <v>17</v>
      </c>
      <c r="F392" s="1">
        <v>62</v>
      </c>
      <c r="G392" s="9">
        <v>34.450000000000003</v>
      </c>
      <c r="H392" s="1">
        <v>5</v>
      </c>
      <c r="I3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92" s="9">
        <f>CLIENTS_CHURN[[#This Row],[Facture_Mensuelle]]*CLIENTS_CHURN[[#This Row],[Remise (%)]]</f>
        <v>0</v>
      </c>
      <c r="K392">
        <f>IF(CLIENTS_CHURN[[#This Row],[Duree_Cumulee_Panne_Min]]&gt;0,1,0)</f>
        <v>1</v>
      </c>
      <c r="L392" t="str">
        <f>IF(CLIENTS_CHURN[[#This Row],[Type_Forfait]]="Pro Monde","B2B","B2C")</f>
        <v>B2C</v>
      </c>
    </row>
    <row r="393" spans="1:12" x14ac:dyDescent="0.25">
      <c r="A393" s="1">
        <f t="shared" si="6"/>
        <v>392</v>
      </c>
      <c r="B393" s="1" t="s">
        <v>97</v>
      </c>
      <c r="C393" s="1" t="s">
        <v>24</v>
      </c>
      <c r="D393" s="1">
        <v>86</v>
      </c>
      <c r="E393" s="1" t="s">
        <v>12</v>
      </c>
      <c r="F393" s="1">
        <v>252</v>
      </c>
      <c r="G393" s="9">
        <v>96.5</v>
      </c>
      <c r="H393" s="1">
        <v>5</v>
      </c>
      <c r="I3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93" s="9">
        <f>CLIENTS_CHURN[[#This Row],[Facture_Mensuelle]]*CLIENTS_CHURN[[#This Row],[Remise (%)]]</f>
        <v>43.425000000000004</v>
      </c>
      <c r="K393">
        <f>IF(CLIENTS_CHURN[[#This Row],[Duree_Cumulee_Panne_Min]]&gt;0,1,0)</f>
        <v>1</v>
      </c>
      <c r="L393" t="str">
        <f>IF(CLIENTS_CHURN[[#This Row],[Type_Forfait]]="Pro Monde","B2B","B2C")</f>
        <v>B2B</v>
      </c>
    </row>
    <row r="394" spans="1:12" x14ac:dyDescent="0.25">
      <c r="A394" s="1">
        <f t="shared" si="6"/>
        <v>393</v>
      </c>
      <c r="B394" s="1" t="s">
        <v>325</v>
      </c>
      <c r="C394" s="1" t="s">
        <v>42</v>
      </c>
      <c r="D394" s="1">
        <v>95</v>
      </c>
      <c r="E394" s="1" t="s">
        <v>9</v>
      </c>
      <c r="F394" s="1">
        <v>51</v>
      </c>
      <c r="G394" s="9">
        <v>94.77</v>
      </c>
      <c r="H394" s="1">
        <v>5</v>
      </c>
      <c r="I3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394" s="9">
        <f>CLIENTS_CHURN[[#This Row],[Facture_Mensuelle]]*CLIENTS_CHURN[[#This Row],[Remise (%)]]</f>
        <v>0</v>
      </c>
      <c r="K394">
        <f>IF(CLIENTS_CHURN[[#This Row],[Duree_Cumulee_Panne_Min]]&gt;0,1,0)</f>
        <v>1</v>
      </c>
      <c r="L394" t="str">
        <f>IF(CLIENTS_CHURN[[#This Row],[Type_Forfait]]="Pro Monde","B2B","B2C")</f>
        <v>B2C</v>
      </c>
    </row>
    <row r="395" spans="1:12" x14ac:dyDescent="0.25">
      <c r="A395" s="1">
        <f t="shared" si="6"/>
        <v>394</v>
      </c>
      <c r="B395" s="1" t="s">
        <v>499</v>
      </c>
      <c r="C395" s="1" t="s">
        <v>71</v>
      </c>
      <c r="D395" s="1">
        <v>37</v>
      </c>
      <c r="E395" s="1" t="s">
        <v>12</v>
      </c>
      <c r="F395" s="1">
        <v>37</v>
      </c>
      <c r="G395" s="9">
        <v>92.72</v>
      </c>
      <c r="H395" s="1">
        <v>0</v>
      </c>
      <c r="I3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95" s="9">
        <f>CLIENTS_CHURN[[#This Row],[Facture_Mensuelle]]*CLIENTS_CHURN[[#This Row],[Remise (%)]]</f>
        <v>9.2720000000000002</v>
      </c>
      <c r="K395">
        <f>IF(CLIENTS_CHURN[[#This Row],[Duree_Cumulee_Panne_Min]]&gt;0,1,0)</f>
        <v>1</v>
      </c>
      <c r="L395" t="str">
        <f>IF(CLIENTS_CHURN[[#This Row],[Type_Forfait]]="Pro Monde","B2B","B2C")</f>
        <v>B2B</v>
      </c>
    </row>
    <row r="396" spans="1:12" x14ac:dyDescent="0.25">
      <c r="A396" s="1">
        <f t="shared" si="6"/>
        <v>395</v>
      </c>
      <c r="B396" s="1" t="s">
        <v>608</v>
      </c>
      <c r="C396" s="1" t="s">
        <v>55</v>
      </c>
      <c r="D396" s="1">
        <v>56</v>
      </c>
      <c r="E396" s="1" t="s">
        <v>17</v>
      </c>
      <c r="F396" s="1">
        <v>379</v>
      </c>
      <c r="G396" s="9">
        <v>49.01</v>
      </c>
      <c r="H396" s="1">
        <v>0</v>
      </c>
      <c r="I3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96" s="9">
        <f>CLIENTS_CHURN[[#This Row],[Facture_Mensuelle]]*CLIENTS_CHURN[[#This Row],[Remise (%)]]</f>
        <v>22.054500000000001</v>
      </c>
      <c r="K396">
        <f>IF(CLIENTS_CHURN[[#This Row],[Duree_Cumulee_Panne_Min]]&gt;0,1,0)</f>
        <v>1</v>
      </c>
      <c r="L396" t="str">
        <f>IF(CLIENTS_CHURN[[#This Row],[Type_Forfait]]="Pro Monde","B2B","B2C")</f>
        <v>B2C</v>
      </c>
    </row>
    <row r="397" spans="1:12" x14ac:dyDescent="0.25">
      <c r="A397" s="1">
        <f t="shared" si="6"/>
        <v>396</v>
      </c>
      <c r="B397" s="1" t="s">
        <v>755</v>
      </c>
      <c r="C397" s="1" t="s">
        <v>35</v>
      </c>
      <c r="D397" s="1">
        <v>4</v>
      </c>
      <c r="E397" s="1" t="s">
        <v>12</v>
      </c>
      <c r="F397" s="1">
        <v>449</v>
      </c>
      <c r="G397" s="9">
        <v>43.95</v>
      </c>
      <c r="H397" s="1">
        <v>2</v>
      </c>
      <c r="I3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97" s="9">
        <f>CLIENTS_CHURN[[#This Row],[Facture_Mensuelle]]*CLIENTS_CHURN[[#This Row],[Remise (%)]]</f>
        <v>19.777500000000003</v>
      </c>
      <c r="K397">
        <f>IF(CLIENTS_CHURN[[#This Row],[Duree_Cumulee_Panne_Min]]&gt;0,1,0)</f>
        <v>1</v>
      </c>
      <c r="L397" t="str">
        <f>IF(CLIENTS_CHURN[[#This Row],[Type_Forfait]]="Pro Monde","B2B","B2C")</f>
        <v>B2B</v>
      </c>
    </row>
    <row r="398" spans="1:12" x14ac:dyDescent="0.25">
      <c r="A398" s="1">
        <f t="shared" si="6"/>
        <v>397</v>
      </c>
      <c r="B398" s="1" t="s">
        <v>426</v>
      </c>
      <c r="C398" s="1" t="s">
        <v>38</v>
      </c>
      <c r="D398" s="1">
        <v>13</v>
      </c>
      <c r="E398" s="1" t="s">
        <v>12</v>
      </c>
      <c r="F398" s="1">
        <v>173</v>
      </c>
      <c r="G398" s="9">
        <v>85.54</v>
      </c>
      <c r="H398" s="1">
        <v>3</v>
      </c>
      <c r="I3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398" s="9">
        <f>CLIENTS_CHURN[[#This Row],[Facture_Mensuelle]]*CLIENTS_CHURN[[#This Row],[Remise (%)]]</f>
        <v>8.5540000000000003</v>
      </c>
      <c r="K398">
        <f>IF(CLIENTS_CHURN[[#This Row],[Duree_Cumulee_Panne_Min]]&gt;0,1,0)</f>
        <v>1</v>
      </c>
      <c r="L398" t="str">
        <f>IF(CLIENTS_CHURN[[#This Row],[Type_Forfait]]="Pro Monde","B2B","B2C")</f>
        <v>B2B</v>
      </c>
    </row>
    <row r="399" spans="1:12" x14ac:dyDescent="0.25">
      <c r="A399" s="1">
        <f t="shared" si="6"/>
        <v>398</v>
      </c>
      <c r="B399" s="1" t="s">
        <v>135</v>
      </c>
      <c r="C399" s="1" t="s">
        <v>42</v>
      </c>
      <c r="D399" s="1">
        <v>70</v>
      </c>
      <c r="E399" s="1" t="s">
        <v>12</v>
      </c>
      <c r="F399" s="1">
        <v>290</v>
      </c>
      <c r="G399" s="9">
        <v>96.31</v>
      </c>
      <c r="H399" s="1">
        <v>1</v>
      </c>
      <c r="I3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399" s="9">
        <f>CLIENTS_CHURN[[#This Row],[Facture_Mensuelle]]*CLIENTS_CHURN[[#This Row],[Remise (%)]]</f>
        <v>43.339500000000001</v>
      </c>
      <c r="K399">
        <f>IF(CLIENTS_CHURN[[#This Row],[Duree_Cumulee_Panne_Min]]&gt;0,1,0)</f>
        <v>1</v>
      </c>
      <c r="L399" t="str">
        <f>IF(CLIENTS_CHURN[[#This Row],[Type_Forfait]]="Pro Monde","B2B","B2C")</f>
        <v>B2B</v>
      </c>
    </row>
    <row r="400" spans="1:12" x14ac:dyDescent="0.25">
      <c r="A400" s="1">
        <f t="shared" si="6"/>
        <v>399</v>
      </c>
      <c r="B400" s="1" t="s">
        <v>674</v>
      </c>
      <c r="C400" s="1" t="s">
        <v>33</v>
      </c>
      <c r="D400" s="1">
        <v>49</v>
      </c>
      <c r="E400" s="1" t="s">
        <v>20</v>
      </c>
      <c r="F400" s="1">
        <v>25</v>
      </c>
      <c r="G400" s="9">
        <v>22.77</v>
      </c>
      <c r="H400" s="1">
        <v>3</v>
      </c>
      <c r="I4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0" s="9">
        <f>CLIENTS_CHURN[[#This Row],[Facture_Mensuelle]]*CLIENTS_CHURN[[#This Row],[Remise (%)]]</f>
        <v>0</v>
      </c>
      <c r="K400">
        <f>IF(CLIENTS_CHURN[[#This Row],[Duree_Cumulee_Panne_Min]]&gt;0,1,0)</f>
        <v>1</v>
      </c>
      <c r="L400" t="str">
        <f>IF(CLIENTS_CHURN[[#This Row],[Type_Forfait]]="Pro Monde","B2B","B2C")</f>
        <v>B2C</v>
      </c>
    </row>
    <row r="401" spans="1:12" x14ac:dyDescent="0.25">
      <c r="A401" s="1">
        <f t="shared" si="6"/>
        <v>400</v>
      </c>
      <c r="B401" s="1" t="s">
        <v>180</v>
      </c>
      <c r="C401" s="1" t="s">
        <v>16</v>
      </c>
      <c r="D401" s="1">
        <v>11</v>
      </c>
      <c r="E401" s="1" t="s">
        <v>17</v>
      </c>
      <c r="F401" s="1">
        <v>215</v>
      </c>
      <c r="G401" s="9">
        <v>51.99</v>
      </c>
      <c r="H401" s="1">
        <v>1</v>
      </c>
      <c r="I4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1" s="9">
        <f>CLIENTS_CHURN[[#This Row],[Facture_Mensuelle]]*CLIENTS_CHURN[[#This Row],[Remise (%)]]</f>
        <v>0</v>
      </c>
      <c r="K401">
        <f>IF(CLIENTS_CHURN[[#This Row],[Duree_Cumulee_Panne_Min]]&gt;0,1,0)</f>
        <v>1</v>
      </c>
      <c r="L401" t="str">
        <f>IF(CLIENTS_CHURN[[#This Row],[Type_Forfait]]="Pro Monde","B2B","B2C")</f>
        <v>B2C</v>
      </c>
    </row>
    <row r="402" spans="1:12" x14ac:dyDescent="0.25">
      <c r="A402" s="1">
        <f t="shared" si="6"/>
        <v>401</v>
      </c>
      <c r="B402" s="1" t="s">
        <v>710</v>
      </c>
      <c r="C402" s="1" t="s">
        <v>86</v>
      </c>
      <c r="D402" s="1">
        <v>40</v>
      </c>
      <c r="E402" s="1" t="s">
        <v>9</v>
      </c>
      <c r="F402" s="1">
        <v>235</v>
      </c>
      <c r="G402" s="9">
        <v>15.01</v>
      </c>
      <c r="H402" s="1">
        <v>3</v>
      </c>
      <c r="I4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2" s="9">
        <f>CLIENTS_CHURN[[#This Row],[Facture_Mensuelle]]*CLIENTS_CHURN[[#This Row],[Remise (%)]]</f>
        <v>0</v>
      </c>
      <c r="K402">
        <f>IF(CLIENTS_CHURN[[#This Row],[Duree_Cumulee_Panne_Min]]&gt;0,1,0)</f>
        <v>1</v>
      </c>
      <c r="L402" t="str">
        <f>IF(CLIENTS_CHURN[[#This Row],[Type_Forfait]]="Pro Monde","B2B","B2C")</f>
        <v>B2C</v>
      </c>
    </row>
    <row r="403" spans="1:12" x14ac:dyDescent="0.25">
      <c r="A403" s="1">
        <f t="shared" si="6"/>
        <v>402</v>
      </c>
      <c r="B403" s="1" t="s">
        <v>140</v>
      </c>
      <c r="C403" s="1" t="s">
        <v>55</v>
      </c>
      <c r="D403" s="1">
        <v>33</v>
      </c>
      <c r="E403" s="1" t="s">
        <v>20</v>
      </c>
      <c r="F403" s="1">
        <v>337</v>
      </c>
      <c r="G403" s="9">
        <v>62.61</v>
      </c>
      <c r="H403" s="1">
        <v>2</v>
      </c>
      <c r="I4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03" s="9">
        <f>CLIENTS_CHURN[[#This Row],[Facture_Mensuelle]]*CLIENTS_CHURN[[#This Row],[Remise (%)]]</f>
        <v>28.174500000000002</v>
      </c>
      <c r="K403">
        <f>IF(CLIENTS_CHURN[[#This Row],[Duree_Cumulee_Panne_Min]]&gt;0,1,0)</f>
        <v>1</v>
      </c>
      <c r="L403" t="str">
        <f>IF(CLIENTS_CHURN[[#This Row],[Type_Forfait]]="Pro Monde","B2B","B2C")</f>
        <v>B2C</v>
      </c>
    </row>
    <row r="404" spans="1:12" x14ac:dyDescent="0.25">
      <c r="A404" s="1">
        <f t="shared" si="6"/>
        <v>403</v>
      </c>
      <c r="B404" s="1" t="s">
        <v>548</v>
      </c>
      <c r="C404" s="1" t="s">
        <v>134</v>
      </c>
      <c r="D404" s="1">
        <v>91</v>
      </c>
      <c r="E404" s="1" t="s">
        <v>20</v>
      </c>
      <c r="F404" s="1">
        <v>90</v>
      </c>
      <c r="G404" s="9">
        <v>39.14</v>
      </c>
      <c r="H404" s="1">
        <v>3</v>
      </c>
      <c r="I4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4" s="9">
        <f>CLIENTS_CHURN[[#This Row],[Facture_Mensuelle]]*CLIENTS_CHURN[[#This Row],[Remise (%)]]</f>
        <v>0</v>
      </c>
      <c r="K404">
        <f>IF(CLIENTS_CHURN[[#This Row],[Duree_Cumulee_Panne_Min]]&gt;0,1,0)</f>
        <v>1</v>
      </c>
      <c r="L404" t="str">
        <f>IF(CLIENTS_CHURN[[#This Row],[Type_Forfait]]="Pro Monde","B2B","B2C")</f>
        <v>B2C</v>
      </c>
    </row>
    <row r="405" spans="1:12" x14ac:dyDescent="0.25">
      <c r="A405" s="1">
        <f t="shared" si="6"/>
        <v>404</v>
      </c>
      <c r="B405" s="1" t="s">
        <v>236</v>
      </c>
      <c r="C405" s="1" t="s">
        <v>128</v>
      </c>
      <c r="D405" s="1">
        <v>18</v>
      </c>
      <c r="E405" s="1" t="s">
        <v>12</v>
      </c>
      <c r="F405" s="1">
        <v>71</v>
      </c>
      <c r="G405" s="9">
        <v>46.98</v>
      </c>
      <c r="H405" s="1">
        <v>2</v>
      </c>
      <c r="I4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05" s="9">
        <f>CLIENTS_CHURN[[#This Row],[Facture_Mensuelle]]*CLIENTS_CHURN[[#This Row],[Remise (%)]]</f>
        <v>4.6979999999999995</v>
      </c>
      <c r="K405">
        <f>IF(CLIENTS_CHURN[[#This Row],[Duree_Cumulee_Panne_Min]]&gt;0,1,0)</f>
        <v>1</v>
      </c>
      <c r="L405" t="str">
        <f>IF(CLIENTS_CHURN[[#This Row],[Type_Forfait]]="Pro Monde","B2B","B2C")</f>
        <v>B2B</v>
      </c>
    </row>
    <row r="406" spans="1:12" x14ac:dyDescent="0.25">
      <c r="A406" s="1">
        <f t="shared" si="6"/>
        <v>405</v>
      </c>
      <c r="B406" s="1" t="s">
        <v>40</v>
      </c>
      <c r="C406" s="1" t="s">
        <v>24</v>
      </c>
      <c r="D406" s="1">
        <v>112</v>
      </c>
      <c r="E406" s="1" t="s">
        <v>9</v>
      </c>
      <c r="F406" s="1">
        <v>460</v>
      </c>
      <c r="G406" s="9">
        <v>55.47</v>
      </c>
      <c r="H406" s="1">
        <v>4</v>
      </c>
      <c r="I4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06" s="9">
        <f>CLIENTS_CHURN[[#This Row],[Facture_Mensuelle]]*CLIENTS_CHURN[[#This Row],[Remise (%)]]</f>
        <v>24.961500000000001</v>
      </c>
      <c r="K406">
        <f>IF(CLIENTS_CHURN[[#This Row],[Duree_Cumulee_Panne_Min]]&gt;0,1,0)</f>
        <v>1</v>
      </c>
      <c r="L406" t="str">
        <f>IF(CLIENTS_CHURN[[#This Row],[Type_Forfait]]="Pro Monde","B2B","B2C")</f>
        <v>B2C</v>
      </c>
    </row>
    <row r="407" spans="1:12" x14ac:dyDescent="0.25">
      <c r="A407" s="1">
        <f t="shared" si="6"/>
        <v>406</v>
      </c>
      <c r="B407" s="1" t="s">
        <v>629</v>
      </c>
      <c r="C407" s="1" t="s">
        <v>29</v>
      </c>
      <c r="D407" s="1">
        <v>27</v>
      </c>
      <c r="E407" s="1" t="s">
        <v>17</v>
      </c>
      <c r="F407" s="1">
        <v>70</v>
      </c>
      <c r="G407" s="9">
        <v>20.32</v>
      </c>
      <c r="H407" s="1">
        <v>3</v>
      </c>
      <c r="I4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07" s="9">
        <f>CLIENTS_CHURN[[#This Row],[Facture_Mensuelle]]*CLIENTS_CHURN[[#This Row],[Remise (%)]]</f>
        <v>0</v>
      </c>
      <c r="K407">
        <f>IF(CLIENTS_CHURN[[#This Row],[Duree_Cumulee_Panne_Min]]&gt;0,1,0)</f>
        <v>1</v>
      </c>
      <c r="L407" t="str">
        <f>IF(CLIENTS_CHURN[[#This Row],[Type_Forfait]]="Pro Monde","B2B","B2C")</f>
        <v>B2C</v>
      </c>
    </row>
    <row r="408" spans="1:12" x14ac:dyDescent="0.25">
      <c r="A408" s="1">
        <f t="shared" si="6"/>
        <v>407</v>
      </c>
      <c r="B408" s="1" t="s">
        <v>170</v>
      </c>
      <c r="C408" s="1" t="s">
        <v>38</v>
      </c>
      <c r="D408" s="1">
        <v>-36</v>
      </c>
      <c r="E408" s="1" t="s">
        <v>17</v>
      </c>
      <c r="F408" s="1">
        <v>404</v>
      </c>
      <c r="G408" s="9">
        <v>40.21</v>
      </c>
      <c r="H408" s="1">
        <v>1</v>
      </c>
      <c r="I4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08" s="9">
        <f>CLIENTS_CHURN[[#This Row],[Facture_Mensuelle]]*CLIENTS_CHURN[[#This Row],[Remise (%)]]</f>
        <v>18.0945</v>
      </c>
      <c r="K408">
        <f>IF(CLIENTS_CHURN[[#This Row],[Duree_Cumulee_Panne_Min]]&gt;0,1,0)</f>
        <v>1</v>
      </c>
      <c r="L408" t="str">
        <f>IF(CLIENTS_CHURN[[#This Row],[Type_Forfait]]="Pro Monde","B2B","B2C")</f>
        <v>B2C</v>
      </c>
    </row>
    <row r="409" spans="1:12" x14ac:dyDescent="0.25">
      <c r="A409" s="1">
        <f t="shared" si="6"/>
        <v>408</v>
      </c>
      <c r="B409" s="1" t="s">
        <v>760</v>
      </c>
      <c r="C409" s="1" t="s">
        <v>86</v>
      </c>
      <c r="D409" s="1">
        <v>90</v>
      </c>
      <c r="E409" s="1" t="s">
        <v>20</v>
      </c>
      <c r="F409" s="1">
        <v>412</v>
      </c>
      <c r="G409" s="9">
        <v>20.62</v>
      </c>
      <c r="H409" s="1">
        <v>2</v>
      </c>
      <c r="I4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09" s="9">
        <f>CLIENTS_CHURN[[#This Row],[Facture_Mensuelle]]*CLIENTS_CHURN[[#This Row],[Remise (%)]]</f>
        <v>9.2789999999999999</v>
      </c>
      <c r="K409">
        <f>IF(CLIENTS_CHURN[[#This Row],[Duree_Cumulee_Panne_Min]]&gt;0,1,0)</f>
        <v>1</v>
      </c>
      <c r="L409" t="str">
        <f>IF(CLIENTS_CHURN[[#This Row],[Type_Forfait]]="Pro Monde","B2B","B2C")</f>
        <v>B2C</v>
      </c>
    </row>
    <row r="410" spans="1:12" x14ac:dyDescent="0.25">
      <c r="A410" s="1">
        <f t="shared" si="6"/>
        <v>409</v>
      </c>
      <c r="B410" s="1" t="s">
        <v>743</v>
      </c>
      <c r="C410" s="1" t="s">
        <v>24</v>
      </c>
      <c r="D410" s="1">
        <v>33</v>
      </c>
      <c r="E410" s="1" t="s">
        <v>12</v>
      </c>
      <c r="F410" s="1">
        <v>391</v>
      </c>
      <c r="G410" s="9">
        <v>88.88</v>
      </c>
      <c r="H410" s="1">
        <v>4</v>
      </c>
      <c r="I4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0" s="9">
        <f>CLIENTS_CHURN[[#This Row],[Facture_Mensuelle]]*CLIENTS_CHURN[[#This Row],[Remise (%)]]</f>
        <v>39.996000000000002</v>
      </c>
      <c r="K410">
        <f>IF(CLIENTS_CHURN[[#This Row],[Duree_Cumulee_Panne_Min]]&gt;0,1,0)</f>
        <v>1</v>
      </c>
      <c r="L410" t="str">
        <f>IF(CLIENTS_CHURN[[#This Row],[Type_Forfait]]="Pro Monde","B2B","B2C")</f>
        <v>B2B</v>
      </c>
    </row>
    <row r="411" spans="1:12" x14ac:dyDescent="0.25">
      <c r="A411" s="1">
        <f t="shared" si="6"/>
        <v>410</v>
      </c>
      <c r="B411" s="1" t="s">
        <v>453</v>
      </c>
      <c r="C411" s="1" t="s">
        <v>27</v>
      </c>
      <c r="D411" s="1">
        <v>1</v>
      </c>
      <c r="E411" s="1" t="s">
        <v>9</v>
      </c>
      <c r="F411" s="1">
        <v>368</v>
      </c>
      <c r="G411" s="9">
        <v>35.17</v>
      </c>
      <c r="H411" s="1">
        <v>1</v>
      </c>
      <c r="I4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1" s="9">
        <f>CLIENTS_CHURN[[#This Row],[Facture_Mensuelle]]*CLIENTS_CHURN[[#This Row],[Remise (%)]]</f>
        <v>15.826500000000001</v>
      </c>
      <c r="K411">
        <f>IF(CLIENTS_CHURN[[#This Row],[Duree_Cumulee_Panne_Min]]&gt;0,1,0)</f>
        <v>1</v>
      </c>
      <c r="L411" t="str">
        <f>IF(CLIENTS_CHURN[[#This Row],[Type_Forfait]]="Pro Monde","B2B","B2C")</f>
        <v>B2C</v>
      </c>
    </row>
    <row r="412" spans="1:12" x14ac:dyDescent="0.25">
      <c r="A412" s="1">
        <f t="shared" si="6"/>
        <v>411</v>
      </c>
      <c r="B412" s="1" t="s">
        <v>389</v>
      </c>
      <c r="C412" s="1" t="s">
        <v>14</v>
      </c>
      <c r="D412" s="1">
        <v>117</v>
      </c>
      <c r="E412" s="1" t="s">
        <v>20</v>
      </c>
      <c r="F412" s="1">
        <v>338</v>
      </c>
      <c r="G412" s="9">
        <v>29.18</v>
      </c>
      <c r="H412" s="1">
        <v>5</v>
      </c>
      <c r="I4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2" s="9">
        <f>CLIENTS_CHURN[[#This Row],[Facture_Mensuelle]]*CLIENTS_CHURN[[#This Row],[Remise (%)]]</f>
        <v>13.131</v>
      </c>
      <c r="K412">
        <f>IF(CLIENTS_CHURN[[#This Row],[Duree_Cumulee_Panne_Min]]&gt;0,1,0)</f>
        <v>1</v>
      </c>
      <c r="L412" t="str">
        <f>IF(CLIENTS_CHURN[[#This Row],[Type_Forfait]]="Pro Monde","B2B","B2C")</f>
        <v>B2C</v>
      </c>
    </row>
    <row r="413" spans="1:12" x14ac:dyDescent="0.25">
      <c r="A413" s="1">
        <f t="shared" si="6"/>
        <v>412</v>
      </c>
      <c r="B413" s="1" t="s">
        <v>300</v>
      </c>
      <c r="C413" s="1" t="s">
        <v>38</v>
      </c>
      <c r="D413" s="1">
        <v>50</v>
      </c>
      <c r="E413" s="1" t="s">
        <v>20</v>
      </c>
      <c r="F413" s="1">
        <v>446</v>
      </c>
      <c r="G413" s="9">
        <v>31.56</v>
      </c>
      <c r="H413" s="1">
        <v>5</v>
      </c>
      <c r="I4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3" s="9">
        <f>CLIENTS_CHURN[[#This Row],[Facture_Mensuelle]]*CLIENTS_CHURN[[#This Row],[Remise (%)]]</f>
        <v>14.202</v>
      </c>
      <c r="K413">
        <f>IF(CLIENTS_CHURN[[#This Row],[Duree_Cumulee_Panne_Min]]&gt;0,1,0)</f>
        <v>1</v>
      </c>
      <c r="L413" t="str">
        <f>IF(CLIENTS_CHURN[[#This Row],[Type_Forfait]]="Pro Monde","B2B","B2C")</f>
        <v>B2C</v>
      </c>
    </row>
    <row r="414" spans="1:12" x14ac:dyDescent="0.25">
      <c r="A414" s="1">
        <f t="shared" si="6"/>
        <v>413</v>
      </c>
      <c r="B414" s="1" t="s">
        <v>412</v>
      </c>
      <c r="C414" s="1" t="s">
        <v>11</v>
      </c>
      <c r="D414" s="1">
        <v>76</v>
      </c>
      <c r="E414" s="1" t="s">
        <v>9</v>
      </c>
      <c r="F414" s="1">
        <v>187</v>
      </c>
      <c r="G414" s="9">
        <v>56.29</v>
      </c>
      <c r="H414" s="1">
        <v>1</v>
      </c>
      <c r="I4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14" s="9">
        <f>CLIENTS_CHURN[[#This Row],[Facture_Mensuelle]]*CLIENTS_CHURN[[#This Row],[Remise (%)]]</f>
        <v>0</v>
      </c>
      <c r="K414">
        <f>IF(CLIENTS_CHURN[[#This Row],[Duree_Cumulee_Panne_Min]]&gt;0,1,0)</f>
        <v>1</v>
      </c>
      <c r="L414" t="str">
        <f>IF(CLIENTS_CHURN[[#This Row],[Type_Forfait]]="Pro Monde","B2B","B2C")</f>
        <v>B2C</v>
      </c>
    </row>
    <row r="415" spans="1:12" x14ac:dyDescent="0.25">
      <c r="A415" s="1">
        <f t="shared" si="6"/>
        <v>414</v>
      </c>
      <c r="B415" s="1" t="s">
        <v>7</v>
      </c>
      <c r="C415" s="1" t="s">
        <v>8</v>
      </c>
      <c r="D415" s="1">
        <v>29</v>
      </c>
      <c r="E415" s="1" t="s">
        <v>9</v>
      </c>
      <c r="F415" s="1">
        <v>214</v>
      </c>
      <c r="G415" s="9">
        <v>74.7</v>
      </c>
      <c r="H415" s="1">
        <v>3</v>
      </c>
      <c r="I4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15" s="9">
        <f>CLIENTS_CHURN[[#This Row],[Facture_Mensuelle]]*CLIENTS_CHURN[[#This Row],[Remise (%)]]</f>
        <v>0</v>
      </c>
      <c r="K415">
        <f>IF(CLIENTS_CHURN[[#This Row],[Duree_Cumulee_Panne_Min]]&gt;0,1,0)</f>
        <v>1</v>
      </c>
      <c r="L415" t="str">
        <f>IF(CLIENTS_CHURN[[#This Row],[Type_Forfait]]="Pro Monde","B2B","B2C")</f>
        <v>B2C</v>
      </c>
    </row>
    <row r="416" spans="1:12" x14ac:dyDescent="0.25">
      <c r="A416" s="1">
        <f t="shared" si="6"/>
        <v>415</v>
      </c>
      <c r="B416" s="1" t="s">
        <v>476</v>
      </c>
      <c r="C416" s="1" t="s">
        <v>33</v>
      </c>
      <c r="D416" s="1">
        <v>88</v>
      </c>
      <c r="E416" s="1" t="s">
        <v>17</v>
      </c>
      <c r="F416" s="1">
        <v>474</v>
      </c>
      <c r="G416" s="9">
        <v>23.35</v>
      </c>
      <c r="H416" s="1">
        <v>5</v>
      </c>
      <c r="I4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6" s="9">
        <f>CLIENTS_CHURN[[#This Row],[Facture_Mensuelle]]*CLIENTS_CHURN[[#This Row],[Remise (%)]]</f>
        <v>10.5075</v>
      </c>
      <c r="K416">
        <f>IF(CLIENTS_CHURN[[#This Row],[Duree_Cumulee_Panne_Min]]&gt;0,1,0)</f>
        <v>1</v>
      </c>
      <c r="L416" t="str">
        <f>IF(CLIENTS_CHURN[[#This Row],[Type_Forfait]]="Pro Monde","B2B","B2C")</f>
        <v>B2C</v>
      </c>
    </row>
    <row r="417" spans="1:12" x14ac:dyDescent="0.25">
      <c r="A417" s="1">
        <f t="shared" si="6"/>
        <v>416</v>
      </c>
      <c r="B417" s="1" t="s">
        <v>493</v>
      </c>
      <c r="C417" s="1" t="s">
        <v>62</v>
      </c>
      <c r="D417" s="1">
        <v>115</v>
      </c>
      <c r="E417" s="1" t="s">
        <v>12</v>
      </c>
      <c r="F417" s="1">
        <v>190</v>
      </c>
      <c r="G417" s="9">
        <v>10.98</v>
      </c>
      <c r="H417" s="1">
        <v>0</v>
      </c>
      <c r="I4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17" s="9">
        <f>CLIENTS_CHURN[[#This Row],[Facture_Mensuelle]]*CLIENTS_CHURN[[#This Row],[Remise (%)]]</f>
        <v>1.0980000000000001</v>
      </c>
      <c r="K417">
        <f>IF(CLIENTS_CHURN[[#This Row],[Duree_Cumulee_Panne_Min]]&gt;0,1,0)</f>
        <v>1</v>
      </c>
      <c r="L417" t="str">
        <f>IF(CLIENTS_CHURN[[#This Row],[Type_Forfait]]="Pro Monde","B2B","B2C")</f>
        <v>B2B</v>
      </c>
    </row>
    <row r="418" spans="1:12" x14ac:dyDescent="0.25">
      <c r="A418" s="1">
        <f t="shared" si="6"/>
        <v>417</v>
      </c>
      <c r="B418" s="1" t="s">
        <v>321</v>
      </c>
      <c r="C418" s="1" t="s">
        <v>42</v>
      </c>
      <c r="D418" s="1">
        <v>84</v>
      </c>
      <c r="E418" s="1" t="s">
        <v>17</v>
      </c>
      <c r="F418" s="1">
        <v>244</v>
      </c>
      <c r="G418" s="9">
        <v>56.34</v>
      </c>
      <c r="H418" s="1">
        <v>5</v>
      </c>
      <c r="I4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18" s="9">
        <f>CLIENTS_CHURN[[#This Row],[Facture_Mensuelle]]*CLIENTS_CHURN[[#This Row],[Remise (%)]]</f>
        <v>25.353000000000002</v>
      </c>
      <c r="K418">
        <f>IF(CLIENTS_CHURN[[#This Row],[Duree_Cumulee_Panne_Min]]&gt;0,1,0)</f>
        <v>1</v>
      </c>
      <c r="L418" t="str">
        <f>IF(CLIENTS_CHURN[[#This Row],[Type_Forfait]]="Pro Monde","B2B","B2C")</f>
        <v>B2C</v>
      </c>
    </row>
    <row r="419" spans="1:12" x14ac:dyDescent="0.25">
      <c r="A419" s="1">
        <f t="shared" si="6"/>
        <v>418</v>
      </c>
      <c r="B419" s="1" t="s">
        <v>627</v>
      </c>
      <c r="C419" s="1" t="s">
        <v>71</v>
      </c>
      <c r="D419" s="1">
        <v>21</v>
      </c>
      <c r="E419" s="1" t="s">
        <v>17</v>
      </c>
      <c r="F419" s="1">
        <v>15</v>
      </c>
      <c r="G419" s="9">
        <v>57.74</v>
      </c>
      <c r="H419" s="1">
        <v>0</v>
      </c>
      <c r="I4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19" s="9">
        <f>CLIENTS_CHURN[[#This Row],[Facture_Mensuelle]]*CLIENTS_CHURN[[#This Row],[Remise (%)]]</f>
        <v>0</v>
      </c>
      <c r="K419">
        <f>IF(CLIENTS_CHURN[[#This Row],[Duree_Cumulee_Panne_Min]]&gt;0,1,0)</f>
        <v>1</v>
      </c>
      <c r="L419" t="str">
        <f>IF(CLIENTS_CHURN[[#This Row],[Type_Forfait]]="Pro Monde","B2B","B2C")</f>
        <v>B2C</v>
      </c>
    </row>
    <row r="420" spans="1:12" x14ac:dyDescent="0.25">
      <c r="A420" s="1">
        <f t="shared" si="6"/>
        <v>419</v>
      </c>
      <c r="B420" s="1" t="s">
        <v>539</v>
      </c>
      <c r="C420" s="1" t="s">
        <v>134</v>
      </c>
      <c r="D420" s="1">
        <v>21</v>
      </c>
      <c r="E420" s="1" t="s">
        <v>20</v>
      </c>
      <c r="F420" s="1">
        <v>444</v>
      </c>
      <c r="G420" s="9">
        <v>41.92</v>
      </c>
      <c r="H420" s="1">
        <v>3</v>
      </c>
      <c r="I4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0" s="9">
        <f>CLIENTS_CHURN[[#This Row],[Facture_Mensuelle]]*CLIENTS_CHURN[[#This Row],[Remise (%)]]</f>
        <v>18.864000000000001</v>
      </c>
      <c r="K420">
        <f>IF(CLIENTS_CHURN[[#This Row],[Duree_Cumulee_Panne_Min]]&gt;0,1,0)</f>
        <v>1</v>
      </c>
      <c r="L420" t="str">
        <f>IF(CLIENTS_CHURN[[#This Row],[Type_Forfait]]="Pro Monde","B2B","B2C")</f>
        <v>B2C</v>
      </c>
    </row>
    <row r="421" spans="1:12" x14ac:dyDescent="0.25">
      <c r="A421" s="1">
        <f t="shared" si="6"/>
        <v>420</v>
      </c>
      <c r="B421" s="1" t="s">
        <v>731</v>
      </c>
      <c r="C421" s="1" t="s">
        <v>62</v>
      </c>
      <c r="D421" s="1">
        <v>92</v>
      </c>
      <c r="E421" s="1" t="s">
        <v>17</v>
      </c>
      <c r="F421" s="1">
        <v>379</v>
      </c>
      <c r="G421" s="9">
        <v>70.08</v>
      </c>
      <c r="H421" s="1">
        <v>5</v>
      </c>
      <c r="I4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1" s="9">
        <f>CLIENTS_CHURN[[#This Row],[Facture_Mensuelle]]*CLIENTS_CHURN[[#This Row],[Remise (%)]]</f>
        <v>31.536000000000001</v>
      </c>
      <c r="K421">
        <f>IF(CLIENTS_CHURN[[#This Row],[Duree_Cumulee_Panne_Min]]&gt;0,1,0)</f>
        <v>1</v>
      </c>
      <c r="L421" t="str">
        <f>IF(CLIENTS_CHURN[[#This Row],[Type_Forfait]]="Pro Monde","B2B","B2C")</f>
        <v>B2C</v>
      </c>
    </row>
    <row r="422" spans="1:12" x14ac:dyDescent="0.25">
      <c r="A422" s="1">
        <f t="shared" si="6"/>
        <v>421</v>
      </c>
      <c r="B422" s="1" t="s">
        <v>296</v>
      </c>
      <c r="C422" s="1" t="s">
        <v>62</v>
      </c>
      <c r="D422" s="1">
        <v>114</v>
      </c>
      <c r="E422" s="1" t="s">
        <v>17</v>
      </c>
      <c r="F422" s="1">
        <v>388</v>
      </c>
      <c r="G422" s="9">
        <v>40.29</v>
      </c>
      <c r="H422" s="1">
        <v>5</v>
      </c>
      <c r="I4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2" s="9">
        <f>CLIENTS_CHURN[[#This Row],[Facture_Mensuelle]]*CLIENTS_CHURN[[#This Row],[Remise (%)]]</f>
        <v>18.130500000000001</v>
      </c>
      <c r="K422">
        <f>IF(CLIENTS_CHURN[[#This Row],[Duree_Cumulee_Panne_Min]]&gt;0,1,0)</f>
        <v>1</v>
      </c>
      <c r="L422" t="str">
        <f>IF(CLIENTS_CHURN[[#This Row],[Type_Forfait]]="Pro Monde","B2B","B2C")</f>
        <v>B2C</v>
      </c>
    </row>
    <row r="423" spans="1:12" x14ac:dyDescent="0.25">
      <c r="A423" s="1">
        <f t="shared" si="6"/>
        <v>422</v>
      </c>
      <c r="B423" s="1" t="s">
        <v>85</v>
      </c>
      <c r="C423" s="1" t="s">
        <v>86</v>
      </c>
      <c r="D423" s="1">
        <v>98</v>
      </c>
      <c r="E423" s="1" t="s">
        <v>12</v>
      </c>
      <c r="F423" s="1">
        <v>482</v>
      </c>
      <c r="G423" s="9">
        <v>55.04</v>
      </c>
      <c r="H423" s="1">
        <v>5</v>
      </c>
      <c r="I4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3" s="9">
        <f>CLIENTS_CHURN[[#This Row],[Facture_Mensuelle]]*CLIENTS_CHURN[[#This Row],[Remise (%)]]</f>
        <v>24.768000000000001</v>
      </c>
      <c r="K423">
        <f>IF(CLIENTS_CHURN[[#This Row],[Duree_Cumulee_Panne_Min]]&gt;0,1,0)</f>
        <v>1</v>
      </c>
      <c r="L423" t="str">
        <f>IF(CLIENTS_CHURN[[#This Row],[Type_Forfait]]="Pro Monde","B2B","B2C")</f>
        <v>B2B</v>
      </c>
    </row>
    <row r="424" spans="1:12" x14ac:dyDescent="0.25">
      <c r="A424" s="1">
        <f t="shared" si="6"/>
        <v>423</v>
      </c>
      <c r="B424" s="1" t="s">
        <v>258</v>
      </c>
      <c r="C424" s="1" t="s">
        <v>55</v>
      </c>
      <c r="D424" s="1">
        <v>15</v>
      </c>
      <c r="E424" s="1" t="s">
        <v>17</v>
      </c>
      <c r="F424" s="1">
        <v>319</v>
      </c>
      <c r="G424" s="9">
        <v>78.150000000000006</v>
      </c>
      <c r="H424" s="1">
        <v>4</v>
      </c>
      <c r="I4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4" s="9">
        <f>CLIENTS_CHURN[[#This Row],[Facture_Mensuelle]]*CLIENTS_CHURN[[#This Row],[Remise (%)]]</f>
        <v>35.167500000000004</v>
      </c>
      <c r="K424">
        <f>IF(CLIENTS_CHURN[[#This Row],[Duree_Cumulee_Panne_Min]]&gt;0,1,0)</f>
        <v>1</v>
      </c>
      <c r="L424" t="str">
        <f>IF(CLIENTS_CHURN[[#This Row],[Type_Forfait]]="Pro Monde","B2B","B2C")</f>
        <v>B2C</v>
      </c>
    </row>
    <row r="425" spans="1:12" x14ac:dyDescent="0.25">
      <c r="A425" s="1">
        <f t="shared" si="6"/>
        <v>424</v>
      </c>
      <c r="B425" s="1" t="s">
        <v>758</v>
      </c>
      <c r="C425" s="1" t="s">
        <v>86</v>
      </c>
      <c r="D425" s="1">
        <v>42</v>
      </c>
      <c r="E425" s="1" t="s">
        <v>17</v>
      </c>
      <c r="F425" s="1">
        <v>252</v>
      </c>
      <c r="G425" s="9">
        <v>59.46</v>
      </c>
      <c r="H425" s="1">
        <v>4</v>
      </c>
      <c r="I4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5" s="9">
        <f>CLIENTS_CHURN[[#This Row],[Facture_Mensuelle]]*CLIENTS_CHURN[[#This Row],[Remise (%)]]</f>
        <v>26.757000000000001</v>
      </c>
      <c r="K425">
        <f>IF(CLIENTS_CHURN[[#This Row],[Duree_Cumulee_Panne_Min]]&gt;0,1,0)</f>
        <v>1</v>
      </c>
      <c r="L425" t="str">
        <f>IF(CLIENTS_CHURN[[#This Row],[Type_Forfait]]="Pro Monde","B2B","B2C")</f>
        <v>B2C</v>
      </c>
    </row>
    <row r="426" spans="1:12" x14ac:dyDescent="0.25">
      <c r="A426" s="1">
        <f t="shared" si="6"/>
        <v>425</v>
      </c>
      <c r="B426" s="1" t="s">
        <v>741</v>
      </c>
      <c r="C426" s="1" t="s">
        <v>24</v>
      </c>
      <c r="D426" s="1">
        <v>8</v>
      </c>
      <c r="E426" s="1" t="s">
        <v>17</v>
      </c>
      <c r="F426" s="1">
        <v>171</v>
      </c>
      <c r="G426" s="9">
        <v>52.98</v>
      </c>
      <c r="H426" s="1">
        <v>0</v>
      </c>
      <c r="I4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26" s="9">
        <f>CLIENTS_CHURN[[#This Row],[Facture_Mensuelle]]*CLIENTS_CHURN[[#This Row],[Remise (%)]]</f>
        <v>0</v>
      </c>
      <c r="K426">
        <f>IF(CLIENTS_CHURN[[#This Row],[Duree_Cumulee_Panne_Min]]&gt;0,1,0)</f>
        <v>1</v>
      </c>
      <c r="L426" t="str">
        <f>IF(CLIENTS_CHURN[[#This Row],[Type_Forfait]]="Pro Monde","B2B","B2C")</f>
        <v>B2C</v>
      </c>
    </row>
    <row r="427" spans="1:12" x14ac:dyDescent="0.25">
      <c r="A427" s="1">
        <f t="shared" si="6"/>
        <v>426</v>
      </c>
      <c r="B427" s="1" t="s">
        <v>94</v>
      </c>
      <c r="C427" s="1" t="s">
        <v>19</v>
      </c>
      <c r="D427" s="1">
        <v>12</v>
      </c>
      <c r="E427" s="1" t="s">
        <v>12</v>
      </c>
      <c r="F427" s="1">
        <v>305</v>
      </c>
      <c r="G427" s="9">
        <v>59.96</v>
      </c>
      <c r="H427" s="1">
        <v>3</v>
      </c>
      <c r="I4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7" s="9">
        <f>CLIENTS_CHURN[[#This Row],[Facture_Mensuelle]]*CLIENTS_CHURN[[#This Row],[Remise (%)]]</f>
        <v>26.981999999999999</v>
      </c>
      <c r="K427">
        <f>IF(CLIENTS_CHURN[[#This Row],[Duree_Cumulee_Panne_Min]]&gt;0,1,0)</f>
        <v>1</v>
      </c>
      <c r="L427" t="str">
        <f>IF(CLIENTS_CHURN[[#This Row],[Type_Forfait]]="Pro Monde","B2B","B2C")</f>
        <v>B2B</v>
      </c>
    </row>
    <row r="428" spans="1:12" x14ac:dyDescent="0.25">
      <c r="A428" s="1">
        <f t="shared" si="6"/>
        <v>427</v>
      </c>
      <c r="B428" s="1" t="s">
        <v>367</v>
      </c>
      <c r="C428" s="1" t="s">
        <v>33</v>
      </c>
      <c r="D428" s="1">
        <v>29</v>
      </c>
      <c r="E428" s="1" t="s">
        <v>12</v>
      </c>
      <c r="F428" s="1">
        <v>203</v>
      </c>
      <c r="G428" s="9">
        <v>53.97</v>
      </c>
      <c r="H428" s="1">
        <v>5</v>
      </c>
      <c r="I4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28" s="9">
        <f>CLIENTS_CHURN[[#This Row],[Facture_Mensuelle]]*CLIENTS_CHURN[[#This Row],[Remise (%)]]</f>
        <v>5.3970000000000002</v>
      </c>
      <c r="K428">
        <f>IF(CLIENTS_CHURN[[#This Row],[Duree_Cumulee_Panne_Min]]&gt;0,1,0)</f>
        <v>1</v>
      </c>
      <c r="L428" t="str">
        <f>IF(CLIENTS_CHURN[[#This Row],[Type_Forfait]]="Pro Monde","B2B","B2C")</f>
        <v>B2B</v>
      </c>
    </row>
    <row r="429" spans="1:12" x14ac:dyDescent="0.25">
      <c r="A429" s="1">
        <f t="shared" si="6"/>
        <v>428</v>
      </c>
      <c r="B429" s="1" t="s">
        <v>497</v>
      </c>
      <c r="C429" s="1" t="s">
        <v>33</v>
      </c>
      <c r="D429" s="1">
        <v>80</v>
      </c>
      <c r="E429" s="1" t="s">
        <v>12</v>
      </c>
      <c r="F429" s="1">
        <v>339</v>
      </c>
      <c r="G429" s="9">
        <v>59.87</v>
      </c>
      <c r="H429" s="1">
        <v>0</v>
      </c>
      <c r="I4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29" s="9">
        <f>CLIENTS_CHURN[[#This Row],[Facture_Mensuelle]]*CLIENTS_CHURN[[#This Row],[Remise (%)]]</f>
        <v>26.941499999999998</v>
      </c>
      <c r="K429">
        <f>IF(CLIENTS_CHURN[[#This Row],[Duree_Cumulee_Panne_Min]]&gt;0,1,0)</f>
        <v>1</v>
      </c>
      <c r="L429" t="str">
        <f>IF(CLIENTS_CHURN[[#This Row],[Type_Forfait]]="Pro Monde","B2B","B2C")</f>
        <v>B2B</v>
      </c>
    </row>
    <row r="430" spans="1:12" x14ac:dyDescent="0.25">
      <c r="A430" s="1">
        <f t="shared" si="6"/>
        <v>429</v>
      </c>
      <c r="B430" s="1" t="s">
        <v>110</v>
      </c>
      <c r="C430" s="1" t="s">
        <v>16</v>
      </c>
      <c r="D430" s="1">
        <v>95</v>
      </c>
      <c r="E430" s="1" t="s">
        <v>17</v>
      </c>
      <c r="F430" s="1">
        <v>33</v>
      </c>
      <c r="G430" s="9">
        <v>35.32</v>
      </c>
      <c r="H430" s="1">
        <v>0</v>
      </c>
      <c r="I4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30" s="9">
        <f>CLIENTS_CHURN[[#This Row],[Facture_Mensuelle]]*CLIENTS_CHURN[[#This Row],[Remise (%)]]</f>
        <v>0</v>
      </c>
      <c r="K430">
        <f>IF(CLIENTS_CHURN[[#This Row],[Duree_Cumulee_Panne_Min]]&gt;0,1,0)</f>
        <v>1</v>
      </c>
      <c r="L430" t="str">
        <f>IF(CLIENTS_CHURN[[#This Row],[Type_Forfait]]="Pro Monde","B2B","B2C")</f>
        <v>B2C</v>
      </c>
    </row>
    <row r="431" spans="1:12" x14ac:dyDescent="0.25">
      <c r="A431" s="1">
        <f t="shared" si="6"/>
        <v>430</v>
      </c>
      <c r="B431" s="1" t="s">
        <v>727</v>
      </c>
      <c r="C431" s="1" t="s">
        <v>22</v>
      </c>
      <c r="D431" s="1">
        <v>99</v>
      </c>
      <c r="E431" s="1" t="s">
        <v>12</v>
      </c>
      <c r="F431" s="1">
        <v>169</v>
      </c>
      <c r="G431" s="9">
        <v>76.75</v>
      </c>
      <c r="H431" s="1">
        <v>5</v>
      </c>
      <c r="I4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31" s="9">
        <f>CLIENTS_CHURN[[#This Row],[Facture_Mensuelle]]*CLIENTS_CHURN[[#This Row],[Remise (%)]]</f>
        <v>7.6750000000000007</v>
      </c>
      <c r="K431">
        <f>IF(CLIENTS_CHURN[[#This Row],[Duree_Cumulee_Panne_Min]]&gt;0,1,0)</f>
        <v>1</v>
      </c>
      <c r="L431" t="str">
        <f>IF(CLIENTS_CHURN[[#This Row],[Type_Forfait]]="Pro Monde","B2B","B2C")</f>
        <v>B2B</v>
      </c>
    </row>
    <row r="432" spans="1:12" x14ac:dyDescent="0.25">
      <c r="A432" s="1">
        <f t="shared" si="6"/>
        <v>431</v>
      </c>
      <c r="B432" s="1" t="s">
        <v>495</v>
      </c>
      <c r="C432" s="1" t="s">
        <v>49</v>
      </c>
      <c r="D432" s="1">
        <v>88</v>
      </c>
      <c r="E432" s="1" t="s">
        <v>9</v>
      </c>
      <c r="F432" s="1">
        <v>359</v>
      </c>
      <c r="G432" s="9">
        <v>71.19</v>
      </c>
      <c r="H432" s="1">
        <v>3</v>
      </c>
      <c r="I4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2" s="9">
        <f>CLIENTS_CHURN[[#This Row],[Facture_Mensuelle]]*CLIENTS_CHURN[[#This Row],[Remise (%)]]</f>
        <v>32.035499999999999</v>
      </c>
      <c r="K432">
        <f>IF(CLIENTS_CHURN[[#This Row],[Duree_Cumulee_Panne_Min]]&gt;0,1,0)</f>
        <v>1</v>
      </c>
      <c r="L432" t="str">
        <f>IF(CLIENTS_CHURN[[#This Row],[Type_Forfait]]="Pro Monde","B2B","B2C")</f>
        <v>B2C</v>
      </c>
    </row>
    <row r="433" spans="1:12" x14ac:dyDescent="0.25">
      <c r="A433" s="1">
        <f t="shared" si="6"/>
        <v>432</v>
      </c>
      <c r="B433" s="1" t="s">
        <v>659</v>
      </c>
      <c r="C433" s="1" t="s">
        <v>16</v>
      </c>
      <c r="D433" s="1">
        <v>7</v>
      </c>
      <c r="E433" s="1" t="s">
        <v>17</v>
      </c>
      <c r="F433" s="1">
        <v>43</v>
      </c>
      <c r="G433" s="9">
        <v>41.29</v>
      </c>
      <c r="H433" s="1">
        <v>4</v>
      </c>
      <c r="I4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33" s="9">
        <f>CLIENTS_CHURN[[#This Row],[Facture_Mensuelle]]*CLIENTS_CHURN[[#This Row],[Remise (%)]]</f>
        <v>0</v>
      </c>
      <c r="K433">
        <f>IF(CLIENTS_CHURN[[#This Row],[Duree_Cumulee_Panne_Min]]&gt;0,1,0)</f>
        <v>1</v>
      </c>
      <c r="L433" t="str">
        <f>IF(CLIENTS_CHURN[[#This Row],[Type_Forfait]]="Pro Monde","B2B","B2C")</f>
        <v>B2C</v>
      </c>
    </row>
    <row r="434" spans="1:12" x14ac:dyDescent="0.25">
      <c r="A434" s="1">
        <f t="shared" si="6"/>
        <v>433</v>
      </c>
      <c r="B434" s="1" t="s">
        <v>780</v>
      </c>
      <c r="C434" s="1" t="s">
        <v>16</v>
      </c>
      <c r="D434" s="1">
        <v>68</v>
      </c>
      <c r="E434" s="1" t="s">
        <v>12</v>
      </c>
      <c r="F434" s="1">
        <v>282</v>
      </c>
      <c r="G434" s="9">
        <v>35.43</v>
      </c>
      <c r="H434" s="1">
        <v>1</v>
      </c>
      <c r="I4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4" s="9">
        <f>CLIENTS_CHURN[[#This Row],[Facture_Mensuelle]]*CLIENTS_CHURN[[#This Row],[Remise (%)]]</f>
        <v>15.9435</v>
      </c>
      <c r="K434">
        <f>IF(CLIENTS_CHURN[[#This Row],[Duree_Cumulee_Panne_Min]]&gt;0,1,0)</f>
        <v>1</v>
      </c>
      <c r="L434" t="str">
        <f>IF(CLIENTS_CHURN[[#This Row],[Type_Forfait]]="Pro Monde","B2B","B2C")</f>
        <v>B2B</v>
      </c>
    </row>
    <row r="435" spans="1:12" x14ac:dyDescent="0.25">
      <c r="A435" s="1">
        <f t="shared" si="6"/>
        <v>434</v>
      </c>
      <c r="B435" s="1" t="s">
        <v>131</v>
      </c>
      <c r="C435" s="1" t="s">
        <v>29</v>
      </c>
      <c r="D435" s="1">
        <v>11</v>
      </c>
      <c r="E435" s="1" t="s">
        <v>17</v>
      </c>
      <c r="F435" s="1">
        <v>402</v>
      </c>
      <c r="G435" s="9">
        <v>69.599999999999994</v>
      </c>
      <c r="H435" s="1">
        <v>5</v>
      </c>
      <c r="I4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5" s="9">
        <f>CLIENTS_CHURN[[#This Row],[Facture_Mensuelle]]*CLIENTS_CHURN[[#This Row],[Remise (%)]]</f>
        <v>31.319999999999997</v>
      </c>
      <c r="K435">
        <f>IF(CLIENTS_CHURN[[#This Row],[Duree_Cumulee_Panne_Min]]&gt;0,1,0)</f>
        <v>1</v>
      </c>
      <c r="L435" t="str">
        <f>IF(CLIENTS_CHURN[[#This Row],[Type_Forfait]]="Pro Monde","B2B","B2C")</f>
        <v>B2C</v>
      </c>
    </row>
    <row r="436" spans="1:12" x14ac:dyDescent="0.25">
      <c r="A436" s="1">
        <f t="shared" si="6"/>
        <v>435</v>
      </c>
      <c r="B436" s="1" t="s">
        <v>516</v>
      </c>
      <c r="C436" s="1" t="s">
        <v>35</v>
      </c>
      <c r="D436" s="1">
        <v>1</v>
      </c>
      <c r="E436" s="1" t="s">
        <v>20</v>
      </c>
      <c r="F436" s="1">
        <v>213</v>
      </c>
      <c r="G436" s="9">
        <v>52.16</v>
      </c>
      <c r="H436" s="1">
        <v>3</v>
      </c>
      <c r="I4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36" s="9">
        <f>CLIENTS_CHURN[[#This Row],[Facture_Mensuelle]]*CLIENTS_CHURN[[#This Row],[Remise (%)]]</f>
        <v>0</v>
      </c>
      <c r="K436">
        <f>IF(CLIENTS_CHURN[[#This Row],[Duree_Cumulee_Panne_Min]]&gt;0,1,0)</f>
        <v>1</v>
      </c>
      <c r="L436" t="str">
        <f>IF(CLIENTS_CHURN[[#This Row],[Type_Forfait]]="Pro Monde","B2B","B2C")</f>
        <v>B2C</v>
      </c>
    </row>
    <row r="437" spans="1:12" x14ac:dyDescent="0.25">
      <c r="A437" s="1">
        <f t="shared" si="6"/>
        <v>436</v>
      </c>
      <c r="B437" s="1" t="s">
        <v>750</v>
      </c>
      <c r="C437" s="1" t="s">
        <v>134</v>
      </c>
      <c r="D437" s="1">
        <v>98</v>
      </c>
      <c r="E437" s="1" t="s">
        <v>12</v>
      </c>
      <c r="F437" s="1">
        <v>168</v>
      </c>
      <c r="G437" s="9">
        <v>44.14</v>
      </c>
      <c r="H437" s="1">
        <v>3</v>
      </c>
      <c r="I4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37" s="9">
        <f>CLIENTS_CHURN[[#This Row],[Facture_Mensuelle]]*CLIENTS_CHURN[[#This Row],[Remise (%)]]</f>
        <v>4.4140000000000006</v>
      </c>
      <c r="K437">
        <f>IF(CLIENTS_CHURN[[#This Row],[Duree_Cumulee_Panne_Min]]&gt;0,1,0)</f>
        <v>1</v>
      </c>
      <c r="L437" t="str">
        <f>IF(CLIENTS_CHURN[[#This Row],[Type_Forfait]]="Pro Monde","B2B","B2C")</f>
        <v>B2B</v>
      </c>
    </row>
    <row r="438" spans="1:12" x14ac:dyDescent="0.25">
      <c r="A438" s="1">
        <f t="shared" si="6"/>
        <v>437</v>
      </c>
      <c r="B438" s="1" t="s">
        <v>283</v>
      </c>
      <c r="C438" s="1" t="s">
        <v>8</v>
      </c>
      <c r="D438" s="1">
        <v>3</v>
      </c>
      <c r="E438" s="1" t="s">
        <v>20</v>
      </c>
      <c r="F438" s="1">
        <v>356</v>
      </c>
      <c r="G438" s="9">
        <v>91.6</v>
      </c>
      <c r="H438" s="1">
        <v>3</v>
      </c>
      <c r="I4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8" s="9">
        <f>CLIENTS_CHURN[[#This Row],[Facture_Mensuelle]]*CLIENTS_CHURN[[#This Row],[Remise (%)]]</f>
        <v>41.22</v>
      </c>
      <c r="K438">
        <f>IF(CLIENTS_CHURN[[#This Row],[Duree_Cumulee_Panne_Min]]&gt;0,1,0)</f>
        <v>1</v>
      </c>
      <c r="L438" t="str">
        <f>IF(CLIENTS_CHURN[[#This Row],[Type_Forfait]]="Pro Monde","B2B","B2C")</f>
        <v>B2C</v>
      </c>
    </row>
    <row r="439" spans="1:12" x14ac:dyDescent="0.25">
      <c r="A439" s="1">
        <f t="shared" si="6"/>
        <v>438</v>
      </c>
      <c r="B439" s="1" t="s">
        <v>271</v>
      </c>
      <c r="C439" s="1" t="s">
        <v>8</v>
      </c>
      <c r="D439" s="1">
        <v>85</v>
      </c>
      <c r="E439" s="1" t="s">
        <v>9</v>
      </c>
      <c r="F439" s="1">
        <v>274</v>
      </c>
      <c r="G439" s="9">
        <v>35.03</v>
      </c>
      <c r="H439" s="1">
        <v>1</v>
      </c>
      <c r="I4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39" s="9">
        <f>CLIENTS_CHURN[[#This Row],[Facture_Mensuelle]]*CLIENTS_CHURN[[#This Row],[Remise (%)]]</f>
        <v>15.763500000000001</v>
      </c>
      <c r="K439">
        <f>IF(CLIENTS_CHURN[[#This Row],[Duree_Cumulee_Panne_Min]]&gt;0,1,0)</f>
        <v>1</v>
      </c>
      <c r="L439" t="str">
        <f>IF(CLIENTS_CHURN[[#This Row],[Type_Forfait]]="Pro Monde","B2B","B2C")</f>
        <v>B2C</v>
      </c>
    </row>
    <row r="440" spans="1:12" x14ac:dyDescent="0.25">
      <c r="A440" s="1">
        <f t="shared" si="6"/>
        <v>439</v>
      </c>
      <c r="B440" s="1" t="s">
        <v>742</v>
      </c>
      <c r="C440" s="1" t="s">
        <v>128</v>
      </c>
      <c r="D440" s="1">
        <v>79</v>
      </c>
      <c r="E440" s="1" t="s">
        <v>9</v>
      </c>
      <c r="F440" s="1">
        <v>454</v>
      </c>
      <c r="G440" s="9">
        <v>80.34</v>
      </c>
      <c r="H440" s="1">
        <v>2</v>
      </c>
      <c r="I4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40" s="9">
        <f>CLIENTS_CHURN[[#This Row],[Facture_Mensuelle]]*CLIENTS_CHURN[[#This Row],[Remise (%)]]</f>
        <v>36.153000000000006</v>
      </c>
      <c r="K440">
        <f>IF(CLIENTS_CHURN[[#This Row],[Duree_Cumulee_Panne_Min]]&gt;0,1,0)</f>
        <v>1</v>
      </c>
      <c r="L440" t="str">
        <f>IF(CLIENTS_CHURN[[#This Row],[Type_Forfait]]="Pro Monde","B2B","B2C")</f>
        <v>B2C</v>
      </c>
    </row>
    <row r="441" spans="1:12" x14ac:dyDescent="0.25">
      <c r="A441" s="1">
        <f t="shared" si="6"/>
        <v>440</v>
      </c>
      <c r="B441" s="1" t="s">
        <v>385</v>
      </c>
      <c r="C441" s="1" t="s">
        <v>33</v>
      </c>
      <c r="D441" s="1">
        <v>65</v>
      </c>
      <c r="E441" s="1" t="s">
        <v>17</v>
      </c>
      <c r="F441" s="1">
        <v>442</v>
      </c>
      <c r="G441" s="9">
        <v>60.62</v>
      </c>
      <c r="H441" s="1">
        <v>5</v>
      </c>
      <c r="I4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41" s="9">
        <f>CLIENTS_CHURN[[#This Row],[Facture_Mensuelle]]*CLIENTS_CHURN[[#This Row],[Remise (%)]]</f>
        <v>27.279</v>
      </c>
      <c r="K441">
        <f>IF(CLIENTS_CHURN[[#This Row],[Duree_Cumulee_Panne_Min]]&gt;0,1,0)</f>
        <v>1</v>
      </c>
      <c r="L441" t="str">
        <f>IF(CLIENTS_CHURN[[#This Row],[Type_Forfait]]="Pro Monde","B2B","B2C")</f>
        <v>B2C</v>
      </c>
    </row>
    <row r="442" spans="1:12" x14ac:dyDescent="0.25">
      <c r="A442" s="1">
        <f t="shared" si="6"/>
        <v>441</v>
      </c>
      <c r="B442" s="1" t="s">
        <v>398</v>
      </c>
      <c r="C442" s="1" t="s">
        <v>42</v>
      </c>
      <c r="D442" s="1">
        <v>2</v>
      </c>
      <c r="E442" s="1" t="s">
        <v>9</v>
      </c>
      <c r="F442" s="1">
        <v>21</v>
      </c>
      <c r="G442" s="9">
        <v>51.68</v>
      </c>
      <c r="H442" s="1">
        <v>3</v>
      </c>
      <c r="I4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42" s="9">
        <f>CLIENTS_CHURN[[#This Row],[Facture_Mensuelle]]*CLIENTS_CHURN[[#This Row],[Remise (%)]]</f>
        <v>0</v>
      </c>
      <c r="K442">
        <f>IF(CLIENTS_CHURN[[#This Row],[Duree_Cumulee_Panne_Min]]&gt;0,1,0)</f>
        <v>1</v>
      </c>
      <c r="L442" t="str">
        <f>IF(CLIENTS_CHURN[[#This Row],[Type_Forfait]]="Pro Monde","B2B","B2C")</f>
        <v>B2C</v>
      </c>
    </row>
    <row r="443" spans="1:12" x14ac:dyDescent="0.25">
      <c r="A443" s="1">
        <f t="shared" si="6"/>
        <v>442</v>
      </c>
      <c r="B443" s="1" t="s">
        <v>103</v>
      </c>
      <c r="C443" s="1" t="s">
        <v>86</v>
      </c>
      <c r="D443" s="1">
        <v>51</v>
      </c>
      <c r="E443" s="1" t="s">
        <v>20</v>
      </c>
      <c r="F443" s="1">
        <v>58</v>
      </c>
      <c r="G443" s="9">
        <v>34.6</v>
      </c>
      <c r="H443" s="1">
        <v>5</v>
      </c>
      <c r="I4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43" s="9">
        <f>CLIENTS_CHURN[[#This Row],[Facture_Mensuelle]]*CLIENTS_CHURN[[#This Row],[Remise (%)]]</f>
        <v>0</v>
      </c>
      <c r="K443">
        <f>IF(CLIENTS_CHURN[[#This Row],[Duree_Cumulee_Panne_Min]]&gt;0,1,0)</f>
        <v>1</v>
      </c>
      <c r="L443" t="str">
        <f>IF(CLIENTS_CHURN[[#This Row],[Type_Forfait]]="Pro Monde","B2B","B2C")</f>
        <v>B2C</v>
      </c>
    </row>
    <row r="444" spans="1:12" x14ac:dyDescent="0.25">
      <c r="A444" s="1">
        <f t="shared" si="6"/>
        <v>443</v>
      </c>
      <c r="B444" s="1" t="s">
        <v>315</v>
      </c>
      <c r="C444" s="1" t="s">
        <v>128</v>
      </c>
      <c r="D444" s="1">
        <v>63</v>
      </c>
      <c r="E444" s="1" t="s">
        <v>12</v>
      </c>
      <c r="F444" s="1">
        <v>141</v>
      </c>
      <c r="G444" s="9">
        <v>95.6</v>
      </c>
      <c r="H444" s="1">
        <v>4</v>
      </c>
      <c r="I4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44" s="9">
        <f>CLIENTS_CHURN[[#This Row],[Facture_Mensuelle]]*CLIENTS_CHURN[[#This Row],[Remise (%)]]</f>
        <v>9.56</v>
      </c>
      <c r="K444">
        <f>IF(CLIENTS_CHURN[[#This Row],[Duree_Cumulee_Panne_Min]]&gt;0,1,0)</f>
        <v>1</v>
      </c>
      <c r="L444" t="str">
        <f>IF(CLIENTS_CHURN[[#This Row],[Type_Forfait]]="Pro Monde","B2B","B2C")</f>
        <v>B2B</v>
      </c>
    </row>
    <row r="445" spans="1:12" x14ac:dyDescent="0.25">
      <c r="A445" s="1">
        <f t="shared" si="6"/>
        <v>444</v>
      </c>
      <c r="B445" s="1" t="s">
        <v>59</v>
      </c>
      <c r="C445" s="1" t="s">
        <v>60</v>
      </c>
      <c r="D445" s="1">
        <v>101</v>
      </c>
      <c r="E445" s="1" t="s">
        <v>12</v>
      </c>
      <c r="F445" s="1">
        <v>333</v>
      </c>
      <c r="G445" s="9">
        <v>74.319999999999993</v>
      </c>
      <c r="H445" s="1">
        <v>1</v>
      </c>
      <c r="I4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45" s="9">
        <f>CLIENTS_CHURN[[#This Row],[Facture_Mensuelle]]*CLIENTS_CHURN[[#This Row],[Remise (%)]]</f>
        <v>33.443999999999996</v>
      </c>
      <c r="K445">
        <f>IF(CLIENTS_CHURN[[#This Row],[Duree_Cumulee_Panne_Min]]&gt;0,1,0)</f>
        <v>1</v>
      </c>
      <c r="L445" t="str">
        <f>IF(CLIENTS_CHURN[[#This Row],[Type_Forfait]]="Pro Monde","B2B","B2C")</f>
        <v>B2B</v>
      </c>
    </row>
    <row r="446" spans="1:12" x14ac:dyDescent="0.25">
      <c r="A446" s="1">
        <f t="shared" si="6"/>
        <v>445</v>
      </c>
      <c r="B446" s="1" t="s">
        <v>233</v>
      </c>
      <c r="C446" s="1" t="s">
        <v>38</v>
      </c>
      <c r="D446" s="1">
        <v>33</v>
      </c>
      <c r="E446" s="1" t="s">
        <v>9</v>
      </c>
      <c r="F446" s="1">
        <v>285</v>
      </c>
      <c r="G446" s="9">
        <v>56.67</v>
      </c>
      <c r="H446" s="1">
        <v>2</v>
      </c>
      <c r="I4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46" s="9">
        <f>CLIENTS_CHURN[[#This Row],[Facture_Mensuelle]]*CLIENTS_CHURN[[#This Row],[Remise (%)]]</f>
        <v>25.5015</v>
      </c>
      <c r="K446">
        <f>IF(CLIENTS_CHURN[[#This Row],[Duree_Cumulee_Panne_Min]]&gt;0,1,0)</f>
        <v>1</v>
      </c>
      <c r="L446" t="str">
        <f>IF(CLIENTS_CHURN[[#This Row],[Type_Forfait]]="Pro Monde","B2B","B2C")</f>
        <v>B2C</v>
      </c>
    </row>
    <row r="447" spans="1:12" x14ac:dyDescent="0.25">
      <c r="A447" s="1">
        <f t="shared" si="6"/>
        <v>446</v>
      </c>
      <c r="B447" s="1" t="s">
        <v>573</v>
      </c>
      <c r="C447" s="1" t="s">
        <v>22</v>
      </c>
      <c r="D447" s="1">
        <v>17</v>
      </c>
      <c r="E447" s="1" t="s">
        <v>12</v>
      </c>
      <c r="F447" s="1">
        <v>175</v>
      </c>
      <c r="G447" s="9">
        <v>24.95</v>
      </c>
      <c r="H447" s="1">
        <v>4</v>
      </c>
      <c r="I4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47" s="9">
        <f>CLIENTS_CHURN[[#This Row],[Facture_Mensuelle]]*CLIENTS_CHURN[[#This Row],[Remise (%)]]</f>
        <v>2.4950000000000001</v>
      </c>
      <c r="K447">
        <f>IF(CLIENTS_CHURN[[#This Row],[Duree_Cumulee_Panne_Min]]&gt;0,1,0)</f>
        <v>1</v>
      </c>
      <c r="L447" t="str">
        <f>IF(CLIENTS_CHURN[[#This Row],[Type_Forfait]]="Pro Monde","B2B","B2C")</f>
        <v>B2B</v>
      </c>
    </row>
    <row r="448" spans="1:12" x14ac:dyDescent="0.25">
      <c r="A448" s="1">
        <f t="shared" si="6"/>
        <v>447</v>
      </c>
      <c r="B448" s="1" t="s">
        <v>670</v>
      </c>
      <c r="C448" s="1" t="s">
        <v>24</v>
      </c>
      <c r="D448" s="1">
        <v>89</v>
      </c>
      <c r="E448" s="1" t="s">
        <v>12</v>
      </c>
      <c r="F448" s="1">
        <v>225</v>
      </c>
      <c r="G448" s="9">
        <v>38.36</v>
      </c>
      <c r="H448" s="1">
        <v>2</v>
      </c>
      <c r="I4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48" s="9">
        <f>CLIENTS_CHURN[[#This Row],[Facture_Mensuelle]]*CLIENTS_CHURN[[#This Row],[Remise (%)]]</f>
        <v>3.8360000000000003</v>
      </c>
      <c r="K448">
        <f>IF(CLIENTS_CHURN[[#This Row],[Duree_Cumulee_Panne_Min]]&gt;0,1,0)</f>
        <v>1</v>
      </c>
      <c r="L448" t="str">
        <f>IF(CLIENTS_CHURN[[#This Row],[Type_Forfait]]="Pro Monde","B2B","B2C")</f>
        <v>B2B</v>
      </c>
    </row>
    <row r="449" spans="1:12" x14ac:dyDescent="0.25">
      <c r="A449" s="1">
        <f t="shared" si="6"/>
        <v>448</v>
      </c>
      <c r="B449" s="1" t="s">
        <v>158</v>
      </c>
      <c r="C449" s="1" t="s">
        <v>24</v>
      </c>
      <c r="D449" s="1">
        <v>88</v>
      </c>
      <c r="E449" s="1" t="s">
        <v>9</v>
      </c>
      <c r="F449" s="1">
        <v>232</v>
      </c>
      <c r="G449" s="9">
        <v>40.94</v>
      </c>
      <c r="H449" s="1">
        <v>2</v>
      </c>
      <c r="I4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49" s="9">
        <f>CLIENTS_CHURN[[#This Row],[Facture_Mensuelle]]*CLIENTS_CHURN[[#This Row],[Remise (%)]]</f>
        <v>0</v>
      </c>
      <c r="K449">
        <f>IF(CLIENTS_CHURN[[#This Row],[Duree_Cumulee_Panne_Min]]&gt;0,1,0)</f>
        <v>1</v>
      </c>
      <c r="L449" t="str">
        <f>IF(CLIENTS_CHURN[[#This Row],[Type_Forfait]]="Pro Monde","B2B","B2C")</f>
        <v>B2C</v>
      </c>
    </row>
    <row r="450" spans="1:12" x14ac:dyDescent="0.25">
      <c r="A450" s="1">
        <f t="shared" si="6"/>
        <v>449</v>
      </c>
      <c r="B450" s="1" t="s">
        <v>396</v>
      </c>
      <c r="C450" s="1" t="s">
        <v>8</v>
      </c>
      <c r="D450" s="1">
        <v>29</v>
      </c>
      <c r="E450" s="1" t="s">
        <v>9</v>
      </c>
      <c r="F450" s="1">
        <v>350</v>
      </c>
      <c r="G450" s="9">
        <v>84.32</v>
      </c>
      <c r="H450" s="1">
        <v>3</v>
      </c>
      <c r="I4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0" s="9">
        <f>CLIENTS_CHURN[[#This Row],[Facture_Mensuelle]]*CLIENTS_CHURN[[#This Row],[Remise (%)]]</f>
        <v>37.943999999999996</v>
      </c>
      <c r="K450">
        <f>IF(CLIENTS_CHURN[[#This Row],[Duree_Cumulee_Panne_Min]]&gt;0,1,0)</f>
        <v>1</v>
      </c>
      <c r="L450" t="str">
        <f>IF(CLIENTS_CHURN[[#This Row],[Type_Forfait]]="Pro Monde","B2B","B2C")</f>
        <v>B2C</v>
      </c>
    </row>
    <row r="451" spans="1:12" x14ac:dyDescent="0.25">
      <c r="A451" s="1">
        <f t="shared" si="6"/>
        <v>450</v>
      </c>
      <c r="B451" s="1" t="s">
        <v>751</v>
      </c>
      <c r="C451" s="1" t="s">
        <v>11</v>
      </c>
      <c r="D451" s="1">
        <v>48</v>
      </c>
      <c r="E451" s="1" t="s">
        <v>9</v>
      </c>
      <c r="F451" s="1">
        <v>473</v>
      </c>
      <c r="G451" s="9">
        <v>71.52</v>
      </c>
      <c r="H451" s="1">
        <v>5</v>
      </c>
      <c r="I4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1" s="9">
        <f>CLIENTS_CHURN[[#This Row],[Facture_Mensuelle]]*CLIENTS_CHURN[[#This Row],[Remise (%)]]</f>
        <v>32.183999999999997</v>
      </c>
      <c r="K451">
        <f>IF(CLIENTS_CHURN[[#This Row],[Duree_Cumulee_Panne_Min]]&gt;0,1,0)</f>
        <v>1</v>
      </c>
      <c r="L451" t="str">
        <f>IF(CLIENTS_CHURN[[#This Row],[Type_Forfait]]="Pro Monde","B2B","B2C")</f>
        <v>B2C</v>
      </c>
    </row>
    <row r="452" spans="1:12" x14ac:dyDescent="0.25">
      <c r="A452" s="1">
        <f t="shared" ref="A452:A515" si="7">A451+1</f>
        <v>451</v>
      </c>
      <c r="B452" s="1" t="s">
        <v>302</v>
      </c>
      <c r="C452" s="1" t="s">
        <v>33</v>
      </c>
      <c r="D452" s="1">
        <v>73</v>
      </c>
      <c r="E452" s="1" t="s">
        <v>20</v>
      </c>
      <c r="F452" s="1">
        <v>225</v>
      </c>
      <c r="G452" s="9">
        <v>45.86</v>
      </c>
      <c r="H452" s="1">
        <v>0</v>
      </c>
      <c r="I4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52" s="9">
        <f>CLIENTS_CHURN[[#This Row],[Facture_Mensuelle]]*CLIENTS_CHURN[[#This Row],[Remise (%)]]</f>
        <v>0</v>
      </c>
      <c r="K452">
        <f>IF(CLIENTS_CHURN[[#This Row],[Duree_Cumulee_Panne_Min]]&gt;0,1,0)</f>
        <v>1</v>
      </c>
      <c r="L452" t="str">
        <f>IF(CLIENTS_CHURN[[#This Row],[Type_Forfait]]="Pro Monde","B2B","B2C")</f>
        <v>B2C</v>
      </c>
    </row>
    <row r="453" spans="1:12" x14ac:dyDescent="0.25">
      <c r="A453" s="1">
        <f t="shared" si="7"/>
        <v>452</v>
      </c>
      <c r="B453" s="1" t="s">
        <v>441</v>
      </c>
      <c r="C453" s="1" t="s">
        <v>11</v>
      </c>
      <c r="D453" s="1">
        <v>35</v>
      </c>
      <c r="E453" s="1" t="s">
        <v>12</v>
      </c>
      <c r="F453" s="1">
        <v>292</v>
      </c>
      <c r="G453" s="9">
        <v>39.21</v>
      </c>
      <c r="H453" s="1">
        <v>1</v>
      </c>
      <c r="I4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3" s="9">
        <f>CLIENTS_CHURN[[#This Row],[Facture_Mensuelle]]*CLIENTS_CHURN[[#This Row],[Remise (%)]]</f>
        <v>17.644500000000001</v>
      </c>
      <c r="K453">
        <f>IF(CLIENTS_CHURN[[#This Row],[Duree_Cumulee_Panne_Min]]&gt;0,1,0)</f>
        <v>1</v>
      </c>
      <c r="L453" t="str">
        <f>IF(CLIENTS_CHURN[[#This Row],[Type_Forfait]]="Pro Monde","B2B","B2C")</f>
        <v>B2B</v>
      </c>
    </row>
    <row r="454" spans="1:12" x14ac:dyDescent="0.25">
      <c r="A454" s="1">
        <f t="shared" si="7"/>
        <v>453</v>
      </c>
      <c r="B454" s="1" t="s">
        <v>592</v>
      </c>
      <c r="C454" s="1" t="s">
        <v>49</v>
      </c>
      <c r="D454" s="1">
        <v>107</v>
      </c>
      <c r="E454" s="1" t="s">
        <v>20</v>
      </c>
      <c r="F454" s="1">
        <v>290</v>
      </c>
      <c r="G454" s="9">
        <v>52.03</v>
      </c>
      <c r="H454" s="1">
        <v>0</v>
      </c>
      <c r="I4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4" s="9">
        <f>CLIENTS_CHURN[[#This Row],[Facture_Mensuelle]]*CLIENTS_CHURN[[#This Row],[Remise (%)]]</f>
        <v>23.413500000000003</v>
      </c>
      <c r="K454">
        <f>IF(CLIENTS_CHURN[[#This Row],[Duree_Cumulee_Panne_Min]]&gt;0,1,0)</f>
        <v>1</v>
      </c>
      <c r="L454" t="str">
        <f>IF(CLIENTS_CHURN[[#This Row],[Type_Forfait]]="Pro Monde","B2B","B2C")</f>
        <v>B2C</v>
      </c>
    </row>
    <row r="455" spans="1:12" x14ac:dyDescent="0.25">
      <c r="A455" s="1">
        <f t="shared" si="7"/>
        <v>454</v>
      </c>
      <c r="B455" s="1" t="s">
        <v>690</v>
      </c>
      <c r="C455" s="1" t="s">
        <v>19</v>
      </c>
      <c r="D455" s="1">
        <v>80</v>
      </c>
      <c r="E455" s="1" t="s">
        <v>17</v>
      </c>
      <c r="F455" s="1">
        <v>65</v>
      </c>
      <c r="G455" s="9">
        <v>76.64</v>
      </c>
      <c r="H455" s="1">
        <v>3</v>
      </c>
      <c r="I4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55" s="9">
        <f>CLIENTS_CHURN[[#This Row],[Facture_Mensuelle]]*CLIENTS_CHURN[[#This Row],[Remise (%)]]</f>
        <v>0</v>
      </c>
      <c r="K455">
        <f>IF(CLIENTS_CHURN[[#This Row],[Duree_Cumulee_Panne_Min]]&gt;0,1,0)</f>
        <v>1</v>
      </c>
      <c r="L455" t="str">
        <f>IF(CLIENTS_CHURN[[#This Row],[Type_Forfait]]="Pro Monde","B2B","B2C")</f>
        <v>B2C</v>
      </c>
    </row>
    <row r="456" spans="1:12" x14ac:dyDescent="0.25">
      <c r="A456" s="1">
        <f t="shared" si="7"/>
        <v>455</v>
      </c>
      <c r="B456" s="1" t="s">
        <v>313</v>
      </c>
      <c r="C456" s="1" t="s">
        <v>124</v>
      </c>
      <c r="D456" s="1">
        <v>66</v>
      </c>
      <c r="E456" s="1" t="s">
        <v>9</v>
      </c>
      <c r="F456" s="1">
        <v>193</v>
      </c>
      <c r="G456" s="9">
        <v>21.06</v>
      </c>
      <c r="H456" s="1">
        <v>3</v>
      </c>
      <c r="I4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56" s="9">
        <f>CLIENTS_CHURN[[#This Row],[Facture_Mensuelle]]*CLIENTS_CHURN[[#This Row],[Remise (%)]]</f>
        <v>0</v>
      </c>
      <c r="K456">
        <f>IF(CLIENTS_CHURN[[#This Row],[Duree_Cumulee_Panne_Min]]&gt;0,1,0)</f>
        <v>1</v>
      </c>
      <c r="L456" t="str">
        <f>IF(CLIENTS_CHURN[[#This Row],[Type_Forfait]]="Pro Monde","B2B","B2C")</f>
        <v>B2C</v>
      </c>
    </row>
    <row r="457" spans="1:12" x14ac:dyDescent="0.25">
      <c r="A457" s="1">
        <f t="shared" si="7"/>
        <v>456</v>
      </c>
      <c r="B457" s="1" t="s">
        <v>689</v>
      </c>
      <c r="C457" s="1" t="s">
        <v>8</v>
      </c>
      <c r="D457" s="1">
        <v>38</v>
      </c>
      <c r="E457" s="1" t="s">
        <v>20</v>
      </c>
      <c r="F457" s="1">
        <v>191</v>
      </c>
      <c r="G457" s="9">
        <v>22.97</v>
      </c>
      <c r="H457" s="1">
        <v>3</v>
      </c>
      <c r="I4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57" s="9">
        <f>CLIENTS_CHURN[[#This Row],[Facture_Mensuelle]]*CLIENTS_CHURN[[#This Row],[Remise (%)]]</f>
        <v>0</v>
      </c>
      <c r="K457">
        <f>IF(CLIENTS_CHURN[[#This Row],[Duree_Cumulee_Panne_Min]]&gt;0,1,0)</f>
        <v>1</v>
      </c>
      <c r="L457" t="str">
        <f>IF(CLIENTS_CHURN[[#This Row],[Type_Forfait]]="Pro Monde","B2B","B2C")</f>
        <v>B2C</v>
      </c>
    </row>
    <row r="458" spans="1:12" x14ac:dyDescent="0.25">
      <c r="A458" s="1">
        <f t="shared" si="7"/>
        <v>457</v>
      </c>
      <c r="B458" s="1" t="s">
        <v>405</v>
      </c>
      <c r="C458" s="1" t="s">
        <v>14</v>
      </c>
      <c r="D458" s="1">
        <v>119</v>
      </c>
      <c r="E458" s="1" t="s">
        <v>12</v>
      </c>
      <c r="F458" s="1">
        <v>451</v>
      </c>
      <c r="G458" s="9">
        <v>10.46</v>
      </c>
      <c r="H458" s="1">
        <v>5</v>
      </c>
      <c r="I4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8" s="9">
        <f>CLIENTS_CHURN[[#This Row],[Facture_Mensuelle]]*CLIENTS_CHURN[[#This Row],[Remise (%)]]</f>
        <v>4.7070000000000007</v>
      </c>
      <c r="K458">
        <f>IF(CLIENTS_CHURN[[#This Row],[Duree_Cumulee_Panne_Min]]&gt;0,1,0)</f>
        <v>1</v>
      </c>
      <c r="L458" t="str">
        <f>IF(CLIENTS_CHURN[[#This Row],[Type_Forfait]]="Pro Monde","B2B","B2C")</f>
        <v>B2B</v>
      </c>
    </row>
    <row r="459" spans="1:12" x14ac:dyDescent="0.25">
      <c r="A459" s="1">
        <f t="shared" si="7"/>
        <v>458</v>
      </c>
      <c r="B459" s="1" t="s">
        <v>535</v>
      </c>
      <c r="C459" s="1" t="s">
        <v>8</v>
      </c>
      <c r="D459" s="1">
        <v>55</v>
      </c>
      <c r="E459" s="1" t="s">
        <v>17</v>
      </c>
      <c r="F459" s="1">
        <v>355</v>
      </c>
      <c r="G459" s="9">
        <v>59.65</v>
      </c>
      <c r="H459" s="1">
        <v>0</v>
      </c>
      <c r="I4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59" s="9">
        <f>CLIENTS_CHURN[[#This Row],[Facture_Mensuelle]]*CLIENTS_CHURN[[#This Row],[Remise (%)]]</f>
        <v>26.842500000000001</v>
      </c>
      <c r="K459">
        <f>IF(CLIENTS_CHURN[[#This Row],[Duree_Cumulee_Panne_Min]]&gt;0,1,0)</f>
        <v>1</v>
      </c>
      <c r="L459" t="str">
        <f>IF(CLIENTS_CHURN[[#This Row],[Type_Forfait]]="Pro Monde","B2B","B2C")</f>
        <v>B2C</v>
      </c>
    </row>
    <row r="460" spans="1:12" x14ac:dyDescent="0.25">
      <c r="A460" s="1">
        <f t="shared" si="7"/>
        <v>459</v>
      </c>
      <c r="B460" s="1" t="s">
        <v>663</v>
      </c>
      <c r="C460" s="1" t="s">
        <v>134</v>
      </c>
      <c r="D460" s="1">
        <v>6</v>
      </c>
      <c r="E460" s="1" t="s">
        <v>20</v>
      </c>
      <c r="F460" s="1">
        <v>77</v>
      </c>
      <c r="G460" s="9">
        <v>18.48</v>
      </c>
      <c r="H460" s="1">
        <v>2</v>
      </c>
      <c r="I4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60" s="9">
        <f>CLIENTS_CHURN[[#This Row],[Facture_Mensuelle]]*CLIENTS_CHURN[[#This Row],[Remise (%)]]</f>
        <v>0</v>
      </c>
      <c r="K460">
        <f>IF(CLIENTS_CHURN[[#This Row],[Duree_Cumulee_Panne_Min]]&gt;0,1,0)</f>
        <v>1</v>
      </c>
      <c r="L460" t="str">
        <f>IF(CLIENTS_CHURN[[#This Row],[Type_Forfait]]="Pro Monde","B2B","B2C")</f>
        <v>B2C</v>
      </c>
    </row>
    <row r="461" spans="1:12" x14ac:dyDescent="0.25">
      <c r="A461" s="1">
        <f t="shared" si="7"/>
        <v>460</v>
      </c>
      <c r="B461" s="1" t="s">
        <v>709</v>
      </c>
      <c r="C461" s="1" t="s">
        <v>128</v>
      </c>
      <c r="D461" s="1">
        <v>63</v>
      </c>
      <c r="E461" s="1" t="s">
        <v>20</v>
      </c>
      <c r="F461" s="1">
        <v>265</v>
      </c>
      <c r="G461" s="9">
        <v>49.94</v>
      </c>
      <c r="H461" s="1">
        <v>1</v>
      </c>
      <c r="I4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1" s="9">
        <f>CLIENTS_CHURN[[#This Row],[Facture_Mensuelle]]*CLIENTS_CHURN[[#This Row],[Remise (%)]]</f>
        <v>22.472999999999999</v>
      </c>
      <c r="K461">
        <f>IF(CLIENTS_CHURN[[#This Row],[Duree_Cumulee_Panne_Min]]&gt;0,1,0)</f>
        <v>1</v>
      </c>
      <c r="L461" t="str">
        <f>IF(CLIENTS_CHURN[[#This Row],[Type_Forfait]]="Pro Monde","B2B","B2C")</f>
        <v>B2C</v>
      </c>
    </row>
    <row r="462" spans="1:12" x14ac:dyDescent="0.25">
      <c r="A462" s="1">
        <f t="shared" si="7"/>
        <v>461</v>
      </c>
      <c r="B462" s="1" t="s">
        <v>303</v>
      </c>
      <c r="C462" s="1" t="s">
        <v>29</v>
      </c>
      <c r="D462" s="1">
        <v>21</v>
      </c>
      <c r="E462" s="1" t="s">
        <v>12</v>
      </c>
      <c r="F462" s="1">
        <v>320</v>
      </c>
      <c r="G462" s="9">
        <v>64.97</v>
      </c>
      <c r="H462" s="1">
        <v>1</v>
      </c>
      <c r="I4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2" s="9">
        <f>CLIENTS_CHURN[[#This Row],[Facture_Mensuelle]]*CLIENTS_CHURN[[#This Row],[Remise (%)]]</f>
        <v>29.236499999999999</v>
      </c>
      <c r="K462">
        <f>IF(CLIENTS_CHURN[[#This Row],[Duree_Cumulee_Panne_Min]]&gt;0,1,0)</f>
        <v>1</v>
      </c>
      <c r="L462" t="str">
        <f>IF(CLIENTS_CHURN[[#This Row],[Type_Forfait]]="Pro Monde","B2B","B2C")</f>
        <v>B2B</v>
      </c>
    </row>
    <row r="463" spans="1:12" x14ac:dyDescent="0.25">
      <c r="A463" s="1">
        <f t="shared" si="7"/>
        <v>462</v>
      </c>
      <c r="B463" s="1" t="s">
        <v>255</v>
      </c>
      <c r="C463" s="1" t="s">
        <v>128</v>
      </c>
      <c r="D463" s="1">
        <v>5</v>
      </c>
      <c r="E463" s="1" t="s">
        <v>9</v>
      </c>
      <c r="F463" s="1">
        <v>417</v>
      </c>
      <c r="G463" s="9">
        <v>90.71</v>
      </c>
      <c r="H463" s="1">
        <v>1</v>
      </c>
      <c r="I4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3" s="9">
        <f>CLIENTS_CHURN[[#This Row],[Facture_Mensuelle]]*CLIENTS_CHURN[[#This Row],[Remise (%)]]</f>
        <v>40.819499999999998</v>
      </c>
      <c r="K463">
        <f>IF(CLIENTS_CHURN[[#This Row],[Duree_Cumulee_Panne_Min]]&gt;0,1,0)</f>
        <v>1</v>
      </c>
      <c r="L463" t="str">
        <f>IF(CLIENTS_CHURN[[#This Row],[Type_Forfait]]="Pro Monde","B2B","B2C")</f>
        <v>B2C</v>
      </c>
    </row>
    <row r="464" spans="1:12" x14ac:dyDescent="0.25">
      <c r="A464" s="1">
        <f t="shared" si="7"/>
        <v>463</v>
      </c>
      <c r="B464" s="1" t="s">
        <v>609</v>
      </c>
      <c r="C464" s="1" t="s">
        <v>71</v>
      </c>
      <c r="D464" s="1">
        <v>30</v>
      </c>
      <c r="E464" s="1" t="s">
        <v>17</v>
      </c>
      <c r="F464" s="1">
        <v>130</v>
      </c>
      <c r="G464" s="9">
        <v>50.15</v>
      </c>
      <c r="H464" s="1">
        <v>4</v>
      </c>
      <c r="I4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64" s="9">
        <f>CLIENTS_CHURN[[#This Row],[Facture_Mensuelle]]*CLIENTS_CHURN[[#This Row],[Remise (%)]]</f>
        <v>0</v>
      </c>
      <c r="K464">
        <f>IF(CLIENTS_CHURN[[#This Row],[Duree_Cumulee_Panne_Min]]&gt;0,1,0)</f>
        <v>1</v>
      </c>
      <c r="L464" t="str">
        <f>IF(CLIENTS_CHURN[[#This Row],[Type_Forfait]]="Pro Monde","B2B","B2C")</f>
        <v>B2C</v>
      </c>
    </row>
    <row r="465" spans="1:12" x14ac:dyDescent="0.25">
      <c r="A465" s="1">
        <f t="shared" si="7"/>
        <v>464</v>
      </c>
      <c r="B465" s="1" t="s">
        <v>247</v>
      </c>
      <c r="C465" s="1" t="s">
        <v>8</v>
      </c>
      <c r="D465" s="1">
        <v>60</v>
      </c>
      <c r="E465" s="1" t="s">
        <v>20</v>
      </c>
      <c r="F465" s="1">
        <v>161</v>
      </c>
      <c r="G465" s="9">
        <v>62.65</v>
      </c>
      <c r="H465" s="1">
        <v>0</v>
      </c>
      <c r="I4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65" s="9">
        <f>CLIENTS_CHURN[[#This Row],[Facture_Mensuelle]]*CLIENTS_CHURN[[#This Row],[Remise (%)]]</f>
        <v>0</v>
      </c>
      <c r="K465">
        <f>IF(CLIENTS_CHURN[[#This Row],[Duree_Cumulee_Panne_Min]]&gt;0,1,0)</f>
        <v>1</v>
      </c>
      <c r="L465" t="str">
        <f>IF(CLIENTS_CHURN[[#This Row],[Type_Forfait]]="Pro Monde","B2B","B2C")</f>
        <v>B2C</v>
      </c>
    </row>
    <row r="466" spans="1:12" x14ac:dyDescent="0.25">
      <c r="A466" s="1">
        <f t="shared" si="7"/>
        <v>465</v>
      </c>
      <c r="B466" s="1" t="s">
        <v>595</v>
      </c>
      <c r="C466" s="1" t="s">
        <v>49</v>
      </c>
      <c r="D466" s="1">
        <v>120</v>
      </c>
      <c r="E466" s="1" t="s">
        <v>20</v>
      </c>
      <c r="F466" s="1">
        <v>437</v>
      </c>
      <c r="G466" s="9">
        <v>95.17</v>
      </c>
      <c r="H466" s="1">
        <v>1</v>
      </c>
      <c r="I4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6" s="9">
        <f>CLIENTS_CHURN[[#This Row],[Facture_Mensuelle]]*CLIENTS_CHURN[[#This Row],[Remise (%)]]</f>
        <v>42.826500000000003</v>
      </c>
      <c r="K466">
        <f>IF(CLIENTS_CHURN[[#This Row],[Duree_Cumulee_Panne_Min]]&gt;0,1,0)</f>
        <v>1</v>
      </c>
      <c r="L466" t="str">
        <f>IF(CLIENTS_CHURN[[#This Row],[Type_Forfait]]="Pro Monde","B2B","B2C")</f>
        <v>B2C</v>
      </c>
    </row>
    <row r="467" spans="1:12" x14ac:dyDescent="0.25">
      <c r="A467" s="1">
        <f t="shared" si="7"/>
        <v>466</v>
      </c>
      <c r="B467" s="1" t="s">
        <v>200</v>
      </c>
      <c r="C467" s="1" t="s">
        <v>19</v>
      </c>
      <c r="D467" s="1">
        <v>68</v>
      </c>
      <c r="E467" s="1" t="s">
        <v>9</v>
      </c>
      <c r="F467" s="1">
        <v>443</v>
      </c>
      <c r="G467" s="9">
        <v>12.09</v>
      </c>
      <c r="H467" s="1">
        <v>3</v>
      </c>
      <c r="I4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7" s="9">
        <f>CLIENTS_CHURN[[#This Row],[Facture_Mensuelle]]*CLIENTS_CHURN[[#This Row],[Remise (%)]]</f>
        <v>5.4405000000000001</v>
      </c>
      <c r="K467">
        <f>IF(CLIENTS_CHURN[[#This Row],[Duree_Cumulee_Panne_Min]]&gt;0,1,0)</f>
        <v>1</v>
      </c>
      <c r="L467" t="str">
        <f>IF(CLIENTS_CHURN[[#This Row],[Type_Forfait]]="Pro Monde","B2B","B2C")</f>
        <v>B2C</v>
      </c>
    </row>
    <row r="468" spans="1:12" x14ac:dyDescent="0.25">
      <c r="A468" s="1">
        <f t="shared" si="7"/>
        <v>467</v>
      </c>
      <c r="B468" s="1" t="s">
        <v>455</v>
      </c>
      <c r="C468" s="1" t="s">
        <v>86</v>
      </c>
      <c r="D468" s="1">
        <v>85</v>
      </c>
      <c r="E468" s="1" t="s">
        <v>20</v>
      </c>
      <c r="F468" s="1">
        <v>132</v>
      </c>
      <c r="G468" s="9">
        <v>11.41</v>
      </c>
      <c r="H468" s="1">
        <v>0</v>
      </c>
      <c r="I4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68" s="9">
        <f>CLIENTS_CHURN[[#This Row],[Facture_Mensuelle]]*CLIENTS_CHURN[[#This Row],[Remise (%)]]</f>
        <v>0</v>
      </c>
      <c r="K468">
        <f>IF(CLIENTS_CHURN[[#This Row],[Duree_Cumulee_Panne_Min]]&gt;0,1,0)</f>
        <v>1</v>
      </c>
      <c r="L468" t="str">
        <f>IF(CLIENTS_CHURN[[#This Row],[Type_Forfait]]="Pro Monde","B2B","B2C")</f>
        <v>B2C</v>
      </c>
    </row>
    <row r="469" spans="1:12" x14ac:dyDescent="0.25">
      <c r="A469" s="1">
        <f t="shared" si="7"/>
        <v>468</v>
      </c>
      <c r="B469" s="1" t="s">
        <v>173</v>
      </c>
      <c r="C469" s="1" t="s">
        <v>16</v>
      </c>
      <c r="D469" s="1">
        <v>69</v>
      </c>
      <c r="E469" s="1" t="s">
        <v>12</v>
      </c>
      <c r="F469" s="1">
        <v>463</v>
      </c>
      <c r="G469" s="9">
        <v>19.440000000000001</v>
      </c>
      <c r="H469" s="1">
        <v>0</v>
      </c>
      <c r="I4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69" s="9">
        <f>CLIENTS_CHURN[[#This Row],[Facture_Mensuelle]]*CLIENTS_CHURN[[#This Row],[Remise (%)]]</f>
        <v>8.7480000000000011</v>
      </c>
      <c r="K469">
        <f>IF(CLIENTS_CHURN[[#This Row],[Duree_Cumulee_Panne_Min]]&gt;0,1,0)</f>
        <v>1</v>
      </c>
      <c r="L469" t="str">
        <f>IF(CLIENTS_CHURN[[#This Row],[Type_Forfait]]="Pro Monde","B2B","B2C")</f>
        <v>B2B</v>
      </c>
    </row>
    <row r="470" spans="1:12" x14ac:dyDescent="0.25">
      <c r="A470" s="1">
        <f t="shared" si="7"/>
        <v>469</v>
      </c>
      <c r="B470" s="1" t="s">
        <v>250</v>
      </c>
      <c r="C470" s="1" t="s">
        <v>11</v>
      </c>
      <c r="D470" s="1">
        <v>96</v>
      </c>
      <c r="E470" s="1" t="s">
        <v>20</v>
      </c>
      <c r="F470" s="1">
        <v>108</v>
      </c>
      <c r="G470" s="9">
        <v>30.92</v>
      </c>
      <c r="H470" s="1">
        <v>1</v>
      </c>
      <c r="I4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70" s="9">
        <f>CLIENTS_CHURN[[#This Row],[Facture_Mensuelle]]*CLIENTS_CHURN[[#This Row],[Remise (%)]]</f>
        <v>0</v>
      </c>
      <c r="K470">
        <f>IF(CLIENTS_CHURN[[#This Row],[Duree_Cumulee_Panne_Min]]&gt;0,1,0)</f>
        <v>1</v>
      </c>
      <c r="L470" t="str">
        <f>IF(CLIENTS_CHURN[[#This Row],[Type_Forfait]]="Pro Monde","B2B","B2C")</f>
        <v>B2C</v>
      </c>
    </row>
    <row r="471" spans="1:12" x14ac:dyDescent="0.25">
      <c r="A471" s="1">
        <f t="shared" si="7"/>
        <v>470</v>
      </c>
      <c r="B471" s="1" t="s">
        <v>244</v>
      </c>
      <c r="C471" s="1" t="s">
        <v>27</v>
      </c>
      <c r="D471" s="1">
        <v>89</v>
      </c>
      <c r="E471" s="1" t="s">
        <v>20</v>
      </c>
      <c r="F471" s="1">
        <v>7</v>
      </c>
      <c r="G471" s="9">
        <v>53.39</v>
      </c>
      <c r="H471" s="1">
        <v>3</v>
      </c>
      <c r="I4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71" s="9">
        <f>CLIENTS_CHURN[[#This Row],[Facture_Mensuelle]]*CLIENTS_CHURN[[#This Row],[Remise (%)]]</f>
        <v>0</v>
      </c>
      <c r="K471">
        <f>IF(CLIENTS_CHURN[[#This Row],[Duree_Cumulee_Panne_Min]]&gt;0,1,0)</f>
        <v>1</v>
      </c>
      <c r="L471" t="str">
        <f>IF(CLIENTS_CHURN[[#This Row],[Type_Forfait]]="Pro Monde","B2B","B2C")</f>
        <v>B2C</v>
      </c>
    </row>
    <row r="472" spans="1:12" x14ac:dyDescent="0.25">
      <c r="A472" s="1">
        <f t="shared" si="7"/>
        <v>471</v>
      </c>
      <c r="B472" s="1" t="s">
        <v>543</v>
      </c>
      <c r="C472" s="1" t="s">
        <v>71</v>
      </c>
      <c r="D472" s="1">
        <v>47</v>
      </c>
      <c r="E472" s="1" t="s">
        <v>9</v>
      </c>
      <c r="F472" s="1">
        <v>350</v>
      </c>
      <c r="G472" s="9">
        <v>80.48</v>
      </c>
      <c r="H472" s="1">
        <v>3</v>
      </c>
      <c r="I4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2" s="9">
        <f>CLIENTS_CHURN[[#This Row],[Facture_Mensuelle]]*CLIENTS_CHURN[[#This Row],[Remise (%)]]</f>
        <v>36.216000000000001</v>
      </c>
      <c r="K472">
        <f>IF(CLIENTS_CHURN[[#This Row],[Duree_Cumulee_Panne_Min]]&gt;0,1,0)</f>
        <v>1</v>
      </c>
      <c r="L472" t="str">
        <f>IF(CLIENTS_CHURN[[#This Row],[Type_Forfait]]="Pro Monde","B2B","B2C")</f>
        <v>B2C</v>
      </c>
    </row>
    <row r="473" spans="1:12" x14ac:dyDescent="0.25">
      <c r="A473" s="1">
        <f t="shared" si="7"/>
        <v>472</v>
      </c>
      <c r="B473" s="1" t="s">
        <v>43</v>
      </c>
      <c r="C473" s="1" t="s">
        <v>27</v>
      </c>
      <c r="D473" s="1">
        <v>78</v>
      </c>
      <c r="E473" s="1" t="s">
        <v>17</v>
      </c>
      <c r="F473" s="1">
        <v>312</v>
      </c>
      <c r="G473" s="9">
        <v>85.74</v>
      </c>
      <c r="H473" s="1">
        <v>2</v>
      </c>
      <c r="I4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3" s="9">
        <f>CLIENTS_CHURN[[#This Row],[Facture_Mensuelle]]*CLIENTS_CHURN[[#This Row],[Remise (%)]]</f>
        <v>38.582999999999998</v>
      </c>
      <c r="K473">
        <f>IF(CLIENTS_CHURN[[#This Row],[Duree_Cumulee_Panne_Min]]&gt;0,1,0)</f>
        <v>1</v>
      </c>
      <c r="L473" t="str">
        <f>IF(CLIENTS_CHURN[[#This Row],[Type_Forfait]]="Pro Monde","B2B","B2C")</f>
        <v>B2C</v>
      </c>
    </row>
    <row r="474" spans="1:12" x14ac:dyDescent="0.25">
      <c r="A474" s="1">
        <f t="shared" si="7"/>
        <v>473</v>
      </c>
      <c r="B474" s="1" t="s">
        <v>156</v>
      </c>
      <c r="C474" s="1" t="s">
        <v>86</v>
      </c>
      <c r="D474" s="1">
        <v>36</v>
      </c>
      <c r="E474" s="1" t="s">
        <v>9</v>
      </c>
      <c r="F474" s="1">
        <v>400</v>
      </c>
      <c r="G474" s="9">
        <v>60.35</v>
      </c>
      <c r="H474" s="1">
        <v>1</v>
      </c>
      <c r="I4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4" s="9">
        <f>CLIENTS_CHURN[[#This Row],[Facture_Mensuelle]]*CLIENTS_CHURN[[#This Row],[Remise (%)]]</f>
        <v>27.157500000000002</v>
      </c>
      <c r="K474">
        <f>IF(CLIENTS_CHURN[[#This Row],[Duree_Cumulee_Panne_Min]]&gt;0,1,0)</f>
        <v>1</v>
      </c>
      <c r="L474" t="str">
        <f>IF(CLIENTS_CHURN[[#This Row],[Type_Forfait]]="Pro Monde","B2B","B2C")</f>
        <v>B2C</v>
      </c>
    </row>
    <row r="475" spans="1:12" x14ac:dyDescent="0.25">
      <c r="A475" s="1">
        <f t="shared" si="7"/>
        <v>474</v>
      </c>
      <c r="B475" s="1" t="s">
        <v>15</v>
      </c>
      <c r="C475" s="1" t="s">
        <v>16</v>
      </c>
      <c r="D475" s="1">
        <v>44</v>
      </c>
      <c r="E475" s="1" t="s">
        <v>17</v>
      </c>
      <c r="F475" s="1">
        <v>348</v>
      </c>
      <c r="G475" s="9">
        <v>58.67</v>
      </c>
      <c r="H475" s="1">
        <v>0</v>
      </c>
      <c r="I4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5" s="9">
        <f>CLIENTS_CHURN[[#This Row],[Facture_Mensuelle]]*CLIENTS_CHURN[[#This Row],[Remise (%)]]</f>
        <v>26.401500000000002</v>
      </c>
      <c r="K475">
        <f>IF(CLIENTS_CHURN[[#This Row],[Duree_Cumulee_Panne_Min]]&gt;0,1,0)</f>
        <v>1</v>
      </c>
      <c r="L475" t="str">
        <f>IF(CLIENTS_CHURN[[#This Row],[Type_Forfait]]="Pro Monde","B2B","B2C")</f>
        <v>B2C</v>
      </c>
    </row>
    <row r="476" spans="1:12" x14ac:dyDescent="0.25">
      <c r="A476" s="1">
        <f t="shared" si="7"/>
        <v>475</v>
      </c>
      <c r="B476" s="1" t="s">
        <v>301</v>
      </c>
      <c r="C476" s="1" t="s">
        <v>134</v>
      </c>
      <c r="D476" s="1">
        <v>120</v>
      </c>
      <c r="E476" s="1" t="s">
        <v>12</v>
      </c>
      <c r="F476" s="1">
        <v>209</v>
      </c>
      <c r="G476" s="9">
        <v>42.51</v>
      </c>
      <c r="H476" s="1">
        <v>4</v>
      </c>
      <c r="I4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76" s="9">
        <f>CLIENTS_CHURN[[#This Row],[Facture_Mensuelle]]*CLIENTS_CHURN[[#This Row],[Remise (%)]]</f>
        <v>4.2510000000000003</v>
      </c>
      <c r="K476">
        <f>IF(CLIENTS_CHURN[[#This Row],[Duree_Cumulee_Panne_Min]]&gt;0,1,0)</f>
        <v>1</v>
      </c>
      <c r="L476" t="str">
        <f>IF(CLIENTS_CHURN[[#This Row],[Type_Forfait]]="Pro Monde","B2B","B2C")</f>
        <v>B2B</v>
      </c>
    </row>
    <row r="477" spans="1:12" x14ac:dyDescent="0.25">
      <c r="A477" s="1">
        <f t="shared" si="7"/>
        <v>476</v>
      </c>
      <c r="B477" s="1" t="s">
        <v>604</v>
      </c>
      <c r="C477" s="1" t="s">
        <v>128</v>
      </c>
      <c r="D477" s="1">
        <v>116</v>
      </c>
      <c r="E477" s="1" t="s">
        <v>9</v>
      </c>
      <c r="F477" s="1">
        <v>279</v>
      </c>
      <c r="G477" s="9">
        <v>62.88</v>
      </c>
      <c r="H477" s="1">
        <v>4</v>
      </c>
      <c r="I4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7" s="9">
        <f>CLIENTS_CHURN[[#This Row],[Facture_Mensuelle]]*CLIENTS_CHURN[[#This Row],[Remise (%)]]</f>
        <v>28.296000000000003</v>
      </c>
      <c r="K477">
        <f>IF(CLIENTS_CHURN[[#This Row],[Duree_Cumulee_Panne_Min]]&gt;0,1,0)</f>
        <v>1</v>
      </c>
      <c r="L477" t="str">
        <f>IF(CLIENTS_CHURN[[#This Row],[Type_Forfait]]="Pro Monde","B2B","B2C")</f>
        <v>B2C</v>
      </c>
    </row>
    <row r="478" spans="1:12" x14ac:dyDescent="0.25">
      <c r="A478" s="1">
        <f t="shared" si="7"/>
        <v>477</v>
      </c>
      <c r="B478" s="1" t="s">
        <v>705</v>
      </c>
      <c r="C478" s="1" t="s">
        <v>65</v>
      </c>
      <c r="D478" s="1">
        <v>106</v>
      </c>
      <c r="E478" s="1" t="s">
        <v>20</v>
      </c>
      <c r="F478" s="1">
        <v>236</v>
      </c>
      <c r="G478" s="9">
        <v>18.72</v>
      </c>
      <c r="H478" s="1">
        <v>4</v>
      </c>
      <c r="I4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78" s="9">
        <f>CLIENTS_CHURN[[#This Row],[Facture_Mensuelle]]*CLIENTS_CHURN[[#This Row],[Remise (%)]]</f>
        <v>0</v>
      </c>
      <c r="K478">
        <f>IF(CLIENTS_CHURN[[#This Row],[Duree_Cumulee_Panne_Min]]&gt;0,1,0)</f>
        <v>1</v>
      </c>
      <c r="L478" t="str">
        <f>IF(CLIENTS_CHURN[[#This Row],[Type_Forfait]]="Pro Monde","B2B","B2C")</f>
        <v>B2C</v>
      </c>
    </row>
    <row r="479" spans="1:12" x14ac:dyDescent="0.25">
      <c r="A479" s="1">
        <f t="shared" si="7"/>
        <v>478</v>
      </c>
      <c r="B479" s="1" t="s">
        <v>267</v>
      </c>
      <c r="C479" s="1" t="s">
        <v>16</v>
      </c>
      <c r="D479" s="1">
        <v>60</v>
      </c>
      <c r="E479" s="1" t="s">
        <v>17</v>
      </c>
      <c r="F479" s="1">
        <v>306</v>
      </c>
      <c r="G479" s="9">
        <v>63.83</v>
      </c>
      <c r="H479" s="1">
        <v>2</v>
      </c>
      <c r="I4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79" s="9">
        <f>CLIENTS_CHURN[[#This Row],[Facture_Mensuelle]]*CLIENTS_CHURN[[#This Row],[Remise (%)]]</f>
        <v>28.723500000000001</v>
      </c>
      <c r="K479">
        <f>IF(CLIENTS_CHURN[[#This Row],[Duree_Cumulee_Panne_Min]]&gt;0,1,0)</f>
        <v>1</v>
      </c>
      <c r="L479" t="str">
        <f>IF(CLIENTS_CHURN[[#This Row],[Type_Forfait]]="Pro Monde","B2B","B2C")</f>
        <v>B2C</v>
      </c>
    </row>
    <row r="480" spans="1:12" x14ac:dyDescent="0.25">
      <c r="A480" s="1">
        <f t="shared" si="7"/>
        <v>479</v>
      </c>
      <c r="B480" s="1" t="s">
        <v>711</v>
      </c>
      <c r="C480" s="1" t="s">
        <v>8</v>
      </c>
      <c r="D480" s="1">
        <v>1</v>
      </c>
      <c r="E480" s="1" t="s">
        <v>9</v>
      </c>
      <c r="F480" s="1">
        <v>429</v>
      </c>
      <c r="G480" s="9">
        <v>20.96</v>
      </c>
      <c r="H480" s="1">
        <v>5</v>
      </c>
      <c r="I4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80" s="9">
        <f>CLIENTS_CHURN[[#This Row],[Facture_Mensuelle]]*CLIENTS_CHURN[[#This Row],[Remise (%)]]</f>
        <v>9.4320000000000004</v>
      </c>
      <c r="K480">
        <f>IF(CLIENTS_CHURN[[#This Row],[Duree_Cumulee_Panne_Min]]&gt;0,1,0)</f>
        <v>1</v>
      </c>
      <c r="L480" t="str">
        <f>IF(CLIENTS_CHURN[[#This Row],[Type_Forfait]]="Pro Monde","B2B","B2C")</f>
        <v>B2C</v>
      </c>
    </row>
    <row r="481" spans="1:12" x14ac:dyDescent="0.25">
      <c r="A481" s="1">
        <f t="shared" si="7"/>
        <v>480</v>
      </c>
      <c r="B481" s="1" t="s">
        <v>565</v>
      </c>
      <c r="C481" s="1" t="s">
        <v>29</v>
      </c>
      <c r="D481" s="1">
        <v>110</v>
      </c>
      <c r="E481" s="1" t="s">
        <v>17</v>
      </c>
      <c r="F481" s="1">
        <v>132</v>
      </c>
      <c r="G481" s="9">
        <v>21.31</v>
      </c>
      <c r="H481" s="1">
        <v>5</v>
      </c>
      <c r="I4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81" s="9">
        <f>CLIENTS_CHURN[[#This Row],[Facture_Mensuelle]]*CLIENTS_CHURN[[#This Row],[Remise (%)]]</f>
        <v>0</v>
      </c>
      <c r="K481">
        <f>IF(CLIENTS_CHURN[[#This Row],[Duree_Cumulee_Panne_Min]]&gt;0,1,0)</f>
        <v>1</v>
      </c>
      <c r="L481" t="str">
        <f>IF(CLIENTS_CHURN[[#This Row],[Type_Forfait]]="Pro Monde","B2B","B2C")</f>
        <v>B2C</v>
      </c>
    </row>
    <row r="482" spans="1:12" x14ac:dyDescent="0.25">
      <c r="A482" s="1">
        <f t="shared" si="7"/>
        <v>481</v>
      </c>
      <c r="B482" s="1" t="s">
        <v>534</v>
      </c>
      <c r="C482" s="1" t="s">
        <v>27</v>
      </c>
      <c r="D482" s="1">
        <v>74</v>
      </c>
      <c r="E482" s="1" t="s">
        <v>20</v>
      </c>
      <c r="F482" s="1">
        <v>330</v>
      </c>
      <c r="G482" s="9">
        <v>37.82</v>
      </c>
      <c r="H482" s="1">
        <v>5</v>
      </c>
      <c r="I4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82" s="9">
        <f>CLIENTS_CHURN[[#This Row],[Facture_Mensuelle]]*CLIENTS_CHURN[[#This Row],[Remise (%)]]</f>
        <v>17.019000000000002</v>
      </c>
      <c r="K482">
        <f>IF(CLIENTS_CHURN[[#This Row],[Duree_Cumulee_Panne_Min]]&gt;0,1,0)</f>
        <v>1</v>
      </c>
      <c r="L482" t="str">
        <f>IF(CLIENTS_CHURN[[#This Row],[Type_Forfait]]="Pro Monde","B2B","B2C")</f>
        <v>B2C</v>
      </c>
    </row>
    <row r="483" spans="1:12" x14ac:dyDescent="0.25">
      <c r="A483" s="1">
        <f t="shared" si="7"/>
        <v>482</v>
      </c>
      <c r="B483" s="1" t="s">
        <v>73</v>
      </c>
      <c r="C483" s="1" t="s">
        <v>22</v>
      </c>
      <c r="D483" s="1">
        <v>14</v>
      </c>
      <c r="E483" s="1" t="s">
        <v>12</v>
      </c>
      <c r="F483" s="1">
        <v>101</v>
      </c>
      <c r="G483" s="9">
        <v>43.99</v>
      </c>
      <c r="H483" s="1">
        <v>1</v>
      </c>
      <c r="I4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83" s="9">
        <f>CLIENTS_CHURN[[#This Row],[Facture_Mensuelle]]*CLIENTS_CHURN[[#This Row],[Remise (%)]]</f>
        <v>4.399</v>
      </c>
      <c r="K483">
        <f>IF(CLIENTS_CHURN[[#This Row],[Duree_Cumulee_Panne_Min]]&gt;0,1,0)</f>
        <v>1</v>
      </c>
      <c r="L483" t="str">
        <f>IF(CLIENTS_CHURN[[#This Row],[Type_Forfait]]="Pro Monde","B2B","B2C")</f>
        <v>B2B</v>
      </c>
    </row>
    <row r="484" spans="1:12" x14ac:dyDescent="0.25">
      <c r="A484" s="1">
        <f t="shared" si="7"/>
        <v>483</v>
      </c>
      <c r="B484" s="1" t="s">
        <v>530</v>
      </c>
      <c r="C484" s="1" t="s">
        <v>38</v>
      </c>
      <c r="D484" s="1">
        <v>62</v>
      </c>
      <c r="E484" s="1" t="s">
        <v>20</v>
      </c>
      <c r="F484" s="1">
        <v>369</v>
      </c>
      <c r="G484" s="9">
        <v>58.74</v>
      </c>
      <c r="H484" s="1">
        <v>1</v>
      </c>
      <c r="I4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84" s="9">
        <f>CLIENTS_CHURN[[#This Row],[Facture_Mensuelle]]*CLIENTS_CHURN[[#This Row],[Remise (%)]]</f>
        <v>26.433</v>
      </c>
      <c r="K484">
        <f>IF(CLIENTS_CHURN[[#This Row],[Duree_Cumulee_Panne_Min]]&gt;0,1,0)</f>
        <v>1</v>
      </c>
      <c r="L484" t="str">
        <f>IF(CLIENTS_CHURN[[#This Row],[Type_Forfait]]="Pro Monde","B2B","B2C")</f>
        <v>B2C</v>
      </c>
    </row>
    <row r="485" spans="1:12" x14ac:dyDescent="0.25">
      <c r="A485" s="1">
        <f t="shared" si="7"/>
        <v>484</v>
      </c>
      <c r="B485" s="1" t="s">
        <v>39</v>
      </c>
      <c r="C485" s="1" t="s">
        <v>11</v>
      </c>
      <c r="D485" s="1">
        <v>89</v>
      </c>
      <c r="E485" s="1" t="s">
        <v>9</v>
      </c>
      <c r="F485" s="1">
        <v>143</v>
      </c>
      <c r="G485" s="9">
        <v>48.05</v>
      </c>
      <c r="H485" s="1">
        <v>4</v>
      </c>
      <c r="I4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85" s="9">
        <f>CLIENTS_CHURN[[#This Row],[Facture_Mensuelle]]*CLIENTS_CHURN[[#This Row],[Remise (%)]]</f>
        <v>0</v>
      </c>
      <c r="K485">
        <f>IF(CLIENTS_CHURN[[#This Row],[Duree_Cumulee_Panne_Min]]&gt;0,1,0)</f>
        <v>1</v>
      </c>
      <c r="L485" t="str">
        <f>IF(CLIENTS_CHURN[[#This Row],[Type_Forfait]]="Pro Monde","B2B","B2C")</f>
        <v>B2C</v>
      </c>
    </row>
    <row r="486" spans="1:12" x14ac:dyDescent="0.25">
      <c r="A486" s="1">
        <f t="shared" si="7"/>
        <v>485</v>
      </c>
      <c r="B486" s="1" t="s">
        <v>524</v>
      </c>
      <c r="C486" s="1" t="s">
        <v>19</v>
      </c>
      <c r="D486" s="1">
        <v>19</v>
      </c>
      <c r="E486" s="1" t="s">
        <v>9</v>
      </c>
      <c r="F486" s="1">
        <v>270</v>
      </c>
      <c r="G486" s="9">
        <v>19.760000000000002</v>
      </c>
      <c r="H486" s="1">
        <v>3</v>
      </c>
      <c r="I4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86" s="9">
        <f>CLIENTS_CHURN[[#This Row],[Facture_Mensuelle]]*CLIENTS_CHURN[[#This Row],[Remise (%)]]</f>
        <v>8.8920000000000012</v>
      </c>
      <c r="K486">
        <f>IF(CLIENTS_CHURN[[#This Row],[Duree_Cumulee_Panne_Min]]&gt;0,1,0)</f>
        <v>1</v>
      </c>
      <c r="L486" t="str">
        <f>IF(CLIENTS_CHURN[[#This Row],[Type_Forfait]]="Pro Monde","B2B","B2C")</f>
        <v>B2C</v>
      </c>
    </row>
    <row r="487" spans="1:12" x14ac:dyDescent="0.25">
      <c r="A487" s="1">
        <f t="shared" si="7"/>
        <v>486</v>
      </c>
      <c r="B487" s="1" t="s">
        <v>639</v>
      </c>
      <c r="C487" s="1" t="s">
        <v>14</v>
      </c>
      <c r="D487" s="1">
        <v>42</v>
      </c>
      <c r="E487" s="1" t="s">
        <v>17</v>
      </c>
      <c r="F487" s="1">
        <v>448</v>
      </c>
      <c r="G487" s="9">
        <v>49.02</v>
      </c>
      <c r="H487" s="1">
        <v>0</v>
      </c>
      <c r="I4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87" s="9">
        <f>CLIENTS_CHURN[[#This Row],[Facture_Mensuelle]]*CLIENTS_CHURN[[#This Row],[Remise (%)]]</f>
        <v>22.059000000000001</v>
      </c>
      <c r="K487">
        <f>IF(CLIENTS_CHURN[[#This Row],[Duree_Cumulee_Panne_Min]]&gt;0,1,0)</f>
        <v>1</v>
      </c>
      <c r="L487" t="str">
        <f>IF(CLIENTS_CHURN[[#This Row],[Type_Forfait]]="Pro Monde","B2B","B2C")</f>
        <v>B2C</v>
      </c>
    </row>
    <row r="488" spans="1:12" x14ac:dyDescent="0.25">
      <c r="A488" s="1">
        <f t="shared" si="7"/>
        <v>487</v>
      </c>
      <c r="B488" s="1" t="s">
        <v>649</v>
      </c>
      <c r="C488" s="1" t="s">
        <v>71</v>
      </c>
      <c r="D488" s="1">
        <v>116</v>
      </c>
      <c r="E488" s="1" t="s">
        <v>9</v>
      </c>
      <c r="F488" s="1">
        <v>14</v>
      </c>
      <c r="G488" s="9">
        <v>30.38</v>
      </c>
      <c r="H488" s="1">
        <v>1</v>
      </c>
      <c r="I4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88" s="9">
        <f>CLIENTS_CHURN[[#This Row],[Facture_Mensuelle]]*CLIENTS_CHURN[[#This Row],[Remise (%)]]</f>
        <v>0</v>
      </c>
      <c r="K488">
        <f>IF(CLIENTS_CHURN[[#This Row],[Duree_Cumulee_Panne_Min]]&gt;0,1,0)</f>
        <v>1</v>
      </c>
      <c r="L488" t="str">
        <f>IF(CLIENTS_CHURN[[#This Row],[Type_Forfait]]="Pro Monde","B2B","B2C")</f>
        <v>B2C</v>
      </c>
    </row>
    <row r="489" spans="1:12" x14ac:dyDescent="0.25">
      <c r="A489" s="1">
        <f t="shared" si="7"/>
        <v>488</v>
      </c>
      <c r="B489" s="1" t="s">
        <v>162</v>
      </c>
      <c r="C489" s="1" t="s">
        <v>11</v>
      </c>
      <c r="D489" s="1">
        <v>47</v>
      </c>
      <c r="E489" s="1" t="s">
        <v>17</v>
      </c>
      <c r="F489" s="1">
        <v>98</v>
      </c>
      <c r="G489" s="9">
        <v>16.16</v>
      </c>
      <c r="H489" s="1">
        <v>5</v>
      </c>
      <c r="I4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89" s="9">
        <f>CLIENTS_CHURN[[#This Row],[Facture_Mensuelle]]*CLIENTS_CHURN[[#This Row],[Remise (%)]]</f>
        <v>0</v>
      </c>
      <c r="K489">
        <f>IF(CLIENTS_CHURN[[#This Row],[Duree_Cumulee_Panne_Min]]&gt;0,1,0)</f>
        <v>1</v>
      </c>
      <c r="L489" t="str">
        <f>IF(CLIENTS_CHURN[[#This Row],[Type_Forfait]]="Pro Monde","B2B","B2C")</f>
        <v>B2C</v>
      </c>
    </row>
    <row r="490" spans="1:12" x14ac:dyDescent="0.25">
      <c r="A490" s="1">
        <f t="shared" si="7"/>
        <v>489</v>
      </c>
      <c r="B490" s="1" t="s">
        <v>494</v>
      </c>
      <c r="C490" s="1" t="s">
        <v>60</v>
      </c>
      <c r="D490" s="1">
        <v>86</v>
      </c>
      <c r="E490" s="1" t="s">
        <v>9</v>
      </c>
      <c r="F490" s="1">
        <v>27</v>
      </c>
      <c r="G490" s="9">
        <v>84.94</v>
      </c>
      <c r="H490" s="1">
        <v>4</v>
      </c>
      <c r="I4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90" s="9">
        <f>CLIENTS_CHURN[[#This Row],[Facture_Mensuelle]]*CLIENTS_CHURN[[#This Row],[Remise (%)]]</f>
        <v>0</v>
      </c>
      <c r="K490">
        <f>IF(CLIENTS_CHURN[[#This Row],[Duree_Cumulee_Panne_Min]]&gt;0,1,0)</f>
        <v>1</v>
      </c>
      <c r="L490" t="str">
        <f>IF(CLIENTS_CHURN[[#This Row],[Type_Forfait]]="Pro Monde","B2B","B2C")</f>
        <v>B2C</v>
      </c>
    </row>
    <row r="491" spans="1:12" x14ac:dyDescent="0.25">
      <c r="A491" s="1">
        <f t="shared" si="7"/>
        <v>490</v>
      </c>
      <c r="B491" s="1" t="s">
        <v>692</v>
      </c>
      <c r="C491" s="1" t="s">
        <v>16</v>
      </c>
      <c r="D491" s="1">
        <v>86</v>
      </c>
      <c r="E491" s="1" t="s">
        <v>9</v>
      </c>
      <c r="F491" s="1">
        <v>278</v>
      </c>
      <c r="G491" s="9">
        <v>30.12</v>
      </c>
      <c r="H491" s="1">
        <v>0</v>
      </c>
      <c r="I4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1" s="9">
        <f>CLIENTS_CHURN[[#This Row],[Facture_Mensuelle]]*CLIENTS_CHURN[[#This Row],[Remise (%)]]</f>
        <v>13.554</v>
      </c>
      <c r="K491">
        <f>IF(CLIENTS_CHURN[[#This Row],[Duree_Cumulee_Panne_Min]]&gt;0,1,0)</f>
        <v>1</v>
      </c>
      <c r="L491" t="str">
        <f>IF(CLIENTS_CHURN[[#This Row],[Type_Forfait]]="Pro Monde","B2B","B2C")</f>
        <v>B2C</v>
      </c>
    </row>
    <row r="492" spans="1:12" x14ac:dyDescent="0.25">
      <c r="A492" s="1">
        <f t="shared" si="7"/>
        <v>491</v>
      </c>
      <c r="B492" s="1" t="s">
        <v>92</v>
      </c>
      <c r="C492" s="1" t="s">
        <v>19</v>
      </c>
      <c r="D492" s="1">
        <v>94</v>
      </c>
      <c r="E492" s="1" t="s">
        <v>20</v>
      </c>
      <c r="F492" s="1">
        <v>122</v>
      </c>
      <c r="G492" s="9">
        <v>95.74</v>
      </c>
      <c r="H492" s="1">
        <v>5</v>
      </c>
      <c r="I4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92" s="9">
        <f>CLIENTS_CHURN[[#This Row],[Facture_Mensuelle]]*CLIENTS_CHURN[[#This Row],[Remise (%)]]</f>
        <v>0</v>
      </c>
      <c r="K492">
        <f>IF(CLIENTS_CHURN[[#This Row],[Duree_Cumulee_Panne_Min]]&gt;0,1,0)</f>
        <v>1</v>
      </c>
      <c r="L492" t="str">
        <f>IF(CLIENTS_CHURN[[#This Row],[Type_Forfait]]="Pro Monde","B2B","B2C")</f>
        <v>B2C</v>
      </c>
    </row>
    <row r="493" spans="1:12" x14ac:dyDescent="0.25">
      <c r="A493" s="1">
        <f t="shared" si="7"/>
        <v>492</v>
      </c>
      <c r="B493" s="1" t="s">
        <v>576</v>
      </c>
      <c r="C493" s="1" t="s">
        <v>134</v>
      </c>
      <c r="D493" s="1">
        <v>66</v>
      </c>
      <c r="E493" s="1" t="s">
        <v>12</v>
      </c>
      <c r="F493" s="1">
        <v>152</v>
      </c>
      <c r="G493" s="9">
        <v>95.71</v>
      </c>
      <c r="H493" s="1">
        <v>3</v>
      </c>
      <c r="I4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93" s="9">
        <f>CLIENTS_CHURN[[#This Row],[Facture_Mensuelle]]*CLIENTS_CHURN[[#This Row],[Remise (%)]]</f>
        <v>9.5709999999999997</v>
      </c>
      <c r="K493">
        <f>IF(CLIENTS_CHURN[[#This Row],[Duree_Cumulee_Panne_Min]]&gt;0,1,0)</f>
        <v>1</v>
      </c>
      <c r="L493" t="str">
        <f>IF(CLIENTS_CHURN[[#This Row],[Type_Forfait]]="Pro Monde","B2B","B2C")</f>
        <v>B2B</v>
      </c>
    </row>
    <row r="494" spans="1:12" x14ac:dyDescent="0.25">
      <c r="A494" s="1">
        <f t="shared" si="7"/>
        <v>493</v>
      </c>
      <c r="B494" s="1" t="s">
        <v>661</v>
      </c>
      <c r="C494" s="1" t="s">
        <v>65</v>
      </c>
      <c r="D494" s="1">
        <v>114</v>
      </c>
      <c r="E494" s="1" t="s">
        <v>12</v>
      </c>
      <c r="F494" s="1">
        <v>220</v>
      </c>
      <c r="G494" s="9">
        <v>63.67</v>
      </c>
      <c r="H494" s="1">
        <v>5</v>
      </c>
      <c r="I4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494" s="9">
        <f>CLIENTS_CHURN[[#This Row],[Facture_Mensuelle]]*CLIENTS_CHURN[[#This Row],[Remise (%)]]</f>
        <v>6.3670000000000009</v>
      </c>
      <c r="K494">
        <f>IF(CLIENTS_CHURN[[#This Row],[Duree_Cumulee_Panne_Min]]&gt;0,1,0)</f>
        <v>1</v>
      </c>
      <c r="L494" t="str">
        <f>IF(CLIENTS_CHURN[[#This Row],[Type_Forfait]]="Pro Monde","B2B","B2C")</f>
        <v>B2B</v>
      </c>
    </row>
    <row r="495" spans="1:12" x14ac:dyDescent="0.25">
      <c r="A495" s="1">
        <f t="shared" si="7"/>
        <v>494</v>
      </c>
      <c r="B495" s="1" t="s">
        <v>397</v>
      </c>
      <c r="C495" s="1" t="s">
        <v>35</v>
      </c>
      <c r="D495" s="1">
        <v>36</v>
      </c>
      <c r="E495" s="1" t="s">
        <v>17</v>
      </c>
      <c r="F495" s="1">
        <v>311</v>
      </c>
      <c r="G495" s="9">
        <v>13.19</v>
      </c>
      <c r="H495" s="1">
        <v>4</v>
      </c>
      <c r="I4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5" s="9">
        <f>CLIENTS_CHURN[[#This Row],[Facture_Mensuelle]]*CLIENTS_CHURN[[#This Row],[Remise (%)]]</f>
        <v>5.9355000000000002</v>
      </c>
      <c r="K495">
        <f>IF(CLIENTS_CHURN[[#This Row],[Duree_Cumulee_Panne_Min]]&gt;0,1,0)</f>
        <v>1</v>
      </c>
      <c r="L495" t="str">
        <f>IF(CLIENTS_CHURN[[#This Row],[Type_Forfait]]="Pro Monde","B2B","B2C")</f>
        <v>B2C</v>
      </c>
    </row>
    <row r="496" spans="1:12" x14ac:dyDescent="0.25">
      <c r="A496" s="1">
        <f t="shared" si="7"/>
        <v>495</v>
      </c>
      <c r="B496" s="1" t="s">
        <v>409</v>
      </c>
      <c r="C496" s="1" t="s">
        <v>35</v>
      </c>
      <c r="D496" s="1">
        <v>94</v>
      </c>
      <c r="E496" s="1" t="s">
        <v>20</v>
      </c>
      <c r="F496" s="1">
        <v>115</v>
      </c>
      <c r="G496" s="9">
        <v>19.12</v>
      </c>
      <c r="H496" s="1">
        <v>0</v>
      </c>
      <c r="I4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496" s="9">
        <f>CLIENTS_CHURN[[#This Row],[Facture_Mensuelle]]*CLIENTS_CHURN[[#This Row],[Remise (%)]]</f>
        <v>0</v>
      </c>
      <c r="K496">
        <f>IF(CLIENTS_CHURN[[#This Row],[Duree_Cumulee_Panne_Min]]&gt;0,1,0)</f>
        <v>1</v>
      </c>
      <c r="L496" t="str">
        <f>IF(CLIENTS_CHURN[[#This Row],[Type_Forfait]]="Pro Monde","B2B","B2C")</f>
        <v>B2C</v>
      </c>
    </row>
    <row r="497" spans="1:12" x14ac:dyDescent="0.25">
      <c r="A497" s="1">
        <f t="shared" si="7"/>
        <v>496</v>
      </c>
      <c r="B497" s="1" t="s">
        <v>72</v>
      </c>
      <c r="C497" s="1" t="s">
        <v>60</v>
      </c>
      <c r="D497" s="1">
        <v>65</v>
      </c>
      <c r="E497" s="1" t="s">
        <v>9</v>
      </c>
      <c r="F497" s="1">
        <v>397</v>
      </c>
      <c r="G497" s="9">
        <v>22.6</v>
      </c>
      <c r="H497" s="1">
        <v>5</v>
      </c>
      <c r="I4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7" s="9">
        <f>CLIENTS_CHURN[[#This Row],[Facture_Mensuelle]]*CLIENTS_CHURN[[#This Row],[Remise (%)]]</f>
        <v>10.170000000000002</v>
      </c>
      <c r="K497">
        <f>IF(CLIENTS_CHURN[[#This Row],[Duree_Cumulee_Panne_Min]]&gt;0,1,0)</f>
        <v>1</v>
      </c>
      <c r="L497" t="str">
        <f>IF(CLIENTS_CHURN[[#This Row],[Type_Forfait]]="Pro Monde","B2B","B2C")</f>
        <v>B2C</v>
      </c>
    </row>
    <row r="498" spans="1:12" x14ac:dyDescent="0.25">
      <c r="A498" s="1">
        <f t="shared" si="7"/>
        <v>497</v>
      </c>
      <c r="B498" s="1" t="s">
        <v>330</v>
      </c>
      <c r="C498" s="1" t="s">
        <v>16</v>
      </c>
      <c r="D498" s="1">
        <v>118</v>
      </c>
      <c r="E498" s="1" t="s">
        <v>20</v>
      </c>
      <c r="F498" s="1">
        <v>489</v>
      </c>
      <c r="G498" s="9">
        <v>76.22</v>
      </c>
      <c r="H498" s="1">
        <v>2</v>
      </c>
      <c r="I4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8" s="9">
        <f>CLIENTS_CHURN[[#This Row],[Facture_Mensuelle]]*CLIENTS_CHURN[[#This Row],[Remise (%)]]</f>
        <v>34.298999999999999</v>
      </c>
      <c r="K498">
        <f>IF(CLIENTS_CHURN[[#This Row],[Duree_Cumulee_Panne_Min]]&gt;0,1,0)</f>
        <v>1</v>
      </c>
      <c r="L498" t="str">
        <f>IF(CLIENTS_CHURN[[#This Row],[Type_Forfait]]="Pro Monde","B2B","B2C")</f>
        <v>B2C</v>
      </c>
    </row>
    <row r="499" spans="1:12" x14ac:dyDescent="0.25">
      <c r="A499" s="1">
        <f t="shared" si="7"/>
        <v>498</v>
      </c>
      <c r="B499" s="1" t="s">
        <v>602</v>
      </c>
      <c r="C499" s="1" t="s">
        <v>22</v>
      </c>
      <c r="D499" s="1">
        <v>23</v>
      </c>
      <c r="E499" s="1" t="s">
        <v>9</v>
      </c>
      <c r="F499" s="1">
        <v>314</v>
      </c>
      <c r="G499" s="9">
        <v>19.260000000000002</v>
      </c>
      <c r="H499" s="1">
        <v>3</v>
      </c>
      <c r="I4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499" s="9">
        <f>CLIENTS_CHURN[[#This Row],[Facture_Mensuelle]]*CLIENTS_CHURN[[#This Row],[Remise (%)]]</f>
        <v>8.6670000000000016</v>
      </c>
      <c r="K499">
        <f>IF(CLIENTS_CHURN[[#This Row],[Duree_Cumulee_Panne_Min]]&gt;0,1,0)</f>
        <v>1</v>
      </c>
      <c r="L499" t="str">
        <f>IF(CLIENTS_CHURN[[#This Row],[Type_Forfait]]="Pro Monde","B2B","B2C")</f>
        <v>B2C</v>
      </c>
    </row>
    <row r="500" spans="1:12" x14ac:dyDescent="0.25">
      <c r="A500" s="1">
        <f t="shared" si="7"/>
        <v>499</v>
      </c>
      <c r="B500" s="1" t="s">
        <v>352</v>
      </c>
      <c r="C500" s="1" t="s">
        <v>35</v>
      </c>
      <c r="D500" s="1">
        <v>85</v>
      </c>
      <c r="E500" s="1" t="s">
        <v>12</v>
      </c>
      <c r="F500" s="1">
        <v>60</v>
      </c>
      <c r="G500" s="9">
        <v>26.3</v>
      </c>
      <c r="H500" s="1">
        <v>2</v>
      </c>
      <c r="I5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00" s="9">
        <f>CLIENTS_CHURN[[#This Row],[Facture_Mensuelle]]*CLIENTS_CHURN[[#This Row],[Remise (%)]]</f>
        <v>2.6300000000000003</v>
      </c>
      <c r="K500">
        <f>IF(CLIENTS_CHURN[[#This Row],[Duree_Cumulee_Panne_Min]]&gt;0,1,0)</f>
        <v>1</v>
      </c>
      <c r="L500" t="str">
        <f>IF(CLIENTS_CHURN[[#This Row],[Type_Forfait]]="Pro Monde","B2B","B2C")</f>
        <v>B2B</v>
      </c>
    </row>
    <row r="501" spans="1:12" x14ac:dyDescent="0.25">
      <c r="A501" s="1">
        <f t="shared" si="7"/>
        <v>500</v>
      </c>
      <c r="B501" s="1" t="s">
        <v>512</v>
      </c>
      <c r="C501" s="1" t="s">
        <v>55</v>
      </c>
      <c r="D501" s="1">
        <v>92</v>
      </c>
      <c r="E501" s="1" t="s">
        <v>17</v>
      </c>
      <c r="F501" s="1">
        <v>6</v>
      </c>
      <c r="G501" s="9">
        <v>77.14</v>
      </c>
      <c r="H501" s="1">
        <v>5</v>
      </c>
      <c r="I5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1" s="9">
        <f>CLIENTS_CHURN[[#This Row],[Facture_Mensuelle]]*CLIENTS_CHURN[[#This Row],[Remise (%)]]</f>
        <v>0</v>
      </c>
      <c r="K501">
        <f>IF(CLIENTS_CHURN[[#This Row],[Duree_Cumulee_Panne_Min]]&gt;0,1,0)</f>
        <v>1</v>
      </c>
      <c r="L501" t="str">
        <f>IF(CLIENTS_CHURN[[#This Row],[Type_Forfait]]="Pro Monde","B2B","B2C")</f>
        <v>B2C</v>
      </c>
    </row>
    <row r="502" spans="1:12" x14ac:dyDescent="0.25">
      <c r="A502" s="1">
        <f t="shared" si="7"/>
        <v>501</v>
      </c>
      <c r="B502" s="1" t="s">
        <v>511</v>
      </c>
      <c r="C502" s="1" t="s">
        <v>33</v>
      </c>
      <c r="D502" s="1">
        <v>117</v>
      </c>
      <c r="E502" s="1" t="s">
        <v>20</v>
      </c>
      <c r="F502" s="1">
        <v>39</v>
      </c>
      <c r="G502" s="9">
        <v>26.53</v>
      </c>
      <c r="H502" s="1">
        <v>1</v>
      </c>
      <c r="I5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2" s="9">
        <f>CLIENTS_CHURN[[#This Row],[Facture_Mensuelle]]*CLIENTS_CHURN[[#This Row],[Remise (%)]]</f>
        <v>0</v>
      </c>
      <c r="K502">
        <f>IF(CLIENTS_CHURN[[#This Row],[Duree_Cumulee_Panne_Min]]&gt;0,1,0)</f>
        <v>1</v>
      </c>
      <c r="L502" t="str">
        <f>IF(CLIENTS_CHURN[[#This Row],[Type_Forfait]]="Pro Monde","B2B","B2C")</f>
        <v>B2C</v>
      </c>
    </row>
    <row r="503" spans="1:12" x14ac:dyDescent="0.25">
      <c r="A503" s="1">
        <f t="shared" si="7"/>
        <v>502</v>
      </c>
      <c r="B503" s="1" t="s">
        <v>143</v>
      </c>
      <c r="C503" s="1" t="s">
        <v>60</v>
      </c>
      <c r="D503" s="1">
        <v>114</v>
      </c>
      <c r="E503" s="1" t="s">
        <v>9</v>
      </c>
      <c r="F503" s="1">
        <v>232</v>
      </c>
      <c r="G503" s="9">
        <v>42.2</v>
      </c>
      <c r="H503" s="1">
        <v>2</v>
      </c>
      <c r="I5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3" s="9">
        <f>CLIENTS_CHURN[[#This Row],[Facture_Mensuelle]]*CLIENTS_CHURN[[#This Row],[Remise (%)]]</f>
        <v>0</v>
      </c>
      <c r="K503">
        <f>IF(CLIENTS_CHURN[[#This Row],[Duree_Cumulee_Panne_Min]]&gt;0,1,0)</f>
        <v>1</v>
      </c>
      <c r="L503" t="str">
        <f>IF(CLIENTS_CHURN[[#This Row],[Type_Forfait]]="Pro Monde","B2B","B2C")</f>
        <v>B2C</v>
      </c>
    </row>
    <row r="504" spans="1:12" x14ac:dyDescent="0.25">
      <c r="A504" s="1">
        <f t="shared" si="7"/>
        <v>503</v>
      </c>
      <c r="B504" s="1" t="s">
        <v>368</v>
      </c>
      <c r="C504" s="1" t="s">
        <v>38</v>
      </c>
      <c r="D504" s="1">
        <v>64</v>
      </c>
      <c r="E504" s="1" t="s">
        <v>17</v>
      </c>
      <c r="F504" s="1">
        <v>250</v>
      </c>
      <c r="G504" s="9">
        <v>56.7</v>
      </c>
      <c r="H504" s="1">
        <v>0</v>
      </c>
      <c r="I5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04" s="9">
        <f>CLIENTS_CHURN[[#This Row],[Facture_Mensuelle]]*CLIENTS_CHURN[[#This Row],[Remise (%)]]</f>
        <v>25.515000000000001</v>
      </c>
      <c r="K504">
        <f>IF(CLIENTS_CHURN[[#This Row],[Duree_Cumulee_Panne_Min]]&gt;0,1,0)</f>
        <v>1</v>
      </c>
      <c r="L504" t="str">
        <f>IF(CLIENTS_CHURN[[#This Row],[Type_Forfait]]="Pro Monde","B2B","B2C")</f>
        <v>B2C</v>
      </c>
    </row>
    <row r="505" spans="1:12" x14ac:dyDescent="0.25">
      <c r="A505" s="1">
        <f t="shared" si="7"/>
        <v>504</v>
      </c>
      <c r="B505" s="1" t="s">
        <v>572</v>
      </c>
      <c r="C505" s="1" t="s">
        <v>49</v>
      </c>
      <c r="D505" s="1">
        <v>88</v>
      </c>
      <c r="E505" s="1" t="s">
        <v>9</v>
      </c>
      <c r="F505" s="1">
        <v>219</v>
      </c>
      <c r="G505" s="9">
        <v>59.15</v>
      </c>
      <c r="H505" s="1">
        <v>0</v>
      </c>
      <c r="I5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5" s="9">
        <f>CLIENTS_CHURN[[#This Row],[Facture_Mensuelle]]*CLIENTS_CHURN[[#This Row],[Remise (%)]]</f>
        <v>0</v>
      </c>
      <c r="K505">
        <f>IF(CLIENTS_CHURN[[#This Row],[Duree_Cumulee_Panne_Min]]&gt;0,1,0)</f>
        <v>1</v>
      </c>
      <c r="L505" t="str">
        <f>IF(CLIENTS_CHURN[[#This Row],[Type_Forfait]]="Pro Monde","B2B","B2C")</f>
        <v>B2C</v>
      </c>
    </row>
    <row r="506" spans="1:12" x14ac:dyDescent="0.25">
      <c r="A506" s="1">
        <f t="shared" si="7"/>
        <v>505</v>
      </c>
      <c r="B506" s="1" t="s">
        <v>178</v>
      </c>
      <c r="C506" s="1" t="s">
        <v>55</v>
      </c>
      <c r="D506" s="1">
        <v>25</v>
      </c>
      <c r="E506" s="1" t="s">
        <v>17</v>
      </c>
      <c r="F506" s="1">
        <v>131</v>
      </c>
      <c r="G506" s="9">
        <v>67.489999999999995</v>
      </c>
      <c r="H506" s="1">
        <v>0</v>
      </c>
      <c r="I5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6" s="9">
        <f>CLIENTS_CHURN[[#This Row],[Facture_Mensuelle]]*CLIENTS_CHURN[[#This Row],[Remise (%)]]</f>
        <v>0</v>
      </c>
      <c r="K506">
        <f>IF(CLIENTS_CHURN[[#This Row],[Duree_Cumulee_Panne_Min]]&gt;0,1,0)</f>
        <v>1</v>
      </c>
      <c r="L506" t="str">
        <f>IF(CLIENTS_CHURN[[#This Row],[Type_Forfait]]="Pro Monde","B2B","B2C")</f>
        <v>B2C</v>
      </c>
    </row>
    <row r="507" spans="1:12" x14ac:dyDescent="0.25">
      <c r="A507" s="1">
        <f t="shared" si="7"/>
        <v>506</v>
      </c>
      <c r="B507" s="1" t="s">
        <v>272</v>
      </c>
      <c r="C507" s="1" t="s">
        <v>134</v>
      </c>
      <c r="D507" s="1">
        <v>32</v>
      </c>
      <c r="E507" s="1" t="s">
        <v>20</v>
      </c>
      <c r="F507" s="1">
        <v>405</v>
      </c>
      <c r="G507" s="9">
        <v>67.92</v>
      </c>
      <c r="H507" s="1">
        <v>3</v>
      </c>
      <c r="I5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07" s="9">
        <f>CLIENTS_CHURN[[#This Row],[Facture_Mensuelle]]*CLIENTS_CHURN[[#This Row],[Remise (%)]]</f>
        <v>30.564</v>
      </c>
      <c r="K507">
        <f>IF(CLIENTS_CHURN[[#This Row],[Duree_Cumulee_Panne_Min]]&gt;0,1,0)</f>
        <v>1</v>
      </c>
      <c r="L507" t="str">
        <f>IF(CLIENTS_CHURN[[#This Row],[Type_Forfait]]="Pro Monde","B2B","B2C")</f>
        <v>B2C</v>
      </c>
    </row>
    <row r="508" spans="1:12" x14ac:dyDescent="0.25">
      <c r="A508" s="1">
        <f t="shared" si="7"/>
        <v>507</v>
      </c>
      <c r="B508" s="1" t="s">
        <v>605</v>
      </c>
      <c r="C508" s="1" t="s">
        <v>62</v>
      </c>
      <c r="D508" s="1">
        <v>41</v>
      </c>
      <c r="E508" s="1" t="s">
        <v>17</v>
      </c>
      <c r="F508" s="1">
        <v>2</v>
      </c>
      <c r="G508" s="9">
        <v>24.91</v>
      </c>
      <c r="H508" s="1">
        <v>1</v>
      </c>
      <c r="I5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08" s="9">
        <f>CLIENTS_CHURN[[#This Row],[Facture_Mensuelle]]*CLIENTS_CHURN[[#This Row],[Remise (%)]]</f>
        <v>0</v>
      </c>
      <c r="K508">
        <f>IF(CLIENTS_CHURN[[#This Row],[Duree_Cumulee_Panne_Min]]&gt;0,1,0)</f>
        <v>1</v>
      </c>
      <c r="L508" t="str">
        <f>IF(CLIENTS_CHURN[[#This Row],[Type_Forfait]]="Pro Monde","B2B","B2C")</f>
        <v>B2C</v>
      </c>
    </row>
    <row r="509" spans="1:12" x14ac:dyDescent="0.25">
      <c r="A509" s="1">
        <f t="shared" si="7"/>
        <v>508</v>
      </c>
      <c r="B509" s="1" t="s">
        <v>378</v>
      </c>
      <c r="C509" s="1" t="s">
        <v>19</v>
      </c>
      <c r="D509" s="1">
        <v>103</v>
      </c>
      <c r="E509" s="1" t="s">
        <v>9</v>
      </c>
      <c r="F509" s="1">
        <v>354</v>
      </c>
      <c r="G509" s="9">
        <v>26.19</v>
      </c>
      <c r="H509" s="1">
        <v>4</v>
      </c>
      <c r="I5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09" s="9">
        <f>CLIENTS_CHURN[[#This Row],[Facture_Mensuelle]]*CLIENTS_CHURN[[#This Row],[Remise (%)]]</f>
        <v>11.785500000000001</v>
      </c>
      <c r="K509">
        <f>IF(CLIENTS_CHURN[[#This Row],[Duree_Cumulee_Panne_Min]]&gt;0,1,0)</f>
        <v>1</v>
      </c>
      <c r="L509" t="str">
        <f>IF(CLIENTS_CHURN[[#This Row],[Type_Forfait]]="Pro Monde","B2B","B2C")</f>
        <v>B2C</v>
      </c>
    </row>
    <row r="510" spans="1:12" x14ac:dyDescent="0.25">
      <c r="A510" s="1">
        <f t="shared" si="7"/>
        <v>509</v>
      </c>
      <c r="B510" s="1" t="s">
        <v>282</v>
      </c>
      <c r="C510" s="1" t="s">
        <v>76</v>
      </c>
      <c r="D510" s="1">
        <v>108</v>
      </c>
      <c r="E510" s="1" t="s">
        <v>9</v>
      </c>
      <c r="F510" s="1">
        <v>323</v>
      </c>
      <c r="G510" s="9">
        <v>58.54</v>
      </c>
      <c r="H510" s="1">
        <v>2</v>
      </c>
      <c r="I5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10" s="9">
        <f>CLIENTS_CHURN[[#This Row],[Facture_Mensuelle]]*CLIENTS_CHURN[[#This Row],[Remise (%)]]</f>
        <v>26.343</v>
      </c>
      <c r="K510">
        <f>IF(CLIENTS_CHURN[[#This Row],[Duree_Cumulee_Panne_Min]]&gt;0,1,0)</f>
        <v>1</v>
      </c>
      <c r="L510" t="str">
        <f>IF(CLIENTS_CHURN[[#This Row],[Type_Forfait]]="Pro Monde","B2B","B2C")</f>
        <v>B2C</v>
      </c>
    </row>
    <row r="511" spans="1:12" x14ac:dyDescent="0.25">
      <c r="A511" s="1">
        <f t="shared" si="7"/>
        <v>510</v>
      </c>
      <c r="B511" s="1" t="s">
        <v>640</v>
      </c>
      <c r="C511" s="1" t="s">
        <v>22</v>
      </c>
      <c r="D511" s="1">
        <v>111</v>
      </c>
      <c r="E511" s="1" t="s">
        <v>20</v>
      </c>
      <c r="F511" s="1">
        <v>54</v>
      </c>
      <c r="G511" s="9">
        <v>71.3</v>
      </c>
      <c r="H511" s="1">
        <v>0</v>
      </c>
      <c r="I5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11" s="9">
        <f>CLIENTS_CHURN[[#This Row],[Facture_Mensuelle]]*CLIENTS_CHURN[[#This Row],[Remise (%)]]</f>
        <v>0</v>
      </c>
      <c r="K511">
        <f>IF(CLIENTS_CHURN[[#This Row],[Duree_Cumulee_Panne_Min]]&gt;0,1,0)</f>
        <v>1</v>
      </c>
      <c r="L511" t="str">
        <f>IF(CLIENTS_CHURN[[#This Row],[Type_Forfait]]="Pro Monde","B2B","B2C")</f>
        <v>B2C</v>
      </c>
    </row>
    <row r="512" spans="1:12" x14ac:dyDescent="0.25">
      <c r="A512" s="1">
        <f t="shared" si="7"/>
        <v>511</v>
      </c>
      <c r="B512" s="1" t="s">
        <v>165</v>
      </c>
      <c r="C512" s="1" t="s">
        <v>11</v>
      </c>
      <c r="D512" s="1">
        <v>6</v>
      </c>
      <c r="E512" s="1" t="s">
        <v>17</v>
      </c>
      <c r="F512" s="1">
        <v>6</v>
      </c>
      <c r="G512" s="9">
        <v>72.27</v>
      </c>
      <c r="H512" s="1">
        <v>4</v>
      </c>
      <c r="I5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12" s="9">
        <f>CLIENTS_CHURN[[#This Row],[Facture_Mensuelle]]*CLIENTS_CHURN[[#This Row],[Remise (%)]]</f>
        <v>0</v>
      </c>
      <c r="K512">
        <f>IF(CLIENTS_CHURN[[#This Row],[Duree_Cumulee_Panne_Min]]&gt;0,1,0)</f>
        <v>1</v>
      </c>
      <c r="L512" t="str">
        <f>IF(CLIENTS_CHURN[[#This Row],[Type_Forfait]]="Pro Monde","B2B","B2C")</f>
        <v>B2C</v>
      </c>
    </row>
    <row r="513" spans="1:12" x14ac:dyDescent="0.25">
      <c r="A513" s="1">
        <f t="shared" si="7"/>
        <v>512</v>
      </c>
      <c r="B513" s="1" t="s">
        <v>622</v>
      </c>
      <c r="C513" s="1" t="s">
        <v>62</v>
      </c>
      <c r="D513" s="1">
        <v>81</v>
      </c>
      <c r="E513" s="1" t="s">
        <v>12</v>
      </c>
      <c r="F513" s="1">
        <v>443</v>
      </c>
      <c r="G513" s="9">
        <v>32.78</v>
      </c>
      <c r="H513" s="1">
        <v>1</v>
      </c>
      <c r="I5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13" s="9">
        <f>CLIENTS_CHURN[[#This Row],[Facture_Mensuelle]]*CLIENTS_CHURN[[#This Row],[Remise (%)]]</f>
        <v>14.751000000000001</v>
      </c>
      <c r="K513">
        <f>IF(CLIENTS_CHURN[[#This Row],[Duree_Cumulee_Panne_Min]]&gt;0,1,0)</f>
        <v>1</v>
      </c>
      <c r="L513" t="str">
        <f>IF(CLIENTS_CHURN[[#This Row],[Type_Forfait]]="Pro Monde","B2B","B2C")</f>
        <v>B2B</v>
      </c>
    </row>
    <row r="514" spans="1:12" x14ac:dyDescent="0.25">
      <c r="A514" s="1">
        <f t="shared" si="7"/>
        <v>513</v>
      </c>
      <c r="B514" s="1" t="s">
        <v>376</v>
      </c>
      <c r="C514" s="1" t="s">
        <v>49</v>
      </c>
      <c r="D514" s="1">
        <v>86</v>
      </c>
      <c r="E514" s="1" t="s">
        <v>12</v>
      </c>
      <c r="F514" s="1">
        <v>192</v>
      </c>
      <c r="G514" s="9">
        <v>26.26</v>
      </c>
      <c r="H514" s="1">
        <v>1</v>
      </c>
      <c r="I5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14" s="9">
        <f>CLIENTS_CHURN[[#This Row],[Facture_Mensuelle]]*CLIENTS_CHURN[[#This Row],[Remise (%)]]</f>
        <v>2.6260000000000003</v>
      </c>
      <c r="K514">
        <f>IF(CLIENTS_CHURN[[#This Row],[Duree_Cumulee_Panne_Min]]&gt;0,1,0)</f>
        <v>1</v>
      </c>
      <c r="L514" t="str">
        <f>IF(CLIENTS_CHURN[[#This Row],[Type_Forfait]]="Pro Monde","B2B","B2C")</f>
        <v>B2B</v>
      </c>
    </row>
    <row r="515" spans="1:12" x14ac:dyDescent="0.25">
      <c r="A515" s="1">
        <f t="shared" si="7"/>
        <v>514</v>
      </c>
      <c r="B515" s="1" t="s">
        <v>240</v>
      </c>
      <c r="C515" s="1" t="s">
        <v>22</v>
      </c>
      <c r="D515" s="1">
        <v>60</v>
      </c>
      <c r="E515" s="1" t="s">
        <v>20</v>
      </c>
      <c r="F515" s="1">
        <v>54</v>
      </c>
      <c r="G515" s="9">
        <v>67.180000000000007</v>
      </c>
      <c r="H515" s="1">
        <v>3</v>
      </c>
      <c r="I5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15" s="9">
        <f>CLIENTS_CHURN[[#This Row],[Facture_Mensuelle]]*CLIENTS_CHURN[[#This Row],[Remise (%)]]</f>
        <v>0</v>
      </c>
      <c r="K515">
        <f>IF(CLIENTS_CHURN[[#This Row],[Duree_Cumulee_Panne_Min]]&gt;0,1,0)</f>
        <v>1</v>
      </c>
      <c r="L515" t="str">
        <f>IF(CLIENTS_CHURN[[#This Row],[Type_Forfait]]="Pro Monde","B2B","B2C")</f>
        <v>B2C</v>
      </c>
    </row>
    <row r="516" spans="1:12" x14ac:dyDescent="0.25">
      <c r="A516" s="1">
        <f t="shared" ref="A516:A579" si="8">A515+1</f>
        <v>515</v>
      </c>
      <c r="B516" s="1" t="s">
        <v>227</v>
      </c>
      <c r="C516" s="1" t="s">
        <v>38</v>
      </c>
      <c r="D516" s="1">
        <v>49</v>
      </c>
      <c r="E516" s="1" t="s">
        <v>9</v>
      </c>
      <c r="F516" s="1">
        <v>357</v>
      </c>
      <c r="G516" s="9">
        <v>96.67</v>
      </c>
      <c r="H516" s="1">
        <v>3</v>
      </c>
      <c r="I5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16" s="9">
        <f>CLIENTS_CHURN[[#This Row],[Facture_Mensuelle]]*CLIENTS_CHURN[[#This Row],[Remise (%)]]</f>
        <v>43.5015</v>
      </c>
      <c r="K516">
        <f>IF(CLIENTS_CHURN[[#This Row],[Duree_Cumulee_Panne_Min]]&gt;0,1,0)</f>
        <v>1</v>
      </c>
      <c r="L516" t="str">
        <f>IF(CLIENTS_CHURN[[#This Row],[Type_Forfait]]="Pro Monde","B2B","B2C")</f>
        <v>B2C</v>
      </c>
    </row>
    <row r="517" spans="1:12" x14ac:dyDescent="0.25">
      <c r="A517" s="1">
        <f t="shared" si="8"/>
        <v>516</v>
      </c>
      <c r="B517" s="1" t="s">
        <v>654</v>
      </c>
      <c r="C517" s="1" t="s">
        <v>38</v>
      </c>
      <c r="D517" s="1">
        <v>69</v>
      </c>
      <c r="E517" s="1" t="s">
        <v>17</v>
      </c>
      <c r="F517" s="1">
        <v>180</v>
      </c>
      <c r="G517" s="9">
        <v>76.05</v>
      </c>
      <c r="H517" s="1">
        <v>2</v>
      </c>
      <c r="I5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17" s="9">
        <f>CLIENTS_CHURN[[#This Row],[Facture_Mensuelle]]*CLIENTS_CHURN[[#This Row],[Remise (%)]]</f>
        <v>0</v>
      </c>
      <c r="K517">
        <f>IF(CLIENTS_CHURN[[#This Row],[Duree_Cumulee_Panne_Min]]&gt;0,1,0)</f>
        <v>1</v>
      </c>
      <c r="L517" t="str">
        <f>IF(CLIENTS_CHURN[[#This Row],[Type_Forfait]]="Pro Monde","B2B","B2C")</f>
        <v>B2C</v>
      </c>
    </row>
    <row r="518" spans="1:12" x14ac:dyDescent="0.25">
      <c r="A518" s="1">
        <f t="shared" si="8"/>
        <v>517</v>
      </c>
      <c r="B518" s="1" t="s">
        <v>137</v>
      </c>
      <c r="C518" s="1" t="s">
        <v>22</v>
      </c>
      <c r="D518" s="1">
        <v>87</v>
      </c>
      <c r="E518" s="1" t="s">
        <v>12</v>
      </c>
      <c r="F518" s="1">
        <v>442</v>
      </c>
      <c r="G518" s="9">
        <v>22.39</v>
      </c>
      <c r="H518" s="1">
        <v>3</v>
      </c>
      <c r="I5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18" s="9">
        <f>CLIENTS_CHURN[[#This Row],[Facture_Mensuelle]]*CLIENTS_CHURN[[#This Row],[Remise (%)]]</f>
        <v>10.0755</v>
      </c>
      <c r="K518">
        <f>IF(CLIENTS_CHURN[[#This Row],[Duree_Cumulee_Panne_Min]]&gt;0,1,0)</f>
        <v>1</v>
      </c>
      <c r="L518" t="str">
        <f>IF(CLIENTS_CHURN[[#This Row],[Type_Forfait]]="Pro Monde","B2B","B2C")</f>
        <v>B2B</v>
      </c>
    </row>
    <row r="519" spans="1:12" x14ac:dyDescent="0.25">
      <c r="A519" s="1">
        <f t="shared" si="8"/>
        <v>518</v>
      </c>
      <c r="B519" s="1" t="s">
        <v>174</v>
      </c>
      <c r="C519" s="1" t="s">
        <v>38</v>
      </c>
      <c r="D519" s="1">
        <v>58</v>
      </c>
      <c r="E519" s="1" t="s">
        <v>17</v>
      </c>
      <c r="F519" s="1">
        <v>293</v>
      </c>
      <c r="G519" s="9">
        <v>88.85</v>
      </c>
      <c r="H519" s="1">
        <v>5</v>
      </c>
      <c r="I5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19" s="9">
        <f>CLIENTS_CHURN[[#This Row],[Facture_Mensuelle]]*CLIENTS_CHURN[[#This Row],[Remise (%)]]</f>
        <v>39.982500000000002</v>
      </c>
      <c r="K519">
        <f>IF(CLIENTS_CHURN[[#This Row],[Duree_Cumulee_Panne_Min]]&gt;0,1,0)</f>
        <v>1</v>
      </c>
      <c r="L519" t="str">
        <f>IF(CLIENTS_CHURN[[#This Row],[Type_Forfait]]="Pro Monde","B2B","B2C")</f>
        <v>B2C</v>
      </c>
    </row>
    <row r="520" spans="1:12" x14ac:dyDescent="0.25">
      <c r="A520" s="1">
        <f t="shared" si="8"/>
        <v>519</v>
      </c>
      <c r="B520" s="1" t="s">
        <v>714</v>
      </c>
      <c r="C520" s="1" t="s">
        <v>31</v>
      </c>
      <c r="D520" s="1">
        <v>85</v>
      </c>
      <c r="E520" s="1" t="s">
        <v>12</v>
      </c>
      <c r="F520" s="1">
        <v>28</v>
      </c>
      <c r="G520" s="9">
        <v>83.82</v>
      </c>
      <c r="H520" s="1">
        <v>0</v>
      </c>
      <c r="I5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20" s="9">
        <f>CLIENTS_CHURN[[#This Row],[Facture_Mensuelle]]*CLIENTS_CHURN[[#This Row],[Remise (%)]]</f>
        <v>8.3819999999999997</v>
      </c>
      <c r="K520">
        <f>IF(CLIENTS_CHURN[[#This Row],[Duree_Cumulee_Panne_Min]]&gt;0,1,0)</f>
        <v>1</v>
      </c>
      <c r="L520" t="str">
        <f>IF(CLIENTS_CHURN[[#This Row],[Type_Forfait]]="Pro Monde","B2B","B2C")</f>
        <v>B2B</v>
      </c>
    </row>
    <row r="521" spans="1:12" x14ac:dyDescent="0.25">
      <c r="A521" s="1">
        <f t="shared" si="8"/>
        <v>520</v>
      </c>
      <c r="B521" s="1" t="s">
        <v>309</v>
      </c>
      <c r="C521" s="1" t="s">
        <v>65</v>
      </c>
      <c r="D521" s="1">
        <v>117</v>
      </c>
      <c r="E521" s="1" t="s">
        <v>17</v>
      </c>
      <c r="F521" s="1">
        <v>85</v>
      </c>
      <c r="G521" s="9">
        <v>46.16</v>
      </c>
      <c r="H521" s="1">
        <v>3</v>
      </c>
      <c r="I5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21" s="9">
        <f>CLIENTS_CHURN[[#This Row],[Facture_Mensuelle]]*CLIENTS_CHURN[[#This Row],[Remise (%)]]</f>
        <v>0</v>
      </c>
      <c r="K521">
        <f>IF(CLIENTS_CHURN[[#This Row],[Duree_Cumulee_Panne_Min]]&gt;0,1,0)</f>
        <v>1</v>
      </c>
      <c r="L521" t="str">
        <f>IF(CLIENTS_CHURN[[#This Row],[Type_Forfait]]="Pro Monde","B2B","B2C")</f>
        <v>B2C</v>
      </c>
    </row>
    <row r="522" spans="1:12" x14ac:dyDescent="0.25">
      <c r="A522" s="1">
        <f t="shared" si="8"/>
        <v>521</v>
      </c>
      <c r="B522" s="1" t="s">
        <v>632</v>
      </c>
      <c r="C522" s="1" t="s">
        <v>27</v>
      </c>
      <c r="D522" s="1">
        <v>4</v>
      </c>
      <c r="E522" s="1" t="s">
        <v>12</v>
      </c>
      <c r="F522" s="1">
        <v>372</v>
      </c>
      <c r="G522" s="9">
        <v>26.73</v>
      </c>
      <c r="H522" s="1">
        <v>3</v>
      </c>
      <c r="I5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22" s="9">
        <f>CLIENTS_CHURN[[#This Row],[Facture_Mensuelle]]*CLIENTS_CHURN[[#This Row],[Remise (%)]]</f>
        <v>12.028500000000001</v>
      </c>
      <c r="K522">
        <f>IF(CLIENTS_CHURN[[#This Row],[Duree_Cumulee_Panne_Min]]&gt;0,1,0)</f>
        <v>1</v>
      </c>
      <c r="L522" t="str">
        <f>IF(CLIENTS_CHURN[[#This Row],[Type_Forfait]]="Pro Monde","B2B","B2C")</f>
        <v>B2B</v>
      </c>
    </row>
    <row r="523" spans="1:12" x14ac:dyDescent="0.25">
      <c r="A523" s="1">
        <f t="shared" si="8"/>
        <v>522</v>
      </c>
      <c r="B523" s="1" t="s">
        <v>737</v>
      </c>
      <c r="C523" s="1" t="s">
        <v>33</v>
      </c>
      <c r="D523" s="1">
        <v>97</v>
      </c>
      <c r="E523" s="1" t="s">
        <v>17</v>
      </c>
      <c r="F523" s="1">
        <v>173</v>
      </c>
      <c r="G523" s="9">
        <v>19.37</v>
      </c>
      <c r="H523" s="1">
        <v>5</v>
      </c>
      <c r="I5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23" s="9">
        <f>CLIENTS_CHURN[[#This Row],[Facture_Mensuelle]]*CLIENTS_CHURN[[#This Row],[Remise (%)]]</f>
        <v>0</v>
      </c>
      <c r="K523">
        <f>IF(CLIENTS_CHURN[[#This Row],[Duree_Cumulee_Panne_Min]]&gt;0,1,0)</f>
        <v>1</v>
      </c>
      <c r="L523" t="str">
        <f>IF(CLIENTS_CHURN[[#This Row],[Type_Forfait]]="Pro Monde","B2B","B2C")</f>
        <v>B2C</v>
      </c>
    </row>
    <row r="524" spans="1:12" x14ac:dyDescent="0.25">
      <c r="A524" s="1">
        <f t="shared" si="8"/>
        <v>523</v>
      </c>
      <c r="B524" s="1" t="s">
        <v>467</v>
      </c>
      <c r="C524" s="1" t="s">
        <v>8</v>
      </c>
      <c r="D524" s="1">
        <v>33</v>
      </c>
      <c r="E524" s="1" t="s">
        <v>17</v>
      </c>
      <c r="F524" s="1">
        <v>273</v>
      </c>
      <c r="G524" s="9">
        <v>49.8</v>
      </c>
      <c r="H524" s="1">
        <v>0</v>
      </c>
      <c r="I5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24" s="9">
        <f>CLIENTS_CHURN[[#This Row],[Facture_Mensuelle]]*CLIENTS_CHURN[[#This Row],[Remise (%)]]</f>
        <v>22.41</v>
      </c>
      <c r="K524">
        <f>IF(CLIENTS_CHURN[[#This Row],[Duree_Cumulee_Panne_Min]]&gt;0,1,0)</f>
        <v>1</v>
      </c>
      <c r="L524" t="str">
        <f>IF(CLIENTS_CHURN[[#This Row],[Type_Forfait]]="Pro Monde","B2B","B2C")</f>
        <v>B2C</v>
      </c>
    </row>
    <row r="525" spans="1:12" x14ac:dyDescent="0.25">
      <c r="A525" s="1">
        <f t="shared" si="8"/>
        <v>524</v>
      </c>
      <c r="B525" s="1" t="s">
        <v>523</v>
      </c>
      <c r="C525" s="1" t="s">
        <v>33</v>
      </c>
      <c r="D525" s="1">
        <v>41</v>
      </c>
      <c r="E525" s="1" t="s">
        <v>9</v>
      </c>
      <c r="F525" s="1">
        <v>383</v>
      </c>
      <c r="G525" s="9">
        <v>27.53</v>
      </c>
      <c r="H525" s="1">
        <v>4</v>
      </c>
      <c r="I5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25" s="9">
        <f>CLIENTS_CHURN[[#This Row],[Facture_Mensuelle]]*CLIENTS_CHURN[[#This Row],[Remise (%)]]</f>
        <v>12.388500000000001</v>
      </c>
      <c r="K525">
        <f>IF(CLIENTS_CHURN[[#This Row],[Duree_Cumulee_Panne_Min]]&gt;0,1,0)</f>
        <v>1</v>
      </c>
      <c r="L525" t="str">
        <f>IF(CLIENTS_CHURN[[#This Row],[Type_Forfait]]="Pro Monde","B2B","B2C")</f>
        <v>B2C</v>
      </c>
    </row>
    <row r="526" spans="1:12" x14ac:dyDescent="0.25">
      <c r="A526" s="1">
        <f t="shared" si="8"/>
        <v>525</v>
      </c>
      <c r="B526" s="1" t="s">
        <v>382</v>
      </c>
      <c r="C526" s="1" t="s">
        <v>86</v>
      </c>
      <c r="D526" s="1">
        <v>77</v>
      </c>
      <c r="E526" s="1" t="s">
        <v>20</v>
      </c>
      <c r="F526" s="1">
        <v>45</v>
      </c>
      <c r="G526" s="9">
        <v>21.59</v>
      </c>
      <c r="H526" s="1">
        <v>2</v>
      </c>
      <c r="I5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26" s="9">
        <f>CLIENTS_CHURN[[#This Row],[Facture_Mensuelle]]*CLIENTS_CHURN[[#This Row],[Remise (%)]]</f>
        <v>0</v>
      </c>
      <c r="K526">
        <f>IF(CLIENTS_CHURN[[#This Row],[Duree_Cumulee_Panne_Min]]&gt;0,1,0)</f>
        <v>1</v>
      </c>
      <c r="L526" t="str">
        <f>IF(CLIENTS_CHURN[[#This Row],[Type_Forfait]]="Pro Monde","B2B","B2C")</f>
        <v>B2C</v>
      </c>
    </row>
    <row r="527" spans="1:12" x14ac:dyDescent="0.25">
      <c r="A527" s="1">
        <f t="shared" si="8"/>
        <v>526</v>
      </c>
      <c r="B527" s="1" t="s">
        <v>475</v>
      </c>
      <c r="C527" s="1" t="s">
        <v>71</v>
      </c>
      <c r="D527" s="1">
        <v>2</v>
      </c>
      <c r="E527" s="1" t="s">
        <v>17</v>
      </c>
      <c r="F527" s="1">
        <v>142</v>
      </c>
      <c r="G527" s="9">
        <v>49.05</v>
      </c>
      <c r="H527" s="1">
        <v>4</v>
      </c>
      <c r="I5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27" s="9">
        <f>CLIENTS_CHURN[[#This Row],[Facture_Mensuelle]]*CLIENTS_CHURN[[#This Row],[Remise (%)]]</f>
        <v>0</v>
      </c>
      <c r="K527">
        <f>IF(CLIENTS_CHURN[[#This Row],[Duree_Cumulee_Panne_Min]]&gt;0,1,0)</f>
        <v>1</v>
      </c>
      <c r="L527" t="str">
        <f>IF(CLIENTS_CHURN[[#This Row],[Type_Forfait]]="Pro Monde","B2B","B2C")</f>
        <v>B2C</v>
      </c>
    </row>
    <row r="528" spans="1:12" x14ac:dyDescent="0.25">
      <c r="A528" s="1">
        <f t="shared" si="8"/>
        <v>527</v>
      </c>
      <c r="B528" s="1" t="s">
        <v>399</v>
      </c>
      <c r="C528" s="1" t="s">
        <v>58</v>
      </c>
      <c r="D528" s="1">
        <v>13</v>
      </c>
      <c r="E528" s="1" t="s">
        <v>20</v>
      </c>
      <c r="F528" s="1">
        <v>310</v>
      </c>
      <c r="G528" s="9">
        <v>65.599999999999994</v>
      </c>
      <c r="H528" s="1">
        <v>5</v>
      </c>
      <c r="I5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28" s="9">
        <f>CLIENTS_CHURN[[#This Row],[Facture_Mensuelle]]*CLIENTS_CHURN[[#This Row],[Remise (%)]]</f>
        <v>29.52</v>
      </c>
      <c r="K528">
        <f>IF(CLIENTS_CHURN[[#This Row],[Duree_Cumulee_Panne_Min]]&gt;0,1,0)</f>
        <v>1</v>
      </c>
      <c r="L528" t="str">
        <f>IF(CLIENTS_CHURN[[#This Row],[Type_Forfait]]="Pro Monde","B2B","B2C")</f>
        <v>B2C</v>
      </c>
    </row>
    <row r="529" spans="1:12" x14ac:dyDescent="0.25">
      <c r="A529" s="1">
        <f t="shared" si="8"/>
        <v>528</v>
      </c>
      <c r="B529" s="1" t="s">
        <v>425</v>
      </c>
      <c r="C529" s="1" t="s">
        <v>55</v>
      </c>
      <c r="D529" s="1">
        <v>78</v>
      </c>
      <c r="E529" s="1" t="s">
        <v>17</v>
      </c>
      <c r="F529" s="1">
        <v>57</v>
      </c>
      <c r="G529" s="9">
        <v>49.47</v>
      </c>
      <c r="H529" s="1">
        <v>0</v>
      </c>
      <c r="I5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29" s="9">
        <f>CLIENTS_CHURN[[#This Row],[Facture_Mensuelle]]*CLIENTS_CHURN[[#This Row],[Remise (%)]]</f>
        <v>0</v>
      </c>
      <c r="K529">
        <f>IF(CLIENTS_CHURN[[#This Row],[Duree_Cumulee_Panne_Min]]&gt;0,1,0)</f>
        <v>1</v>
      </c>
      <c r="L529" t="str">
        <f>IF(CLIENTS_CHURN[[#This Row],[Type_Forfait]]="Pro Monde","B2B","B2C")</f>
        <v>B2C</v>
      </c>
    </row>
    <row r="530" spans="1:12" x14ac:dyDescent="0.25">
      <c r="A530" s="1">
        <f t="shared" si="8"/>
        <v>529</v>
      </c>
      <c r="B530" s="1" t="s">
        <v>380</v>
      </c>
      <c r="C530" s="1" t="s">
        <v>76</v>
      </c>
      <c r="D530" s="1">
        <v>90</v>
      </c>
      <c r="E530" s="1" t="s">
        <v>20</v>
      </c>
      <c r="F530" s="1">
        <v>343</v>
      </c>
      <c r="G530" s="9">
        <v>82.05</v>
      </c>
      <c r="H530" s="1">
        <v>1</v>
      </c>
      <c r="I5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30" s="9">
        <f>CLIENTS_CHURN[[#This Row],[Facture_Mensuelle]]*CLIENTS_CHURN[[#This Row],[Remise (%)]]</f>
        <v>36.922499999999999</v>
      </c>
      <c r="K530">
        <f>IF(CLIENTS_CHURN[[#This Row],[Duree_Cumulee_Panne_Min]]&gt;0,1,0)</f>
        <v>1</v>
      </c>
      <c r="L530" t="str">
        <f>IF(CLIENTS_CHURN[[#This Row],[Type_Forfait]]="Pro Monde","B2B","B2C")</f>
        <v>B2C</v>
      </c>
    </row>
    <row r="531" spans="1:12" x14ac:dyDescent="0.25">
      <c r="A531" s="1">
        <f t="shared" si="8"/>
        <v>530</v>
      </c>
      <c r="B531" s="1" t="s">
        <v>264</v>
      </c>
      <c r="C531" s="1" t="s">
        <v>11</v>
      </c>
      <c r="D531" s="1">
        <v>96</v>
      </c>
      <c r="E531" s="1" t="s">
        <v>20</v>
      </c>
      <c r="F531" s="1">
        <v>210</v>
      </c>
      <c r="G531" s="9">
        <v>28.39</v>
      </c>
      <c r="H531" s="1">
        <v>3</v>
      </c>
      <c r="I5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1" s="9">
        <f>CLIENTS_CHURN[[#This Row],[Facture_Mensuelle]]*CLIENTS_CHURN[[#This Row],[Remise (%)]]</f>
        <v>0</v>
      </c>
      <c r="K531">
        <f>IF(CLIENTS_CHURN[[#This Row],[Duree_Cumulee_Panne_Min]]&gt;0,1,0)</f>
        <v>1</v>
      </c>
      <c r="L531" t="str">
        <f>IF(CLIENTS_CHURN[[#This Row],[Type_Forfait]]="Pro Monde","B2B","B2C")</f>
        <v>B2C</v>
      </c>
    </row>
    <row r="532" spans="1:12" x14ac:dyDescent="0.25">
      <c r="A532" s="1">
        <f t="shared" si="8"/>
        <v>531</v>
      </c>
      <c r="B532" s="1" t="s">
        <v>784</v>
      </c>
      <c r="C532" s="1" t="s">
        <v>27</v>
      </c>
      <c r="D532" s="1">
        <v>12</v>
      </c>
      <c r="E532" s="1" t="s">
        <v>9</v>
      </c>
      <c r="F532" s="1">
        <v>138</v>
      </c>
      <c r="G532" s="9">
        <v>99.83</v>
      </c>
      <c r="H532" s="1">
        <v>1</v>
      </c>
      <c r="I5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2" s="9">
        <f>CLIENTS_CHURN[[#This Row],[Facture_Mensuelle]]*CLIENTS_CHURN[[#This Row],[Remise (%)]]</f>
        <v>0</v>
      </c>
      <c r="K532">
        <f>IF(CLIENTS_CHURN[[#This Row],[Duree_Cumulee_Panne_Min]]&gt;0,1,0)</f>
        <v>1</v>
      </c>
      <c r="L532" t="str">
        <f>IF(CLIENTS_CHURN[[#This Row],[Type_Forfait]]="Pro Monde","B2B","B2C")</f>
        <v>B2C</v>
      </c>
    </row>
    <row r="533" spans="1:12" x14ac:dyDescent="0.25">
      <c r="A533" s="1">
        <f t="shared" si="8"/>
        <v>532</v>
      </c>
      <c r="B533" s="1" t="s">
        <v>151</v>
      </c>
      <c r="C533" s="1" t="s">
        <v>31</v>
      </c>
      <c r="D533" s="1">
        <v>110</v>
      </c>
      <c r="E533" s="1" t="s">
        <v>9</v>
      </c>
      <c r="F533" s="1">
        <v>51</v>
      </c>
      <c r="G533" s="9">
        <v>56.59</v>
      </c>
      <c r="H533" s="1">
        <v>5</v>
      </c>
      <c r="I5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3" s="9">
        <f>CLIENTS_CHURN[[#This Row],[Facture_Mensuelle]]*CLIENTS_CHURN[[#This Row],[Remise (%)]]</f>
        <v>0</v>
      </c>
      <c r="K533">
        <f>IF(CLIENTS_CHURN[[#This Row],[Duree_Cumulee_Panne_Min]]&gt;0,1,0)</f>
        <v>1</v>
      </c>
      <c r="L533" t="str">
        <f>IF(CLIENTS_CHURN[[#This Row],[Type_Forfait]]="Pro Monde","B2B","B2C")</f>
        <v>B2C</v>
      </c>
    </row>
    <row r="534" spans="1:12" x14ac:dyDescent="0.25">
      <c r="A534" s="1">
        <f t="shared" si="8"/>
        <v>533</v>
      </c>
      <c r="B534" s="1" t="s">
        <v>220</v>
      </c>
      <c r="C534" s="1" t="s">
        <v>65</v>
      </c>
      <c r="D534" s="1">
        <v>111</v>
      </c>
      <c r="E534" s="1" t="s">
        <v>9</v>
      </c>
      <c r="F534" s="1">
        <v>43</v>
      </c>
      <c r="G534" s="9">
        <v>19.39</v>
      </c>
      <c r="H534" s="1">
        <v>3</v>
      </c>
      <c r="I5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4" s="9">
        <f>CLIENTS_CHURN[[#This Row],[Facture_Mensuelle]]*CLIENTS_CHURN[[#This Row],[Remise (%)]]</f>
        <v>0</v>
      </c>
      <c r="K534">
        <f>IF(CLIENTS_CHURN[[#This Row],[Duree_Cumulee_Panne_Min]]&gt;0,1,0)</f>
        <v>1</v>
      </c>
      <c r="L534" t="str">
        <f>IF(CLIENTS_CHURN[[#This Row],[Type_Forfait]]="Pro Monde","B2B","B2C")</f>
        <v>B2C</v>
      </c>
    </row>
    <row r="535" spans="1:12" x14ac:dyDescent="0.25">
      <c r="A535" s="1">
        <f t="shared" si="8"/>
        <v>534</v>
      </c>
      <c r="B535" s="1" t="s">
        <v>324</v>
      </c>
      <c r="C535" s="1" t="s">
        <v>31</v>
      </c>
      <c r="D535" s="1">
        <v>55</v>
      </c>
      <c r="E535" s="1" t="s">
        <v>12</v>
      </c>
      <c r="F535" s="1">
        <v>389</v>
      </c>
      <c r="G535" s="9">
        <v>67.430000000000007</v>
      </c>
      <c r="H535" s="1">
        <v>3</v>
      </c>
      <c r="I5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35" s="9">
        <f>CLIENTS_CHURN[[#This Row],[Facture_Mensuelle]]*CLIENTS_CHURN[[#This Row],[Remise (%)]]</f>
        <v>30.343500000000002</v>
      </c>
      <c r="K535">
        <f>IF(CLIENTS_CHURN[[#This Row],[Duree_Cumulee_Panne_Min]]&gt;0,1,0)</f>
        <v>1</v>
      </c>
      <c r="L535" t="str">
        <f>IF(CLIENTS_CHURN[[#This Row],[Type_Forfait]]="Pro Monde","B2B","B2C")</f>
        <v>B2B</v>
      </c>
    </row>
    <row r="536" spans="1:12" x14ac:dyDescent="0.25">
      <c r="A536" s="1">
        <f t="shared" si="8"/>
        <v>535</v>
      </c>
      <c r="B536" s="1" t="s">
        <v>610</v>
      </c>
      <c r="C536" s="1" t="s">
        <v>33</v>
      </c>
      <c r="D536" s="1">
        <v>13</v>
      </c>
      <c r="E536" s="1" t="s">
        <v>12</v>
      </c>
      <c r="F536" s="1">
        <v>474</v>
      </c>
      <c r="G536" s="9">
        <v>63.67</v>
      </c>
      <c r="H536" s="1">
        <v>2</v>
      </c>
      <c r="I5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36" s="9">
        <f>CLIENTS_CHURN[[#This Row],[Facture_Mensuelle]]*CLIENTS_CHURN[[#This Row],[Remise (%)]]</f>
        <v>28.651500000000002</v>
      </c>
      <c r="K536">
        <f>IF(CLIENTS_CHURN[[#This Row],[Duree_Cumulee_Panne_Min]]&gt;0,1,0)</f>
        <v>1</v>
      </c>
      <c r="L536" t="str">
        <f>IF(CLIENTS_CHURN[[#This Row],[Type_Forfait]]="Pro Monde","B2B","B2C")</f>
        <v>B2B</v>
      </c>
    </row>
    <row r="537" spans="1:12" x14ac:dyDescent="0.25">
      <c r="A537" s="1">
        <f t="shared" si="8"/>
        <v>536</v>
      </c>
      <c r="B537" s="1" t="s">
        <v>481</v>
      </c>
      <c r="C537" s="1" t="s">
        <v>76</v>
      </c>
      <c r="D537" s="1">
        <v>43</v>
      </c>
      <c r="E537" s="1" t="s">
        <v>20</v>
      </c>
      <c r="F537" s="1">
        <v>26</v>
      </c>
      <c r="G537" s="9">
        <v>25.85</v>
      </c>
      <c r="H537" s="1">
        <v>1</v>
      </c>
      <c r="I5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7" s="9">
        <f>CLIENTS_CHURN[[#This Row],[Facture_Mensuelle]]*CLIENTS_CHURN[[#This Row],[Remise (%)]]</f>
        <v>0</v>
      </c>
      <c r="K537">
        <f>IF(CLIENTS_CHURN[[#This Row],[Duree_Cumulee_Panne_Min]]&gt;0,1,0)</f>
        <v>1</v>
      </c>
      <c r="L537" t="str">
        <f>IF(CLIENTS_CHURN[[#This Row],[Type_Forfait]]="Pro Monde","B2B","B2C")</f>
        <v>B2C</v>
      </c>
    </row>
    <row r="538" spans="1:12" x14ac:dyDescent="0.25">
      <c r="A538" s="1">
        <f t="shared" si="8"/>
        <v>537</v>
      </c>
      <c r="B538" s="1" t="s">
        <v>770</v>
      </c>
      <c r="C538" s="1" t="s">
        <v>11</v>
      </c>
      <c r="D538" s="1">
        <v>63</v>
      </c>
      <c r="E538" s="1" t="s">
        <v>9</v>
      </c>
      <c r="F538" s="1">
        <v>177</v>
      </c>
      <c r="G538" s="9">
        <v>77.73</v>
      </c>
      <c r="H538" s="1">
        <v>3</v>
      </c>
      <c r="I5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8" s="9">
        <f>CLIENTS_CHURN[[#This Row],[Facture_Mensuelle]]*CLIENTS_CHURN[[#This Row],[Remise (%)]]</f>
        <v>0</v>
      </c>
      <c r="K538">
        <f>IF(CLIENTS_CHURN[[#This Row],[Duree_Cumulee_Panne_Min]]&gt;0,1,0)</f>
        <v>1</v>
      </c>
      <c r="L538" t="str">
        <f>IF(CLIENTS_CHURN[[#This Row],[Type_Forfait]]="Pro Monde","B2B","B2C")</f>
        <v>B2C</v>
      </c>
    </row>
    <row r="539" spans="1:12" x14ac:dyDescent="0.25">
      <c r="A539" s="1">
        <f t="shared" si="8"/>
        <v>538</v>
      </c>
      <c r="B539" s="1" t="s">
        <v>47</v>
      </c>
      <c r="C539" s="1" t="s">
        <v>24</v>
      </c>
      <c r="D539" s="1">
        <v>7</v>
      </c>
      <c r="E539" s="1" t="s">
        <v>9</v>
      </c>
      <c r="F539" s="1">
        <v>206</v>
      </c>
      <c r="G539" s="9">
        <v>78.09</v>
      </c>
      <c r="H539" s="1">
        <v>3</v>
      </c>
      <c r="I5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39" s="9">
        <f>CLIENTS_CHURN[[#This Row],[Facture_Mensuelle]]*CLIENTS_CHURN[[#This Row],[Remise (%)]]</f>
        <v>0</v>
      </c>
      <c r="K539">
        <f>IF(CLIENTS_CHURN[[#This Row],[Duree_Cumulee_Panne_Min]]&gt;0,1,0)</f>
        <v>1</v>
      </c>
      <c r="L539" t="str">
        <f>IF(CLIENTS_CHURN[[#This Row],[Type_Forfait]]="Pro Monde","B2B","B2C")</f>
        <v>B2C</v>
      </c>
    </row>
    <row r="540" spans="1:12" x14ac:dyDescent="0.25">
      <c r="A540" s="1">
        <f t="shared" si="8"/>
        <v>539</v>
      </c>
      <c r="B540" s="1" t="s">
        <v>80</v>
      </c>
      <c r="C540" s="1" t="s">
        <v>55</v>
      </c>
      <c r="D540" s="1">
        <v>117</v>
      </c>
      <c r="E540" s="1" t="s">
        <v>20</v>
      </c>
      <c r="F540" s="1">
        <v>171</v>
      </c>
      <c r="G540" s="9">
        <v>50.89</v>
      </c>
      <c r="H540" s="1">
        <v>4</v>
      </c>
      <c r="I5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40" s="9">
        <f>CLIENTS_CHURN[[#This Row],[Facture_Mensuelle]]*CLIENTS_CHURN[[#This Row],[Remise (%)]]</f>
        <v>0</v>
      </c>
      <c r="K540">
        <f>IF(CLIENTS_CHURN[[#This Row],[Duree_Cumulee_Panne_Min]]&gt;0,1,0)</f>
        <v>1</v>
      </c>
      <c r="L540" t="str">
        <f>IF(CLIENTS_CHURN[[#This Row],[Type_Forfait]]="Pro Monde","B2B","B2C")</f>
        <v>B2C</v>
      </c>
    </row>
    <row r="541" spans="1:12" x14ac:dyDescent="0.25">
      <c r="A541" s="1">
        <f t="shared" si="8"/>
        <v>540</v>
      </c>
      <c r="B541" s="1" t="s">
        <v>556</v>
      </c>
      <c r="C541" s="1" t="s">
        <v>29</v>
      </c>
      <c r="D541" s="1">
        <v>57</v>
      </c>
      <c r="E541" s="1" t="s">
        <v>17</v>
      </c>
      <c r="F541" s="1">
        <v>447</v>
      </c>
      <c r="G541" s="9">
        <v>23.27</v>
      </c>
      <c r="H541" s="1">
        <v>3</v>
      </c>
      <c r="I5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41" s="9">
        <f>CLIENTS_CHURN[[#This Row],[Facture_Mensuelle]]*CLIENTS_CHURN[[#This Row],[Remise (%)]]</f>
        <v>10.471500000000001</v>
      </c>
      <c r="K541">
        <f>IF(CLIENTS_CHURN[[#This Row],[Duree_Cumulee_Panne_Min]]&gt;0,1,0)</f>
        <v>1</v>
      </c>
      <c r="L541" t="str">
        <f>IF(CLIENTS_CHURN[[#This Row],[Type_Forfait]]="Pro Monde","B2B","B2C")</f>
        <v>B2C</v>
      </c>
    </row>
    <row r="542" spans="1:12" x14ac:dyDescent="0.25">
      <c r="A542" s="1">
        <f t="shared" si="8"/>
        <v>541</v>
      </c>
      <c r="B542" s="1" t="s">
        <v>782</v>
      </c>
      <c r="C542" s="1" t="s">
        <v>55</v>
      </c>
      <c r="D542" s="1">
        <v>102</v>
      </c>
      <c r="E542" s="1" t="s">
        <v>17</v>
      </c>
      <c r="F542" s="1">
        <v>484</v>
      </c>
      <c r="G542" s="9">
        <v>64.22</v>
      </c>
      <c r="H542" s="1">
        <v>2</v>
      </c>
      <c r="I5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42" s="9">
        <f>CLIENTS_CHURN[[#This Row],[Facture_Mensuelle]]*CLIENTS_CHURN[[#This Row],[Remise (%)]]</f>
        <v>28.899000000000001</v>
      </c>
      <c r="K542">
        <f>IF(CLIENTS_CHURN[[#This Row],[Duree_Cumulee_Panne_Min]]&gt;0,1,0)</f>
        <v>1</v>
      </c>
      <c r="L542" t="str">
        <f>IF(CLIENTS_CHURN[[#This Row],[Type_Forfait]]="Pro Monde","B2B","B2C")</f>
        <v>B2C</v>
      </c>
    </row>
    <row r="543" spans="1:12" x14ac:dyDescent="0.25">
      <c r="A543" s="1">
        <f t="shared" si="8"/>
        <v>542</v>
      </c>
      <c r="B543" s="1" t="s">
        <v>351</v>
      </c>
      <c r="C543" s="1" t="s">
        <v>128</v>
      </c>
      <c r="D543" s="1">
        <v>67</v>
      </c>
      <c r="E543" s="1" t="s">
        <v>12</v>
      </c>
      <c r="F543" s="1">
        <v>26</v>
      </c>
      <c r="G543" s="9">
        <v>81.489999999999995</v>
      </c>
      <c r="H543" s="1">
        <v>4</v>
      </c>
      <c r="I5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43" s="9">
        <f>CLIENTS_CHURN[[#This Row],[Facture_Mensuelle]]*CLIENTS_CHURN[[#This Row],[Remise (%)]]</f>
        <v>8.1489999999999991</v>
      </c>
      <c r="K543">
        <f>IF(CLIENTS_CHURN[[#This Row],[Duree_Cumulee_Panne_Min]]&gt;0,1,0)</f>
        <v>1</v>
      </c>
      <c r="L543" t="str">
        <f>IF(CLIENTS_CHURN[[#This Row],[Type_Forfait]]="Pro Monde","B2B","B2C")</f>
        <v>B2B</v>
      </c>
    </row>
    <row r="544" spans="1:12" x14ac:dyDescent="0.25">
      <c r="A544" s="1">
        <f t="shared" si="8"/>
        <v>543</v>
      </c>
      <c r="B544" s="1" t="s">
        <v>234</v>
      </c>
      <c r="C544" s="1" t="s">
        <v>27</v>
      </c>
      <c r="D544" s="1">
        <v>71</v>
      </c>
      <c r="E544" s="1" t="s">
        <v>9</v>
      </c>
      <c r="F544" s="1">
        <v>15</v>
      </c>
      <c r="G544" s="9">
        <v>25.46</v>
      </c>
      <c r="H544" s="1">
        <v>5</v>
      </c>
      <c r="I5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44" s="9">
        <f>CLIENTS_CHURN[[#This Row],[Facture_Mensuelle]]*CLIENTS_CHURN[[#This Row],[Remise (%)]]</f>
        <v>0</v>
      </c>
      <c r="K544">
        <f>IF(CLIENTS_CHURN[[#This Row],[Duree_Cumulee_Panne_Min]]&gt;0,1,0)</f>
        <v>1</v>
      </c>
      <c r="L544" t="str">
        <f>IF(CLIENTS_CHURN[[#This Row],[Type_Forfait]]="Pro Monde","B2B","B2C")</f>
        <v>B2C</v>
      </c>
    </row>
    <row r="545" spans="1:12" x14ac:dyDescent="0.25">
      <c r="A545" s="1">
        <f t="shared" si="8"/>
        <v>544</v>
      </c>
      <c r="B545" s="1" t="s">
        <v>667</v>
      </c>
      <c r="C545" s="1" t="s">
        <v>58</v>
      </c>
      <c r="D545" s="1">
        <v>10</v>
      </c>
      <c r="E545" s="1" t="s">
        <v>20</v>
      </c>
      <c r="F545" s="1">
        <v>260</v>
      </c>
      <c r="G545" s="9">
        <v>37.479999999999997</v>
      </c>
      <c r="H545" s="1">
        <v>2</v>
      </c>
      <c r="I5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45" s="9">
        <f>CLIENTS_CHURN[[#This Row],[Facture_Mensuelle]]*CLIENTS_CHURN[[#This Row],[Remise (%)]]</f>
        <v>16.866</v>
      </c>
      <c r="K545">
        <f>IF(CLIENTS_CHURN[[#This Row],[Duree_Cumulee_Panne_Min]]&gt;0,1,0)</f>
        <v>1</v>
      </c>
      <c r="L545" t="str">
        <f>IF(CLIENTS_CHURN[[#This Row],[Type_Forfait]]="Pro Monde","B2B","B2C")</f>
        <v>B2C</v>
      </c>
    </row>
    <row r="546" spans="1:12" x14ac:dyDescent="0.25">
      <c r="A546" s="1">
        <f t="shared" si="8"/>
        <v>545</v>
      </c>
      <c r="B546" s="1" t="s">
        <v>538</v>
      </c>
      <c r="C546" s="1" t="s">
        <v>42</v>
      </c>
      <c r="D546" s="1">
        <v>38</v>
      </c>
      <c r="E546" s="1" t="s">
        <v>17</v>
      </c>
      <c r="F546" s="1">
        <v>108</v>
      </c>
      <c r="G546" s="9">
        <v>72.7</v>
      </c>
      <c r="H546" s="1">
        <v>3</v>
      </c>
      <c r="I5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46" s="9">
        <f>CLIENTS_CHURN[[#This Row],[Facture_Mensuelle]]*CLIENTS_CHURN[[#This Row],[Remise (%)]]</f>
        <v>0</v>
      </c>
      <c r="K546">
        <f>IF(CLIENTS_CHURN[[#This Row],[Duree_Cumulee_Panne_Min]]&gt;0,1,0)</f>
        <v>1</v>
      </c>
      <c r="L546" t="str">
        <f>IF(CLIENTS_CHURN[[#This Row],[Type_Forfait]]="Pro Monde","B2B","B2C")</f>
        <v>B2C</v>
      </c>
    </row>
    <row r="547" spans="1:12" x14ac:dyDescent="0.25">
      <c r="A547" s="1">
        <f t="shared" si="8"/>
        <v>546</v>
      </c>
      <c r="B547" s="1" t="s">
        <v>681</v>
      </c>
      <c r="C547" s="1" t="s">
        <v>29</v>
      </c>
      <c r="D547" s="1">
        <v>59</v>
      </c>
      <c r="E547" s="1" t="s">
        <v>17</v>
      </c>
      <c r="F547" s="1">
        <v>150</v>
      </c>
      <c r="G547" s="9">
        <v>71.13</v>
      </c>
      <c r="H547" s="1">
        <v>0</v>
      </c>
      <c r="I5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47" s="9">
        <f>CLIENTS_CHURN[[#This Row],[Facture_Mensuelle]]*CLIENTS_CHURN[[#This Row],[Remise (%)]]</f>
        <v>0</v>
      </c>
      <c r="K547">
        <f>IF(CLIENTS_CHURN[[#This Row],[Duree_Cumulee_Panne_Min]]&gt;0,1,0)</f>
        <v>1</v>
      </c>
      <c r="L547" t="str">
        <f>IF(CLIENTS_CHURN[[#This Row],[Type_Forfait]]="Pro Monde","B2B","B2C")</f>
        <v>B2C</v>
      </c>
    </row>
    <row r="548" spans="1:12" x14ac:dyDescent="0.25">
      <c r="A548" s="1">
        <f t="shared" si="8"/>
        <v>547</v>
      </c>
      <c r="B548" s="1" t="s">
        <v>87</v>
      </c>
      <c r="C548" s="1" t="s">
        <v>33</v>
      </c>
      <c r="D548" s="1">
        <v>58</v>
      </c>
      <c r="E548" s="1" t="s">
        <v>17</v>
      </c>
      <c r="F548" s="1">
        <v>423</v>
      </c>
      <c r="G548" s="9">
        <v>80.459999999999994</v>
      </c>
      <c r="H548" s="1">
        <v>0</v>
      </c>
      <c r="I5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48" s="9">
        <f>CLIENTS_CHURN[[#This Row],[Facture_Mensuelle]]*CLIENTS_CHURN[[#This Row],[Remise (%)]]</f>
        <v>36.207000000000001</v>
      </c>
      <c r="K548">
        <f>IF(CLIENTS_CHURN[[#This Row],[Duree_Cumulee_Panne_Min]]&gt;0,1,0)</f>
        <v>1</v>
      </c>
      <c r="L548" t="str">
        <f>IF(CLIENTS_CHURN[[#This Row],[Type_Forfait]]="Pro Monde","B2B","B2C")</f>
        <v>B2C</v>
      </c>
    </row>
    <row r="549" spans="1:12" x14ac:dyDescent="0.25">
      <c r="A549" s="1">
        <f t="shared" si="8"/>
        <v>548</v>
      </c>
      <c r="B549" s="1" t="s">
        <v>278</v>
      </c>
      <c r="C549" s="1" t="s">
        <v>49</v>
      </c>
      <c r="D549" s="1">
        <v>36</v>
      </c>
      <c r="E549" s="1" t="s">
        <v>17</v>
      </c>
      <c r="F549" s="1">
        <v>491</v>
      </c>
      <c r="G549" s="9">
        <v>12.13</v>
      </c>
      <c r="H549" s="1">
        <v>4</v>
      </c>
      <c r="I5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49" s="9">
        <f>CLIENTS_CHURN[[#This Row],[Facture_Mensuelle]]*CLIENTS_CHURN[[#This Row],[Remise (%)]]</f>
        <v>5.4585000000000008</v>
      </c>
      <c r="K549">
        <f>IF(CLIENTS_CHURN[[#This Row],[Duree_Cumulee_Panne_Min]]&gt;0,1,0)</f>
        <v>1</v>
      </c>
      <c r="L549" t="str">
        <f>IF(CLIENTS_CHURN[[#This Row],[Type_Forfait]]="Pro Monde","B2B","B2C")</f>
        <v>B2C</v>
      </c>
    </row>
    <row r="550" spans="1:12" x14ac:dyDescent="0.25">
      <c r="A550" s="1">
        <f t="shared" si="8"/>
        <v>549</v>
      </c>
      <c r="B550" s="1" t="s">
        <v>685</v>
      </c>
      <c r="C550" s="1" t="s">
        <v>60</v>
      </c>
      <c r="D550" s="1">
        <v>111</v>
      </c>
      <c r="E550" s="1" t="s">
        <v>9</v>
      </c>
      <c r="F550" s="1">
        <v>304</v>
      </c>
      <c r="G550" s="9">
        <v>62.48</v>
      </c>
      <c r="H550" s="1">
        <v>5</v>
      </c>
      <c r="I5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50" s="9">
        <f>CLIENTS_CHURN[[#This Row],[Facture_Mensuelle]]*CLIENTS_CHURN[[#This Row],[Remise (%)]]</f>
        <v>28.116</v>
      </c>
      <c r="K550">
        <f>IF(CLIENTS_CHURN[[#This Row],[Duree_Cumulee_Panne_Min]]&gt;0,1,0)</f>
        <v>1</v>
      </c>
      <c r="L550" t="str">
        <f>IF(CLIENTS_CHURN[[#This Row],[Type_Forfait]]="Pro Monde","B2B","B2C")</f>
        <v>B2C</v>
      </c>
    </row>
    <row r="551" spans="1:12" x14ac:dyDescent="0.25">
      <c r="A551" s="1">
        <f t="shared" si="8"/>
        <v>550</v>
      </c>
      <c r="B551" s="1" t="s">
        <v>384</v>
      </c>
      <c r="C551" s="1" t="s">
        <v>62</v>
      </c>
      <c r="D551" s="1">
        <v>40</v>
      </c>
      <c r="E551" s="1" t="s">
        <v>9</v>
      </c>
      <c r="F551" s="1">
        <v>237</v>
      </c>
      <c r="G551" s="9">
        <v>24.51</v>
      </c>
      <c r="H551" s="1">
        <v>1</v>
      </c>
      <c r="I5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51" s="9">
        <f>CLIENTS_CHURN[[#This Row],[Facture_Mensuelle]]*CLIENTS_CHURN[[#This Row],[Remise (%)]]</f>
        <v>0</v>
      </c>
      <c r="K551">
        <f>IF(CLIENTS_CHURN[[#This Row],[Duree_Cumulee_Panne_Min]]&gt;0,1,0)</f>
        <v>1</v>
      </c>
      <c r="L551" t="str">
        <f>IF(CLIENTS_CHURN[[#This Row],[Type_Forfait]]="Pro Monde","B2B","B2C")</f>
        <v>B2C</v>
      </c>
    </row>
    <row r="552" spans="1:12" x14ac:dyDescent="0.25">
      <c r="A552" s="1">
        <f t="shared" si="8"/>
        <v>551</v>
      </c>
      <c r="B552" s="1" t="s">
        <v>111</v>
      </c>
      <c r="C552" s="1" t="s">
        <v>24</v>
      </c>
      <c r="D552" s="1">
        <v>36</v>
      </c>
      <c r="E552" s="1" t="s">
        <v>17</v>
      </c>
      <c r="F552" s="1">
        <v>247</v>
      </c>
      <c r="G552" s="9">
        <v>24.53</v>
      </c>
      <c r="H552" s="1">
        <v>2</v>
      </c>
      <c r="I5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52" s="9">
        <f>CLIENTS_CHURN[[#This Row],[Facture_Mensuelle]]*CLIENTS_CHURN[[#This Row],[Remise (%)]]</f>
        <v>11.038500000000001</v>
      </c>
      <c r="K552">
        <f>IF(CLIENTS_CHURN[[#This Row],[Duree_Cumulee_Panne_Min]]&gt;0,1,0)</f>
        <v>1</v>
      </c>
      <c r="L552" t="str">
        <f>IF(CLIENTS_CHURN[[#This Row],[Type_Forfait]]="Pro Monde","B2B","B2C")</f>
        <v>B2C</v>
      </c>
    </row>
    <row r="553" spans="1:12" x14ac:dyDescent="0.25">
      <c r="A553" s="1">
        <f t="shared" si="8"/>
        <v>552</v>
      </c>
      <c r="B553" s="1" t="s">
        <v>237</v>
      </c>
      <c r="C553" s="1" t="s">
        <v>33</v>
      </c>
      <c r="D553" s="1">
        <v>27</v>
      </c>
      <c r="E553" s="1" t="s">
        <v>9</v>
      </c>
      <c r="F553" s="1">
        <v>61</v>
      </c>
      <c r="G553" s="9">
        <v>97.51</v>
      </c>
      <c r="H553" s="1">
        <v>5</v>
      </c>
      <c r="I5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53" s="9">
        <f>CLIENTS_CHURN[[#This Row],[Facture_Mensuelle]]*CLIENTS_CHURN[[#This Row],[Remise (%)]]</f>
        <v>0</v>
      </c>
      <c r="K553">
        <f>IF(CLIENTS_CHURN[[#This Row],[Duree_Cumulee_Panne_Min]]&gt;0,1,0)</f>
        <v>1</v>
      </c>
      <c r="L553" t="str">
        <f>IF(CLIENTS_CHURN[[#This Row],[Type_Forfait]]="Pro Monde","B2B","B2C")</f>
        <v>B2C</v>
      </c>
    </row>
    <row r="554" spans="1:12" x14ac:dyDescent="0.25">
      <c r="A554" s="1">
        <f t="shared" si="8"/>
        <v>553</v>
      </c>
      <c r="B554" s="1" t="s">
        <v>161</v>
      </c>
      <c r="C554" s="1" t="s">
        <v>31</v>
      </c>
      <c r="D554" s="1">
        <v>64</v>
      </c>
      <c r="E554" s="1" t="s">
        <v>12</v>
      </c>
      <c r="F554" s="1">
        <v>300</v>
      </c>
      <c r="G554" s="9">
        <v>28.11</v>
      </c>
      <c r="H554" s="1">
        <v>2</v>
      </c>
      <c r="I5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54" s="9">
        <f>CLIENTS_CHURN[[#This Row],[Facture_Mensuelle]]*CLIENTS_CHURN[[#This Row],[Remise (%)]]</f>
        <v>12.6495</v>
      </c>
      <c r="K554">
        <f>IF(CLIENTS_CHURN[[#This Row],[Duree_Cumulee_Panne_Min]]&gt;0,1,0)</f>
        <v>1</v>
      </c>
      <c r="L554" t="str">
        <f>IF(CLIENTS_CHURN[[#This Row],[Type_Forfait]]="Pro Monde","B2B","B2C")</f>
        <v>B2B</v>
      </c>
    </row>
    <row r="555" spans="1:12" x14ac:dyDescent="0.25">
      <c r="A555" s="1">
        <f t="shared" si="8"/>
        <v>554</v>
      </c>
      <c r="B555" s="1" t="s">
        <v>672</v>
      </c>
      <c r="C555" s="1" t="s">
        <v>60</v>
      </c>
      <c r="D555" s="1">
        <v>102</v>
      </c>
      <c r="E555" s="1" t="s">
        <v>17</v>
      </c>
      <c r="F555" s="1">
        <v>189</v>
      </c>
      <c r="G555" s="9">
        <v>26.86</v>
      </c>
      <c r="H555" s="1">
        <v>5</v>
      </c>
      <c r="I5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55" s="9">
        <f>CLIENTS_CHURN[[#This Row],[Facture_Mensuelle]]*CLIENTS_CHURN[[#This Row],[Remise (%)]]</f>
        <v>0</v>
      </c>
      <c r="K555">
        <f>IF(CLIENTS_CHURN[[#This Row],[Duree_Cumulee_Panne_Min]]&gt;0,1,0)</f>
        <v>1</v>
      </c>
      <c r="L555" t="str">
        <f>IF(CLIENTS_CHURN[[#This Row],[Type_Forfait]]="Pro Monde","B2B","B2C")</f>
        <v>B2C</v>
      </c>
    </row>
    <row r="556" spans="1:12" x14ac:dyDescent="0.25">
      <c r="A556" s="1">
        <f t="shared" si="8"/>
        <v>555</v>
      </c>
      <c r="B556" s="1" t="s">
        <v>115</v>
      </c>
      <c r="C556" s="1" t="s">
        <v>19</v>
      </c>
      <c r="D556" s="1">
        <v>22</v>
      </c>
      <c r="E556" s="1" t="s">
        <v>20</v>
      </c>
      <c r="F556" s="1">
        <v>119</v>
      </c>
      <c r="G556" s="9">
        <v>72.86</v>
      </c>
      <c r="H556" s="1">
        <v>3</v>
      </c>
      <c r="I5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56" s="9">
        <f>CLIENTS_CHURN[[#This Row],[Facture_Mensuelle]]*CLIENTS_CHURN[[#This Row],[Remise (%)]]</f>
        <v>0</v>
      </c>
      <c r="K556">
        <f>IF(CLIENTS_CHURN[[#This Row],[Duree_Cumulee_Panne_Min]]&gt;0,1,0)</f>
        <v>1</v>
      </c>
      <c r="L556" t="str">
        <f>IF(CLIENTS_CHURN[[#This Row],[Type_Forfait]]="Pro Monde","B2B","B2C")</f>
        <v>B2C</v>
      </c>
    </row>
    <row r="557" spans="1:12" x14ac:dyDescent="0.25">
      <c r="A557" s="1">
        <f t="shared" si="8"/>
        <v>556</v>
      </c>
      <c r="B557" s="1" t="s">
        <v>341</v>
      </c>
      <c r="C557" s="1" t="s">
        <v>22</v>
      </c>
      <c r="D557" s="1">
        <v>50</v>
      </c>
      <c r="E557" s="1" t="s">
        <v>12</v>
      </c>
      <c r="F557" s="1">
        <v>430</v>
      </c>
      <c r="G557" s="9">
        <v>20.8</v>
      </c>
      <c r="H557" s="1">
        <v>2</v>
      </c>
      <c r="I5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57" s="9">
        <f>CLIENTS_CHURN[[#This Row],[Facture_Mensuelle]]*CLIENTS_CHURN[[#This Row],[Remise (%)]]</f>
        <v>9.3600000000000012</v>
      </c>
      <c r="K557">
        <f>IF(CLIENTS_CHURN[[#This Row],[Duree_Cumulee_Panne_Min]]&gt;0,1,0)</f>
        <v>1</v>
      </c>
      <c r="L557" t="str">
        <f>IF(CLIENTS_CHURN[[#This Row],[Type_Forfait]]="Pro Monde","B2B","B2C")</f>
        <v>B2B</v>
      </c>
    </row>
    <row r="558" spans="1:12" x14ac:dyDescent="0.25">
      <c r="A558" s="1">
        <f t="shared" si="8"/>
        <v>557</v>
      </c>
      <c r="B558" s="1" t="s">
        <v>637</v>
      </c>
      <c r="C558" s="1" t="s">
        <v>33</v>
      </c>
      <c r="D558" s="1">
        <v>18</v>
      </c>
      <c r="E558" s="1" t="s">
        <v>12</v>
      </c>
      <c r="F558" s="1">
        <v>75</v>
      </c>
      <c r="G558" s="9">
        <v>57.66</v>
      </c>
      <c r="H558" s="1">
        <v>1</v>
      </c>
      <c r="I5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58" s="9">
        <f>CLIENTS_CHURN[[#This Row],[Facture_Mensuelle]]*CLIENTS_CHURN[[#This Row],[Remise (%)]]</f>
        <v>5.766</v>
      </c>
      <c r="K558">
        <f>IF(CLIENTS_CHURN[[#This Row],[Duree_Cumulee_Panne_Min]]&gt;0,1,0)</f>
        <v>1</v>
      </c>
      <c r="L558" t="str">
        <f>IF(CLIENTS_CHURN[[#This Row],[Type_Forfait]]="Pro Monde","B2B","B2C")</f>
        <v>B2B</v>
      </c>
    </row>
    <row r="559" spans="1:12" x14ac:dyDescent="0.25">
      <c r="A559" s="1">
        <f t="shared" si="8"/>
        <v>558</v>
      </c>
      <c r="B559" s="1" t="s">
        <v>436</v>
      </c>
      <c r="C559" s="1" t="s">
        <v>14</v>
      </c>
      <c r="D559" s="1">
        <v>95</v>
      </c>
      <c r="E559" s="1" t="s">
        <v>9</v>
      </c>
      <c r="F559" s="1">
        <v>148</v>
      </c>
      <c r="G559" s="9">
        <v>76.95</v>
      </c>
      <c r="H559" s="1">
        <v>5</v>
      </c>
      <c r="I5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59" s="9">
        <f>CLIENTS_CHURN[[#This Row],[Facture_Mensuelle]]*CLIENTS_CHURN[[#This Row],[Remise (%)]]</f>
        <v>0</v>
      </c>
      <c r="K559">
        <f>IF(CLIENTS_CHURN[[#This Row],[Duree_Cumulee_Panne_Min]]&gt;0,1,0)</f>
        <v>1</v>
      </c>
      <c r="L559" t="str">
        <f>IF(CLIENTS_CHURN[[#This Row],[Type_Forfait]]="Pro Monde","B2B","B2C")</f>
        <v>B2C</v>
      </c>
    </row>
    <row r="560" spans="1:12" x14ac:dyDescent="0.25">
      <c r="A560" s="1">
        <f t="shared" si="8"/>
        <v>559</v>
      </c>
      <c r="B560" s="1" t="s">
        <v>114</v>
      </c>
      <c r="C560" s="1" t="s">
        <v>58</v>
      </c>
      <c r="D560" s="1">
        <v>111</v>
      </c>
      <c r="E560" s="1" t="s">
        <v>20</v>
      </c>
      <c r="F560" s="1">
        <v>324</v>
      </c>
      <c r="G560" s="9">
        <v>18.07</v>
      </c>
      <c r="H560" s="1">
        <v>2</v>
      </c>
      <c r="I5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0" s="9">
        <f>CLIENTS_CHURN[[#This Row],[Facture_Mensuelle]]*CLIENTS_CHURN[[#This Row],[Remise (%)]]</f>
        <v>8.1315000000000008</v>
      </c>
      <c r="K560">
        <f>IF(CLIENTS_CHURN[[#This Row],[Duree_Cumulee_Panne_Min]]&gt;0,1,0)</f>
        <v>1</v>
      </c>
      <c r="L560" t="str">
        <f>IF(CLIENTS_CHURN[[#This Row],[Type_Forfait]]="Pro Monde","B2B","B2C")</f>
        <v>B2C</v>
      </c>
    </row>
    <row r="561" spans="1:12" x14ac:dyDescent="0.25">
      <c r="A561" s="1">
        <f t="shared" si="8"/>
        <v>560</v>
      </c>
      <c r="B561" s="1" t="s">
        <v>656</v>
      </c>
      <c r="C561" s="1" t="s">
        <v>49</v>
      </c>
      <c r="D561" s="1">
        <v>120</v>
      </c>
      <c r="E561" s="1" t="s">
        <v>12</v>
      </c>
      <c r="F561" s="1">
        <v>60</v>
      </c>
      <c r="G561" s="9">
        <v>34.14</v>
      </c>
      <c r="H561" s="1">
        <v>3</v>
      </c>
      <c r="I5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61" s="9">
        <f>CLIENTS_CHURN[[#This Row],[Facture_Mensuelle]]*CLIENTS_CHURN[[#This Row],[Remise (%)]]</f>
        <v>3.4140000000000001</v>
      </c>
      <c r="K561">
        <f>IF(CLIENTS_CHURN[[#This Row],[Duree_Cumulee_Panne_Min]]&gt;0,1,0)</f>
        <v>1</v>
      </c>
      <c r="L561" t="str">
        <f>IF(CLIENTS_CHURN[[#This Row],[Type_Forfait]]="Pro Monde","B2B","B2C")</f>
        <v>B2B</v>
      </c>
    </row>
    <row r="562" spans="1:12" x14ac:dyDescent="0.25">
      <c r="A562" s="1">
        <f t="shared" si="8"/>
        <v>561</v>
      </c>
      <c r="B562" s="1" t="s">
        <v>490</v>
      </c>
      <c r="C562" s="1" t="s">
        <v>14</v>
      </c>
      <c r="D562" s="1">
        <v>87</v>
      </c>
      <c r="E562" s="1" t="s">
        <v>9</v>
      </c>
      <c r="F562" s="1">
        <v>356</v>
      </c>
      <c r="G562" s="9">
        <v>12.89</v>
      </c>
      <c r="H562" s="1">
        <v>0</v>
      </c>
      <c r="I5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2" s="9">
        <f>CLIENTS_CHURN[[#This Row],[Facture_Mensuelle]]*CLIENTS_CHURN[[#This Row],[Remise (%)]]</f>
        <v>5.8005000000000004</v>
      </c>
      <c r="K562">
        <f>IF(CLIENTS_CHURN[[#This Row],[Duree_Cumulee_Panne_Min]]&gt;0,1,0)</f>
        <v>1</v>
      </c>
      <c r="L562" t="str">
        <f>IF(CLIENTS_CHURN[[#This Row],[Type_Forfait]]="Pro Monde","B2B","B2C")</f>
        <v>B2C</v>
      </c>
    </row>
    <row r="563" spans="1:12" x14ac:dyDescent="0.25">
      <c r="A563" s="1">
        <f t="shared" si="8"/>
        <v>562</v>
      </c>
      <c r="B563" s="1" t="s">
        <v>644</v>
      </c>
      <c r="C563" s="1" t="s">
        <v>33</v>
      </c>
      <c r="D563" s="1">
        <v>29</v>
      </c>
      <c r="E563" s="1" t="s">
        <v>9</v>
      </c>
      <c r="F563" s="1">
        <v>8</v>
      </c>
      <c r="G563" s="9">
        <v>14.78</v>
      </c>
      <c r="H563" s="1">
        <v>2</v>
      </c>
      <c r="I5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63" s="9">
        <f>CLIENTS_CHURN[[#This Row],[Facture_Mensuelle]]*CLIENTS_CHURN[[#This Row],[Remise (%)]]</f>
        <v>0</v>
      </c>
      <c r="K563">
        <f>IF(CLIENTS_CHURN[[#This Row],[Duree_Cumulee_Panne_Min]]&gt;0,1,0)</f>
        <v>1</v>
      </c>
      <c r="L563" t="str">
        <f>IF(CLIENTS_CHURN[[#This Row],[Type_Forfait]]="Pro Monde","B2B","B2C")</f>
        <v>B2C</v>
      </c>
    </row>
    <row r="564" spans="1:12" x14ac:dyDescent="0.25">
      <c r="A564" s="1">
        <f t="shared" si="8"/>
        <v>563</v>
      </c>
      <c r="B564" s="1" t="s">
        <v>719</v>
      </c>
      <c r="C564" s="1" t="s">
        <v>76</v>
      </c>
      <c r="D564" s="1">
        <v>18</v>
      </c>
      <c r="E564" s="1" t="s">
        <v>20</v>
      </c>
      <c r="F564" s="1">
        <v>170</v>
      </c>
      <c r="G564" s="9">
        <v>87.34</v>
      </c>
      <c r="H564" s="1">
        <v>1</v>
      </c>
      <c r="I5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64" s="9">
        <f>CLIENTS_CHURN[[#This Row],[Facture_Mensuelle]]*CLIENTS_CHURN[[#This Row],[Remise (%)]]</f>
        <v>0</v>
      </c>
      <c r="K564">
        <f>IF(CLIENTS_CHURN[[#This Row],[Duree_Cumulee_Panne_Min]]&gt;0,1,0)</f>
        <v>1</v>
      </c>
      <c r="L564" t="str">
        <f>IF(CLIENTS_CHURN[[#This Row],[Type_Forfait]]="Pro Monde","B2B","B2C")</f>
        <v>B2C</v>
      </c>
    </row>
    <row r="565" spans="1:12" x14ac:dyDescent="0.25">
      <c r="A565" s="1">
        <f t="shared" si="8"/>
        <v>564</v>
      </c>
      <c r="B565" s="1" t="s">
        <v>586</v>
      </c>
      <c r="C565" s="1" t="s">
        <v>27</v>
      </c>
      <c r="D565" s="1">
        <v>34</v>
      </c>
      <c r="E565" s="1" t="s">
        <v>20</v>
      </c>
      <c r="F565" s="1">
        <v>401</v>
      </c>
      <c r="G565" s="9">
        <v>68.400000000000006</v>
      </c>
      <c r="H565" s="1">
        <v>5</v>
      </c>
      <c r="I5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5" s="9">
        <f>CLIENTS_CHURN[[#This Row],[Facture_Mensuelle]]*CLIENTS_CHURN[[#This Row],[Remise (%)]]</f>
        <v>30.780000000000005</v>
      </c>
      <c r="K565">
        <f>IF(CLIENTS_CHURN[[#This Row],[Duree_Cumulee_Panne_Min]]&gt;0,1,0)</f>
        <v>1</v>
      </c>
      <c r="L565" t="str">
        <f>IF(CLIENTS_CHURN[[#This Row],[Type_Forfait]]="Pro Monde","B2B","B2C")</f>
        <v>B2C</v>
      </c>
    </row>
    <row r="566" spans="1:12" x14ac:dyDescent="0.25">
      <c r="A566" s="1">
        <f t="shared" si="8"/>
        <v>565</v>
      </c>
      <c r="B566" s="1" t="s">
        <v>501</v>
      </c>
      <c r="C566" s="1" t="s">
        <v>42</v>
      </c>
      <c r="D566" s="1">
        <v>113</v>
      </c>
      <c r="E566" s="1" t="s">
        <v>20</v>
      </c>
      <c r="F566" s="1">
        <v>428</v>
      </c>
      <c r="G566" s="9">
        <v>73.84</v>
      </c>
      <c r="H566" s="1">
        <v>0</v>
      </c>
      <c r="I5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6" s="9">
        <f>CLIENTS_CHURN[[#This Row],[Facture_Mensuelle]]*CLIENTS_CHURN[[#This Row],[Remise (%)]]</f>
        <v>33.228000000000002</v>
      </c>
      <c r="K566">
        <f>IF(CLIENTS_CHURN[[#This Row],[Duree_Cumulee_Panne_Min]]&gt;0,1,0)</f>
        <v>1</v>
      </c>
      <c r="L566" t="str">
        <f>IF(CLIENTS_CHURN[[#This Row],[Type_Forfait]]="Pro Monde","B2B","B2C")</f>
        <v>B2C</v>
      </c>
    </row>
    <row r="567" spans="1:12" x14ac:dyDescent="0.25">
      <c r="A567" s="1">
        <f t="shared" si="8"/>
        <v>566</v>
      </c>
      <c r="B567" s="1" t="s">
        <v>192</v>
      </c>
      <c r="C567" s="1" t="s">
        <v>42</v>
      </c>
      <c r="D567" s="1">
        <v>48</v>
      </c>
      <c r="E567" s="1" t="s">
        <v>17</v>
      </c>
      <c r="F567" s="1">
        <v>335</v>
      </c>
      <c r="G567" s="9">
        <v>85.09</v>
      </c>
      <c r="H567" s="1">
        <v>3</v>
      </c>
      <c r="I5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67" s="9">
        <f>CLIENTS_CHURN[[#This Row],[Facture_Mensuelle]]*CLIENTS_CHURN[[#This Row],[Remise (%)]]</f>
        <v>38.290500000000002</v>
      </c>
      <c r="K567">
        <f>IF(CLIENTS_CHURN[[#This Row],[Duree_Cumulee_Panne_Min]]&gt;0,1,0)</f>
        <v>1</v>
      </c>
      <c r="L567" t="str">
        <f>IF(CLIENTS_CHURN[[#This Row],[Type_Forfait]]="Pro Monde","B2B","B2C")</f>
        <v>B2C</v>
      </c>
    </row>
    <row r="568" spans="1:12" x14ac:dyDescent="0.25">
      <c r="A568" s="1">
        <f t="shared" si="8"/>
        <v>567</v>
      </c>
      <c r="B568" s="1" t="s">
        <v>715</v>
      </c>
      <c r="C568" s="1" t="s">
        <v>60</v>
      </c>
      <c r="D568" s="1">
        <v>107</v>
      </c>
      <c r="E568" s="1" t="s">
        <v>20</v>
      </c>
      <c r="F568" s="1">
        <v>138</v>
      </c>
      <c r="G568" s="9">
        <v>85.75</v>
      </c>
      <c r="H568" s="1">
        <v>1</v>
      </c>
      <c r="I5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68" s="9">
        <f>CLIENTS_CHURN[[#This Row],[Facture_Mensuelle]]*CLIENTS_CHURN[[#This Row],[Remise (%)]]</f>
        <v>0</v>
      </c>
      <c r="K568">
        <f>IF(CLIENTS_CHURN[[#This Row],[Duree_Cumulee_Panne_Min]]&gt;0,1,0)</f>
        <v>1</v>
      </c>
      <c r="L568" t="str">
        <f>IF(CLIENTS_CHURN[[#This Row],[Type_Forfait]]="Pro Monde","B2B","B2C")</f>
        <v>B2C</v>
      </c>
    </row>
    <row r="569" spans="1:12" x14ac:dyDescent="0.25">
      <c r="A569" s="1">
        <f t="shared" si="8"/>
        <v>568</v>
      </c>
      <c r="B569" s="1" t="s">
        <v>442</v>
      </c>
      <c r="C569" s="1" t="s">
        <v>8</v>
      </c>
      <c r="D569" s="1">
        <v>47</v>
      </c>
      <c r="E569" s="1" t="s">
        <v>17</v>
      </c>
      <c r="F569" s="1">
        <v>111</v>
      </c>
      <c r="G569" s="9">
        <v>95.18</v>
      </c>
      <c r="H569" s="1">
        <v>0</v>
      </c>
      <c r="I5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69" s="9">
        <f>CLIENTS_CHURN[[#This Row],[Facture_Mensuelle]]*CLIENTS_CHURN[[#This Row],[Remise (%)]]</f>
        <v>0</v>
      </c>
      <c r="K569">
        <f>IF(CLIENTS_CHURN[[#This Row],[Duree_Cumulee_Panne_Min]]&gt;0,1,0)</f>
        <v>1</v>
      </c>
      <c r="L569" t="str">
        <f>IF(CLIENTS_CHURN[[#This Row],[Type_Forfait]]="Pro Monde","B2B","B2C")</f>
        <v>B2C</v>
      </c>
    </row>
    <row r="570" spans="1:12" x14ac:dyDescent="0.25">
      <c r="A570" s="1">
        <f t="shared" si="8"/>
        <v>569</v>
      </c>
      <c r="B570" s="1" t="s">
        <v>242</v>
      </c>
      <c r="C570" s="1" t="s">
        <v>8</v>
      </c>
      <c r="D570" s="1">
        <v>10</v>
      </c>
      <c r="E570" s="1" t="s">
        <v>17</v>
      </c>
      <c r="F570" s="1">
        <v>165</v>
      </c>
      <c r="G570" s="9">
        <v>38.619999999999997</v>
      </c>
      <c r="H570" s="1">
        <v>2</v>
      </c>
      <c r="I5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70" s="9">
        <f>CLIENTS_CHURN[[#This Row],[Facture_Mensuelle]]*CLIENTS_CHURN[[#This Row],[Remise (%)]]</f>
        <v>0</v>
      </c>
      <c r="K570">
        <f>IF(CLIENTS_CHURN[[#This Row],[Duree_Cumulee_Panne_Min]]&gt;0,1,0)</f>
        <v>1</v>
      </c>
      <c r="L570" t="str">
        <f>IF(CLIENTS_CHURN[[#This Row],[Type_Forfait]]="Pro Monde","B2B","B2C")</f>
        <v>B2C</v>
      </c>
    </row>
    <row r="571" spans="1:12" x14ac:dyDescent="0.25">
      <c r="A571" s="1">
        <f t="shared" si="8"/>
        <v>570</v>
      </c>
      <c r="B571" s="1" t="s">
        <v>268</v>
      </c>
      <c r="C571" s="1" t="s">
        <v>16</v>
      </c>
      <c r="D571" s="1">
        <v>9</v>
      </c>
      <c r="E571" s="1" t="s">
        <v>12</v>
      </c>
      <c r="F571" s="1">
        <v>255</v>
      </c>
      <c r="G571" s="9">
        <v>95.13</v>
      </c>
      <c r="H571" s="1">
        <v>1</v>
      </c>
      <c r="I5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1" s="9">
        <f>CLIENTS_CHURN[[#This Row],[Facture_Mensuelle]]*CLIENTS_CHURN[[#This Row],[Remise (%)]]</f>
        <v>42.808500000000002</v>
      </c>
      <c r="K571">
        <f>IF(CLIENTS_CHURN[[#This Row],[Duree_Cumulee_Panne_Min]]&gt;0,1,0)</f>
        <v>1</v>
      </c>
      <c r="L571" t="str">
        <f>IF(CLIENTS_CHURN[[#This Row],[Type_Forfait]]="Pro Monde","B2B","B2C")</f>
        <v>B2B</v>
      </c>
    </row>
    <row r="572" spans="1:12" x14ac:dyDescent="0.25">
      <c r="A572" s="1">
        <f t="shared" si="8"/>
        <v>571</v>
      </c>
      <c r="B572" s="1" t="s">
        <v>451</v>
      </c>
      <c r="C572" s="1" t="s">
        <v>71</v>
      </c>
      <c r="D572" s="1">
        <v>24</v>
      </c>
      <c r="E572" s="1" t="s">
        <v>17</v>
      </c>
      <c r="F572" s="1">
        <v>257</v>
      </c>
      <c r="G572" s="9">
        <v>41.99</v>
      </c>
      <c r="H572" s="1">
        <v>5</v>
      </c>
      <c r="I5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2" s="9">
        <f>CLIENTS_CHURN[[#This Row],[Facture_Mensuelle]]*CLIENTS_CHURN[[#This Row],[Remise (%)]]</f>
        <v>18.895500000000002</v>
      </c>
      <c r="K572">
        <f>IF(CLIENTS_CHURN[[#This Row],[Duree_Cumulee_Panne_Min]]&gt;0,1,0)</f>
        <v>1</v>
      </c>
      <c r="L572" t="str">
        <f>IF(CLIENTS_CHURN[[#This Row],[Type_Forfait]]="Pro Monde","B2B","B2C")</f>
        <v>B2C</v>
      </c>
    </row>
    <row r="573" spans="1:12" x14ac:dyDescent="0.25">
      <c r="A573" s="1">
        <f t="shared" si="8"/>
        <v>572</v>
      </c>
      <c r="B573" s="1" t="s">
        <v>766</v>
      </c>
      <c r="C573" s="1" t="s">
        <v>16</v>
      </c>
      <c r="D573" s="1">
        <v>72</v>
      </c>
      <c r="E573" s="1" t="s">
        <v>17</v>
      </c>
      <c r="F573" s="1">
        <v>427</v>
      </c>
      <c r="G573" s="9">
        <v>31.44</v>
      </c>
      <c r="H573" s="1">
        <v>2</v>
      </c>
      <c r="I5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3" s="9">
        <f>CLIENTS_CHURN[[#This Row],[Facture_Mensuelle]]*CLIENTS_CHURN[[#This Row],[Remise (%)]]</f>
        <v>14.148000000000001</v>
      </c>
      <c r="K573">
        <f>IF(CLIENTS_CHURN[[#This Row],[Duree_Cumulee_Panne_Min]]&gt;0,1,0)</f>
        <v>1</v>
      </c>
      <c r="L573" t="str">
        <f>IF(CLIENTS_CHURN[[#This Row],[Type_Forfait]]="Pro Monde","B2B","B2C")</f>
        <v>B2C</v>
      </c>
    </row>
    <row r="574" spans="1:12" x14ac:dyDescent="0.25">
      <c r="A574" s="1">
        <f t="shared" si="8"/>
        <v>573</v>
      </c>
      <c r="B574" s="1" t="s">
        <v>769</v>
      </c>
      <c r="C574" s="1" t="s">
        <v>49</v>
      </c>
      <c r="D574" s="1">
        <v>33</v>
      </c>
      <c r="E574" s="1" t="s">
        <v>20</v>
      </c>
      <c r="F574" s="1">
        <v>18</v>
      </c>
      <c r="G574" s="9">
        <v>47.18</v>
      </c>
      <c r="H574" s="1">
        <v>4</v>
      </c>
      <c r="I5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74" s="9">
        <f>CLIENTS_CHURN[[#This Row],[Facture_Mensuelle]]*CLIENTS_CHURN[[#This Row],[Remise (%)]]</f>
        <v>0</v>
      </c>
      <c r="K574">
        <f>IF(CLIENTS_CHURN[[#This Row],[Duree_Cumulee_Panne_Min]]&gt;0,1,0)</f>
        <v>1</v>
      </c>
      <c r="L574" t="str">
        <f>IF(CLIENTS_CHURN[[#This Row],[Type_Forfait]]="Pro Monde","B2B","B2C")</f>
        <v>B2C</v>
      </c>
    </row>
    <row r="575" spans="1:12" x14ac:dyDescent="0.25">
      <c r="A575" s="1">
        <f t="shared" si="8"/>
        <v>574</v>
      </c>
      <c r="B575" s="1" t="s">
        <v>204</v>
      </c>
      <c r="C575" s="1" t="s">
        <v>14</v>
      </c>
      <c r="D575" s="1">
        <v>64</v>
      </c>
      <c r="E575" s="1" t="s">
        <v>12</v>
      </c>
      <c r="F575" s="1">
        <v>370</v>
      </c>
      <c r="G575" s="9">
        <v>95.74</v>
      </c>
      <c r="H575" s="1">
        <v>1</v>
      </c>
      <c r="I5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5" s="9">
        <f>CLIENTS_CHURN[[#This Row],[Facture_Mensuelle]]*CLIENTS_CHURN[[#This Row],[Remise (%)]]</f>
        <v>43.082999999999998</v>
      </c>
      <c r="K575">
        <f>IF(CLIENTS_CHURN[[#This Row],[Duree_Cumulee_Panne_Min]]&gt;0,1,0)</f>
        <v>1</v>
      </c>
      <c r="L575" t="str">
        <f>IF(CLIENTS_CHURN[[#This Row],[Type_Forfait]]="Pro Monde","B2B","B2C")</f>
        <v>B2B</v>
      </c>
    </row>
    <row r="576" spans="1:12" x14ac:dyDescent="0.25">
      <c r="A576" s="1">
        <f t="shared" si="8"/>
        <v>575</v>
      </c>
      <c r="B576" s="1" t="s">
        <v>265</v>
      </c>
      <c r="C576" s="1" t="s">
        <v>38</v>
      </c>
      <c r="D576" s="1">
        <v>60</v>
      </c>
      <c r="E576" s="1" t="s">
        <v>20</v>
      </c>
      <c r="F576" s="1">
        <v>154</v>
      </c>
      <c r="G576" s="9">
        <v>13.41</v>
      </c>
      <c r="H576" s="1">
        <v>5</v>
      </c>
      <c r="I5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76" s="9">
        <f>CLIENTS_CHURN[[#This Row],[Facture_Mensuelle]]*CLIENTS_CHURN[[#This Row],[Remise (%)]]</f>
        <v>0</v>
      </c>
      <c r="K576">
        <f>IF(CLIENTS_CHURN[[#This Row],[Duree_Cumulee_Panne_Min]]&gt;0,1,0)</f>
        <v>1</v>
      </c>
      <c r="L576" t="str">
        <f>IF(CLIENTS_CHURN[[#This Row],[Type_Forfait]]="Pro Monde","B2B","B2C")</f>
        <v>B2C</v>
      </c>
    </row>
    <row r="577" spans="1:12" x14ac:dyDescent="0.25">
      <c r="A577" s="1">
        <f t="shared" si="8"/>
        <v>576</v>
      </c>
      <c r="B577" s="1" t="s">
        <v>619</v>
      </c>
      <c r="C577" s="1" t="s">
        <v>62</v>
      </c>
      <c r="D577" s="1">
        <v>51</v>
      </c>
      <c r="E577" s="1" t="s">
        <v>12</v>
      </c>
      <c r="F577" s="1">
        <v>389</v>
      </c>
      <c r="G577" s="9">
        <v>50.45</v>
      </c>
      <c r="H577" s="1">
        <v>3</v>
      </c>
      <c r="I5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7" s="9">
        <f>CLIENTS_CHURN[[#This Row],[Facture_Mensuelle]]*CLIENTS_CHURN[[#This Row],[Remise (%)]]</f>
        <v>22.702500000000001</v>
      </c>
      <c r="K577">
        <f>IF(CLIENTS_CHURN[[#This Row],[Duree_Cumulee_Panne_Min]]&gt;0,1,0)</f>
        <v>1</v>
      </c>
      <c r="L577" t="str">
        <f>IF(CLIENTS_CHURN[[#This Row],[Type_Forfait]]="Pro Monde","B2B","B2C")</f>
        <v>B2B</v>
      </c>
    </row>
    <row r="578" spans="1:12" x14ac:dyDescent="0.25">
      <c r="A578" s="1">
        <f t="shared" si="8"/>
        <v>577</v>
      </c>
      <c r="B578" s="1" t="s">
        <v>105</v>
      </c>
      <c r="C578" s="1" t="s">
        <v>60</v>
      </c>
      <c r="D578" s="1">
        <v>70</v>
      </c>
      <c r="E578" s="1" t="s">
        <v>17</v>
      </c>
      <c r="F578" s="1">
        <v>31</v>
      </c>
      <c r="G578" s="9">
        <v>71.2</v>
      </c>
      <c r="H578" s="1">
        <v>4</v>
      </c>
      <c r="I5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78" s="9">
        <f>CLIENTS_CHURN[[#This Row],[Facture_Mensuelle]]*CLIENTS_CHURN[[#This Row],[Remise (%)]]</f>
        <v>0</v>
      </c>
      <c r="K578">
        <f>IF(CLIENTS_CHURN[[#This Row],[Duree_Cumulee_Panne_Min]]&gt;0,1,0)</f>
        <v>1</v>
      </c>
      <c r="L578" t="str">
        <f>IF(CLIENTS_CHURN[[#This Row],[Type_Forfait]]="Pro Monde","B2B","B2C")</f>
        <v>B2C</v>
      </c>
    </row>
    <row r="579" spans="1:12" x14ac:dyDescent="0.25">
      <c r="A579" s="1">
        <f t="shared" si="8"/>
        <v>578</v>
      </c>
      <c r="B579" s="1" t="s">
        <v>95</v>
      </c>
      <c r="C579" s="1" t="s">
        <v>33</v>
      </c>
      <c r="D579" s="1">
        <v>103</v>
      </c>
      <c r="E579" s="1" t="s">
        <v>17</v>
      </c>
      <c r="F579" s="1">
        <v>300</v>
      </c>
      <c r="G579" s="9">
        <v>13.76</v>
      </c>
      <c r="H579" s="1">
        <v>4</v>
      </c>
      <c r="I5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79" s="9">
        <f>CLIENTS_CHURN[[#This Row],[Facture_Mensuelle]]*CLIENTS_CHURN[[#This Row],[Remise (%)]]</f>
        <v>6.1920000000000002</v>
      </c>
      <c r="K579">
        <f>IF(CLIENTS_CHURN[[#This Row],[Duree_Cumulee_Panne_Min]]&gt;0,1,0)</f>
        <v>1</v>
      </c>
      <c r="L579" t="str">
        <f>IF(CLIENTS_CHURN[[#This Row],[Type_Forfait]]="Pro Monde","B2B","B2C")</f>
        <v>B2C</v>
      </c>
    </row>
    <row r="580" spans="1:12" x14ac:dyDescent="0.25">
      <c r="A580" s="1">
        <f t="shared" ref="A580:A643" si="9">A579+1</f>
        <v>579</v>
      </c>
      <c r="B580" s="1" t="s">
        <v>759</v>
      </c>
      <c r="C580" s="1" t="s">
        <v>19</v>
      </c>
      <c r="D580" s="1">
        <v>14</v>
      </c>
      <c r="E580" s="1" t="s">
        <v>17</v>
      </c>
      <c r="F580" s="1">
        <v>37</v>
      </c>
      <c r="G580" s="9">
        <v>20.399999999999999</v>
      </c>
      <c r="H580" s="1">
        <v>2</v>
      </c>
      <c r="I5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80" s="9">
        <f>CLIENTS_CHURN[[#This Row],[Facture_Mensuelle]]*CLIENTS_CHURN[[#This Row],[Remise (%)]]</f>
        <v>0</v>
      </c>
      <c r="K580">
        <f>IF(CLIENTS_CHURN[[#This Row],[Duree_Cumulee_Panne_Min]]&gt;0,1,0)</f>
        <v>1</v>
      </c>
      <c r="L580" t="str">
        <f>IF(CLIENTS_CHURN[[#This Row],[Type_Forfait]]="Pro Monde","B2B","B2C")</f>
        <v>B2C</v>
      </c>
    </row>
    <row r="581" spans="1:12" x14ac:dyDescent="0.25">
      <c r="A581" s="1">
        <f t="shared" si="9"/>
        <v>580</v>
      </c>
      <c r="B581" s="1" t="s">
        <v>708</v>
      </c>
      <c r="C581" s="1" t="s">
        <v>76</v>
      </c>
      <c r="D581" s="1">
        <v>7</v>
      </c>
      <c r="E581" s="1" t="s">
        <v>12</v>
      </c>
      <c r="F581" s="1">
        <v>447</v>
      </c>
      <c r="G581" s="9">
        <v>84.95</v>
      </c>
      <c r="H581" s="1">
        <v>2</v>
      </c>
      <c r="I5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81" s="9">
        <f>CLIENTS_CHURN[[#This Row],[Facture_Mensuelle]]*CLIENTS_CHURN[[#This Row],[Remise (%)]]</f>
        <v>38.227499999999999</v>
      </c>
      <c r="K581">
        <f>IF(CLIENTS_CHURN[[#This Row],[Duree_Cumulee_Panne_Min]]&gt;0,1,0)</f>
        <v>1</v>
      </c>
      <c r="L581" t="str">
        <f>IF(CLIENTS_CHURN[[#This Row],[Type_Forfait]]="Pro Monde","B2B","B2C")</f>
        <v>B2B</v>
      </c>
    </row>
    <row r="582" spans="1:12" x14ac:dyDescent="0.25">
      <c r="A582" s="1">
        <f t="shared" si="9"/>
        <v>581</v>
      </c>
      <c r="B582" s="1" t="s">
        <v>723</v>
      </c>
      <c r="C582" s="1" t="s">
        <v>22</v>
      </c>
      <c r="D582" s="1">
        <v>101</v>
      </c>
      <c r="E582" s="1" t="s">
        <v>12</v>
      </c>
      <c r="F582" s="1">
        <v>148</v>
      </c>
      <c r="G582" s="9">
        <v>26.63</v>
      </c>
      <c r="H582" s="1">
        <v>3</v>
      </c>
      <c r="I5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82" s="9">
        <f>CLIENTS_CHURN[[#This Row],[Facture_Mensuelle]]*CLIENTS_CHURN[[#This Row],[Remise (%)]]</f>
        <v>2.6630000000000003</v>
      </c>
      <c r="K582">
        <f>IF(CLIENTS_CHURN[[#This Row],[Duree_Cumulee_Panne_Min]]&gt;0,1,0)</f>
        <v>1</v>
      </c>
      <c r="L582" t="str">
        <f>IF(CLIENTS_CHURN[[#This Row],[Type_Forfait]]="Pro Monde","B2B","B2C")</f>
        <v>B2B</v>
      </c>
    </row>
    <row r="583" spans="1:12" x14ac:dyDescent="0.25">
      <c r="A583" s="1">
        <f t="shared" si="9"/>
        <v>582</v>
      </c>
      <c r="B583" s="1" t="s">
        <v>213</v>
      </c>
      <c r="C583" s="1" t="s">
        <v>22</v>
      </c>
      <c r="D583" s="1">
        <v>84</v>
      </c>
      <c r="E583" s="1" t="s">
        <v>9</v>
      </c>
      <c r="F583" s="1">
        <v>387</v>
      </c>
      <c r="G583" s="9">
        <v>58.1</v>
      </c>
      <c r="H583" s="1">
        <v>3</v>
      </c>
      <c r="I5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83" s="9">
        <f>CLIENTS_CHURN[[#This Row],[Facture_Mensuelle]]*CLIENTS_CHURN[[#This Row],[Remise (%)]]</f>
        <v>26.145</v>
      </c>
      <c r="K583">
        <f>IF(CLIENTS_CHURN[[#This Row],[Duree_Cumulee_Panne_Min]]&gt;0,1,0)</f>
        <v>1</v>
      </c>
      <c r="L583" t="str">
        <f>IF(CLIENTS_CHURN[[#This Row],[Type_Forfait]]="Pro Monde","B2B","B2C")</f>
        <v>B2C</v>
      </c>
    </row>
    <row r="584" spans="1:12" x14ac:dyDescent="0.25">
      <c r="A584" s="1">
        <f t="shared" si="9"/>
        <v>583</v>
      </c>
      <c r="B584" s="1" t="s">
        <v>544</v>
      </c>
      <c r="C584" s="1" t="s">
        <v>16</v>
      </c>
      <c r="D584" s="1">
        <v>46</v>
      </c>
      <c r="E584" s="1" t="s">
        <v>12</v>
      </c>
      <c r="F584" s="1">
        <v>216</v>
      </c>
      <c r="G584" s="9">
        <v>63.74</v>
      </c>
      <c r="H584" s="1">
        <v>4</v>
      </c>
      <c r="I5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84" s="9">
        <f>CLIENTS_CHURN[[#This Row],[Facture_Mensuelle]]*CLIENTS_CHURN[[#This Row],[Remise (%)]]</f>
        <v>6.3740000000000006</v>
      </c>
      <c r="K584">
        <f>IF(CLIENTS_CHURN[[#This Row],[Duree_Cumulee_Panne_Min]]&gt;0,1,0)</f>
        <v>1</v>
      </c>
      <c r="L584" t="str">
        <f>IF(CLIENTS_CHURN[[#This Row],[Type_Forfait]]="Pro Monde","B2B","B2C")</f>
        <v>B2B</v>
      </c>
    </row>
    <row r="585" spans="1:12" x14ac:dyDescent="0.25">
      <c r="A585" s="1">
        <f t="shared" si="9"/>
        <v>584</v>
      </c>
      <c r="B585" s="1" t="s">
        <v>691</v>
      </c>
      <c r="C585" s="1" t="s">
        <v>31</v>
      </c>
      <c r="D585" s="1">
        <v>72</v>
      </c>
      <c r="E585" s="1" t="s">
        <v>12</v>
      </c>
      <c r="F585" s="1">
        <v>317</v>
      </c>
      <c r="G585" s="9">
        <v>54.58</v>
      </c>
      <c r="H585" s="1">
        <v>1</v>
      </c>
      <c r="I5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85" s="9">
        <f>CLIENTS_CHURN[[#This Row],[Facture_Mensuelle]]*CLIENTS_CHURN[[#This Row],[Remise (%)]]</f>
        <v>24.561</v>
      </c>
      <c r="K585">
        <f>IF(CLIENTS_CHURN[[#This Row],[Duree_Cumulee_Panne_Min]]&gt;0,1,0)</f>
        <v>1</v>
      </c>
      <c r="L585" t="str">
        <f>IF(CLIENTS_CHURN[[#This Row],[Type_Forfait]]="Pro Monde","B2B","B2C")</f>
        <v>B2B</v>
      </c>
    </row>
    <row r="586" spans="1:12" x14ac:dyDescent="0.25">
      <c r="A586" s="1">
        <f t="shared" si="9"/>
        <v>585</v>
      </c>
      <c r="B586" s="1" t="s">
        <v>338</v>
      </c>
      <c r="C586" s="1" t="s">
        <v>16</v>
      </c>
      <c r="D586" s="1">
        <v>69</v>
      </c>
      <c r="E586" s="1" t="s">
        <v>9</v>
      </c>
      <c r="F586" s="1">
        <v>486</v>
      </c>
      <c r="G586" s="9">
        <v>34.770000000000003</v>
      </c>
      <c r="H586" s="1">
        <v>0</v>
      </c>
      <c r="I5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86" s="9">
        <f>CLIENTS_CHURN[[#This Row],[Facture_Mensuelle]]*CLIENTS_CHURN[[#This Row],[Remise (%)]]</f>
        <v>15.646500000000001</v>
      </c>
      <c r="K586">
        <f>IF(CLIENTS_CHURN[[#This Row],[Duree_Cumulee_Panne_Min]]&gt;0,1,0)</f>
        <v>1</v>
      </c>
      <c r="L586" t="str">
        <f>IF(CLIENTS_CHURN[[#This Row],[Type_Forfait]]="Pro Monde","B2B","B2C")</f>
        <v>B2C</v>
      </c>
    </row>
    <row r="587" spans="1:12" x14ac:dyDescent="0.25">
      <c r="A587" s="1">
        <f t="shared" si="9"/>
        <v>586</v>
      </c>
      <c r="B587" s="1" t="s">
        <v>50</v>
      </c>
      <c r="C587" s="1" t="s">
        <v>22</v>
      </c>
      <c r="D587" s="1">
        <v>57</v>
      </c>
      <c r="E587" s="1" t="s">
        <v>20</v>
      </c>
      <c r="F587" s="1">
        <v>329</v>
      </c>
      <c r="G587" s="9">
        <v>50.39</v>
      </c>
      <c r="H587" s="1">
        <v>5</v>
      </c>
      <c r="I5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87" s="9">
        <f>CLIENTS_CHURN[[#This Row],[Facture_Mensuelle]]*CLIENTS_CHURN[[#This Row],[Remise (%)]]</f>
        <v>22.6755</v>
      </c>
      <c r="K587">
        <f>IF(CLIENTS_CHURN[[#This Row],[Duree_Cumulee_Panne_Min]]&gt;0,1,0)</f>
        <v>1</v>
      </c>
      <c r="L587" t="str">
        <f>IF(CLIENTS_CHURN[[#This Row],[Type_Forfait]]="Pro Monde","B2B","B2C")</f>
        <v>B2C</v>
      </c>
    </row>
    <row r="588" spans="1:12" x14ac:dyDescent="0.25">
      <c r="A588" s="1">
        <f t="shared" si="9"/>
        <v>587</v>
      </c>
      <c r="B588" s="1" t="s">
        <v>620</v>
      </c>
      <c r="C588" s="1" t="s">
        <v>8</v>
      </c>
      <c r="D588" s="1">
        <v>108</v>
      </c>
      <c r="E588" s="1" t="s">
        <v>9</v>
      </c>
      <c r="F588" s="1">
        <v>78</v>
      </c>
      <c r="G588" s="9">
        <v>90.05</v>
      </c>
      <c r="H588" s="1">
        <v>2</v>
      </c>
      <c r="I5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88" s="9">
        <f>CLIENTS_CHURN[[#This Row],[Facture_Mensuelle]]*CLIENTS_CHURN[[#This Row],[Remise (%)]]</f>
        <v>0</v>
      </c>
      <c r="K588">
        <f>IF(CLIENTS_CHURN[[#This Row],[Duree_Cumulee_Panne_Min]]&gt;0,1,0)</f>
        <v>1</v>
      </c>
      <c r="L588" t="str">
        <f>IF(CLIENTS_CHURN[[#This Row],[Type_Forfait]]="Pro Monde","B2B","B2C")</f>
        <v>B2C</v>
      </c>
    </row>
    <row r="589" spans="1:12" x14ac:dyDescent="0.25">
      <c r="A589" s="1">
        <f t="shared" si="9"/>
        <v>588</v>
      </c>
      <c r="B589" s="1" t="s">
        <v>445</v>
      </c>
      <c r="C589" s="1" t="s">
        <v>35</v>
      </c>
      <c r="D589" s="1">
        <v>92</v>
      </c>
      <c r="E589" s="1" t="s">
        <v>17</v>
      </c>
      <c r="F589" s="1">
        <v>4</v>
      </c>
      <c r="G589" s="9">
        <v>22.03</v>
      </c>
      <c r="H589" s="1">
        <v>3</v>
      </c>
      <c r="I5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89" s="9">
        <f>CLIENTS_CHURN[[#This Row],[Facture_Mensuelle]]*CLIENTS_CHURN[[#This Row],[Remise (%)]]</f>
        <v>0</v>
      </c>
      <c r="K589">
        <f>IF(CLIENTS_CHURN[[#This Row],[Duree_Cumulee_Panne_Min]]&gt;0,1,0)</f>
        <v>1</v>
      </c>
      <c r="L589" t="str">
        <f>IF(CLIENTS_CHURN[[#This Row],[Type_Forfait]]="Pro Monde","B2B","B2C")</f>
        <v>B2C</v>
      </c>
    </row>
    <row r="590" spans="1:12" x14ac:dyDescent="0.25">
      <c r="A590" s="1">
        <f t="shared" si="9"/>
        <v>589</v>
      </c>
      <c r="B590" s="1" t="s">
        <v>147</v>
      </c>
      <c r="C590" s="1" t="s">
        <v>35</v>
      </c>
      <c r="D590" s="1">
        <v>83</v>
      </c>
      <c r="E590" s="1" t="s">
        <v>12</v>
      </c>
      <c r="F590" s="1">
        <v>219</v>
      </c>
      <c r="G590" s="9">
        <v>52.26</v>
      </c>
      <c r="H590" s="1">
        <v>1</v>
      </c>
      <c r="I5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590" s="9">
        <f>CLIENTS_CHURN[[#This Row],[Facture_Mensuelle]]*CLIENTS_CHURN[[#This Row],[Remise (%)]]</f>
        <v>5.226</v>
      </c>
      <c r="K590">
        <f>IF(CLIENTS_CHURN[[#This Row],[Duree_Cumulee_Panne_Min]]&gt;0,1,0)</f>
        <v>1</v>
      </c>
      <c r="L590" t="str">
        <f>IF(CLIENTS_CHURN[[#This Row],[Type_Forfait]]="Pro Monde","B2B","B2C")</f>
        <v>B2B</v>
      </c>
    </row>
    <row r="591" spans="1:12" x14ac:dyDescent="0.25">
      <c r="A591" s="1">
        <f t="shared" si="9"/>
        <v>590</v>
      </c>
      <c r="B591" s="1" t="s">
        <v>166</v>
      </c>
      <c r="C591" s="1" t="s">
        <v>11</v>
      </c>
      <c r="D591" s="1">
        <v>114</v>
      </c>
      <c r="E591" s="1" t="s">
        <v>17</v>
      </c>
      <c r="F591" s="1">
        <v>304</v>
      </c>
      <c r="G591" s="9">
        <v>52.07</v>
      </c>
      <c r="H591" s="1">
        <v>1</v>
      </c>
      <c r="I5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91" s="9">
        <f>CLIENTS_CHURN[[#This Row],[Facture_Mensuelle]]*CLIENTS_CHURN[[#This Row],[Remise (%)]]</f>
        <v>23.4315</v>
      </c>
      <c r="K591">
        <f>IF(CLIENTS_CHURN[[#This Row],[Duree_Cumulee_Panne_Min]]&gt;0,1,0)</f>
        <v>1</v>
      </c>
      <c r="L591" t="str">
        <f>IF(CLIENTS_CHURN[[#This Row],[Type_Forfait]]="Pro Monde","B2B","B2C")</f>
        <v>B2C</v>
      </c>
    </row>
    <row r="592" spans="1:12" x14ac:dyDescent="0.25">
      <c r="A592" s="1">
        <f t="shared" si="9"/>
        <v>591</v>
      </c>
      <c r="B592" s="1" t="s">
        <v>207</v>
      </c>
      <c r="C592" s="1" t="s">
        <v>134</v>
      </c>
      <c r="D592" s="1">
        <v>75</v>
      </c>
      <c r="E592" s="1" t="s">
        <v>12</v>
      </c>
      <c r="F592" s="1">
        <v>242</v>
      </c>
      <c r="G592" s="9">
        <v>64.27</v>
      </c>
      <c r="H592" s="1">
        <v>2</v>
      </c>
      <c r="I5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92" s="9">
        <f>CLIENTS_CHURN[[#This Row],[Facture_Mensuelle]]*CLIENTS_CHURN[[#This Row],[Remise (%)]]</f>
        <v>28.921499999999998</v>
      </c>
      <c r="K592">
        <f>IF(CLIENTS_CHURN[[#This Row],[Duree_Cumulee_Panne_Min]]&gt;0,1,0)</f>
        <v>1</v>
      </c>
      <c r="L592" t="str">
        <f>IF(CLIENTS_CHURN[[#This Row],[Type_Forfait]]="Pro Monde","B2B","B2C")</f>
        <v>B2B</v>
      </c>
    </row>
    <row r="593" spans="1:12" x14ac:dyDescent="0.25">
      <c r="A593" s="1">
        <f t="shared" si="9"/>
        <v>592</v>
      </c>
      <c r="B593" s="1" t="s">
        <v>34</v>
      </c>
      <c r="C593" s="1" t="s">
        <v>35</v>
      </c>
      <c r="D593" s="1">
        <v>115</v>
      </c>
      <c r="E593" s="1" t="s">
        <v>17</v>
      </c>
      <c r="F593" s="1">
        <v>176</v>
      </c>
      <c r="G593" s="9">
        <v>33.28</v>
      </c>
      <c r="H593" s="1">
        <v>4</v>
      </c>
      <c r="I5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3" s="9">
        <f>CLIENTS_CHURN[[#This Row],[Facture_Mensuelle]]*CLIENTS_CHURN[[#This Row],[Remise (%)]]</f>
        <v>0</v>
      </c>
      <c r="K593">
        <f>IF(CLIENTS_CHURN[[#This Row],[Duree_Cumulee_Panne_Min]]&gt;0,1,0)</f>
        <v>1</v>
      </c>
      <c r="L593" t="str">
        <f>IF(CLIENTS_CHURN[[#This Row],[Type_Forfait]]="Pro Monde","B2B","B2C")</f>
        <v>B2C</v>
      </c>
    </row>
    <row r="594" spans="1:12" x14ac:dyDescent="0.25">
      <c r="A594" s="1">
        <f t="shared" si="9"/>
        <v>593</v>
      </c>
      <c r="B594" s="1" t="s">
        <v>646</v>
      </c>
      <c r="C594" s="1" t="s">
        <v>128</v>
      </c>
      <c r="D594" s="1">
        <v>12</v>
      </c>
      <c r="E594" s="1" t="s">
        <v>20</v>
      </c>
      <c r="F594" s="1">
        <v>235</v>
      </c>
      <c r="G594" s="9">
        <v>33.96</v>
      </c>
      <c r="H594" s="1">
        <v>4</v>
      </c>
      <c r="I5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4" s="9">
        <f>CLIENTS_CHURN[[#This Row],[Facture_Mensuelle]]*CLIENTS_CHURN[[#This Row],[Remise (%)]]</f>
        <v>0</v>
      </c>
      <c r="K594">
        <f>IF(CLIENTS_CHURN[[#This Row],[Duree_Cumulee_Panne_Min]]&gt;0,1,0)</f>
        <v>1</v>
      </c>
      <c r="L594" t="str">
        <f>IF(CLIENTS_CHURN[[#This Row],[Type_Forfait]]="Pro Monde","B2B","B2C")</f>
        <v>B2C</v>
      </c>
    </row>
    <row r="595" spans="1:12" x14ac:dyDescent="0.25">
      <c r="A595" s="1">
        <f t="shared" si="9"/>
        <v>594</v>
      </c>
      <c r="B595" s="1" t="s">
        <v>249</v>
      </c>
      <c r="C595" s="1" t="s">
        <v>128</v>
      </c>
      <c r="D595" s="1">
        <v>44</v>
      </c>
      <c r="E595" s="1" t="s">
        <v>17</v>
      </c>
      <c r="F595" s="1">
        <v>199</v>
      </c>
      <c r="G595" s="9">
        <v>67.650000000000006</v>
      </c>
      <c r="H595" s="1">
        <v>0</v>
      </c>
      <c r="I5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5" s="9">
        <f>CLIENTS_CHURN[[#This Row],[Facture_Mensuelle]]*CLIENTS_CHURN[[#This Row],[Remise (%)]]</f>
        <v>0</v>
      </c>
      <c r="K595">
        <f>IF(CLIENTS_CHURN[[#This Row],[Duree_Cumulee_Panne_Min]]&gt;0,1,0)</f>
        <v>1</v>
      </c>
      <c r="L595" t="str">
        <f>IF(CLIENTS_CHURN[[#This Row],[Type_Forfait]]="Pro Monde","B2B","B2C")</f>
        <v>B2C</v>
      </c>
    </row>
    <row r="596" spans="1:12" x14ac:dyDescent="0.25">
      <c r="A596" s="1">
        <f t="shared" si="9"/>
        <v>595</v>
      </c>
      <c r="B596" s="1" t="s">
        <v>651</v>
      </c>
      <c r="C596" s="1" t="s">
        <v>76</v>
      </c>
      <c r="D596" s="1">
        <v>48</v>
      </c>
      <c r="E596" s="1" t="s">
        <v>9</v>
      </c>
      <c r="F596" s="1">
        <v>338</v>
      </c>
      <c r="G596" s="9">
        <v>74.42</v>
      </c>
      <c r="H596" s="1">
        <v>0</v>
      </c>
      <c r="I5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96" s="9">
        <f>CLIENTS_CHURN[[#This Row],[Facture_Mensuelle]]*CLIENTS_CHURN[[#This Row],[Remise (%)]]</f>
        <v>33.489000000000004</v>
      </c>
      <c r="K596">
        <f>IF(CLIENTS_CHURN[[#This Row],[Duree_Cumulee_Panne_Min]]&gt;0,1,0)</f>
        <v>1</v>
      </c>
      <c r="L596" t="str">
        <f>IF(CLIENTS_CHURN[[#This Row],[Type_Forfait]]="Pro Monde","B2B","B2C")</f>
        <v>B2C</v>
      </c>
    </row>
    <row r="597" spans="1:12" x14ac:dyDescent="0.25">
      <c r="A597" s="1">
        <f t="shared" si="9"/>
        <v>596</v>
      </c>
      <c r="B597" s="1" t="s">
        <v>357</v>
      </c>
      <c r="C597" s="1" t="s">
        <v>14</v>
      </c>
      <c r="D597" s="1">
        <v>51</v>
      </c>
      <c r="E597" s="1" t="s">
        <v>9</v>
      </c>
      <c r="F597" s="1">
        <v>222</v>
      </c>
      <c r="G597" s="9">
        <v>18.95</v>
      </c>
      <c r="H597" s="1">
        <v>4</v>
      </c>
      <c r="I5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7" s="9">
        <f>CLIENTS_CHURN[[#This Row],[Facture_Mensuelle]]*CLIENTS_CHURN[[#This Row],[Remise (%)]]</f>
        <v>0</v>
      </c>
      <c r="K597">
        <f>IF(CLIENTS_CHURN[[#This Row],[Duree_Cumulee_Panne_Min]]&gt;0,1,0)</f>
        <v>1</v>
      </c>
      <c r="L597" t="str">
        <f>IF(CLIENTS_CHURN[[#This Row],[Type_Forfait]]="Pro Monde","B2B","B2C")</f>
        <v>B2C</v>
      </c>
    </row>
    <row r="598" spans="1:12" x14ac:dyDescent="0.25">
      <c r="A598" s="1">
        <f t="shared" si="9"/>
        <v>597</v>
      </c>
      <c r="B598" s="1" t="s">
        <v>274</v>
      </c>
      <c r="C598" s="1" t="s">
        <v>49</v>
      </c>
      <c r="D598" s="1">
        <v>57</v>
      </c>
      <c r="E598" s="1" t="s">
        <v>20</v>
      </c>
      <c r="F598" s="1">
        <v>435</v>
      </c>
      <c r="G598" s="9">
        <v>56.88</v>
      </c>
      <c r="H598" s="1">
        <v>4</v>
      </c>
      <c r="I5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598" s="9">
        <f>CLIENTS_CHURN[[#This Row],[Facture_Mensuelle]]*CLIENTS_CHURN[[#This Row],[Remise (%)]]</f>
        <v>25.596</v>
      </c>
      <c r="K598">
        <f>IF(CLIENTS_CHURN[[#This Row],[Duree_Cumulee_Panne_Min]]&gt;0,1,0)</f>
        <v>1</v>
      </c>
      <c r="L598" t="str">
        <f>IF(CLIENTS_CHURN[[#This Row],[Type_Forfait]]="Pro Monde","B2B","B2C")</f>
        <v>B2C</v>
      </c>
    </row>
    <row r="599" spans="1:12" x14ac:dyDescent="0.25">
      <c r="A599" s="1">
        <f t="shared" si="9"/>
        <v>598</v>
      </c>
      <c r="B599" s="1" t="s">
        <v>422</v>
      </c>
      <c r="C599" s="1" t="s">
        <v>128</v>
      </c>
      <c r="D599" s="1">
        <v>37</v>
      </c>
      <c r="E599" s="1" t="s">
        <v>17</v>
      </c>
      <c r="F599" s="1">
        <v>87</v>
      </c>
      <c r="G599" s="9">
        <v>26.4</v>
      </c>
      <c r="H599" s="1">
        <v>3</v>
      </c>
      <c r="I5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599" s="9">
        <f>CLIENTS_CHURN[[#This Row],[Facture_Mensuelle]]*CLIENTS_CHURN[[#This Row],[Remise (%)]]</f>
        <v>0</v>
      </c>
      <c r="K599">
        <f>IF(CLIENTS_CHURN[[#This Row],[Duree_Cumulee_Panne_Min]]&gt;0,1,0)</f>
        <v>1</v>
      </c>
      <c r="L599" t="str">
        <f>IF(CLIENTS_CHURN[[#This Row],[Type_Forfait]]="Pro Monde","B2B","B2C")</f>
        <v>B2C</v>
      </c>
    </row>
    <row r="600" spans="1:12" x14ac:dyDescent="0.25">
      <c r="A600" s="1">
        <f t="shared" si="9"/>
        <v>599</v>
      </c>
      <c r="B600" s="1" t="s">
        <v>677</v>
      </c>
      <c r="C600" s="1" t="s">
        <v>24</v>
      </c>
      <c r="D600" s="1">
        <v>22</v>
      </c>
      <c r="E600" s="1" t="s">
        <v>12</v>
      </c>
      <c r="F600" s="1">
        <v>374</v>
      </c>
      <c r="G600" s="9">
        <v>40.06</v>
      </c>
      <c r="H600" s="1">
        <v>5</v>
      </c>
      <c r="I6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00" s="9">
        <f>CLIENTS_CHURN[[#This Row],[Facture_Mensuelle]]*CLIENTS_CHURN[[#This Row],[Remise (%)]]</f>
        <v>18.027000000000001</v>
      </c>
      <c r="K600">
        <f>IF(CLIENTS_CHURN[[#This Row],[Duree_Cumulee_Panne_Min]]&gt;0,1,0)</f>
        <v>1</v>
      </c>
      <c r="L600" t="str">
        <f>IF(CLIENTS_CHURN[[#This Row],[Type_Forfait]]="Pro Monde","B2B","B2C")</f>
        <v>B2B</v>
      </c>
    </row>
    <row r="601" spans="1:12" x14ac:dyDescent="0.25">
      <c r="A601" s="1">
        <f t="shared" si="9"/>
        <v>600</v>
      </c>
      <c r="B601" s="1" t="s">
        <v>693</v>
      </c>
      <c r="C601" s="1" t="s">
        <v>38</v>
      </c>
      <c r="D601" s="1">
        <v>21</v>
      </c>
      <c r="E601" s="1" t="s">
        <v>20</v>
      </c>
      <c r="F601" s="1">
        <v>460</v>
      </c>
      <c r="G601" s="9">
        <v>70.81</v>
      </c>
      <c r="H601" s="1">
        <v>2</v>
      </c>
      <c r="I6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01" s="9">
        <f>CLIENTS_CHURN[[#This Row],[Facture_Mensuelle]]*CLIENTS_CHURN[[#This Row],[Remise (%)]]</f>
        <v>31.864500000000003</v>
      </c>
      <c r="K601">
        <f>IF(CLIENTS_CHURN[[#This Row],[Duree_Cumulee_Panne_Min]]&gt;0,1,0)</f>
        <v>1</v>
      </c>
      <c r="L601" t="str">
        <f>IF(CLIENTS_CHURN[[#This Row],[Type_Forfait]]="Pro Monde","B2B","B2C")</f>
        <v>B2C</v>
      </c>
    </row>
    <row r="602" spans="1:12" x14ac:dyDescent="0.25">
      <c r="A602" s="1">
        <f t="shared" si="9"/>
        <v>601</v>
      </c>
      <c r="B602" s="1" t="s">
        <v>163</v>
      </c>
      <c r="C602" s="1" t="s">
        <v>16</v>
      </c>
      <c r="D602" s="1">
        <v>67</v>
      </c>
      <c r="E602" s="1" t="s">
        <v>12</v>
      </c>
      <c r="F602" s="1">
        <v>55</v>
      </c>
      <c r="G602" s="9">
        <v>27.04</v>
      </c>
      <c r="H602" s="1">
        <v>1</v>
      </c>
      <c r="I6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02" s="9">
        <f>CLIENTS_CHURN[[#This Row],[Facture_Mensuelle]]*CLIENTS_CHURN[[#This Row],[Remise (%)]]</f>
        <v>2.7040000000000002</v>
      </c>
      <c r="K602">
        <f>IF(CLIENTS_CHURN[[#This Row],[Duree_Cumulee_Panne_Min]]&gt;0,1,0)</f>
        <v>1</v>
      </c>
      <c r="L602" t="str">
        <f>IF(CLIENTS_CHURN[[#This Row],[Type_Forfait]]="Pro Monde","B2B","B2C")</f>
        <v>B2B</v>
      </c>
    </row>
    <row r="603" spans="1:12" x14ac:dyDescent="0.25">
      <c r="A603" s="1">
        <f t="shared" si="9"/>
        <v>602</v>
      </c>
      <c r="B603" s="1" t="s">
        <v>286</v>
      </c>
      <c r="C603" s="1" t="s">
        <v>65</v>
      </c>
      <c r="D603" s="1">
        <v>23</v>
      </c>
      <c r="E603" s="1" t="s">
        <v>12</v>
      </c>
      <c r="F603" s="1">
        <v>473</v>
      </c>
      <c r="G603" s="9">
        <v>71.86</v>
      </c>
      <c r="H603" s="1">
        <v>3</v>
      </c>
      <c r="I6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03" s="9">
        <f>CLIENTS_CHURN[[#This Row],[Facture_Mensuelle]]*CLIENTS_CHURN[[#This Row],[Remise (%)]]</f>
        <v>32.337000000000003</v>
      </c>
      <c r="K603">
        <f>IF(CLIENTS_CHURN[[#This Row],[Duree_Cumulee_Panne_Min]]&gt;0,1,0)</f>
        <v>1</v>
      </c>
      <c r="L603" t="str">
        <f>IF(CLIENTS_CHURN[[#This Row],[Type_Forfait]]="Pro Monde","B2B","B2C")</f>
        <v>B2B</v>
      </c>
    </row>
    <row r="604" spans="1:12" x14ac:dyDescent="0.25">
      <c r="A604" s="1">
        <f t="shared" si="9"/>
        <v>603</v>
      </c>
      <c r="B604" s="1" t="s">
        <v>36</v>
      </c>
      <c r="C604" s="1" t="s">
        <v>16</v>
      </c>
      <c r="D604" s="1">
        <v>20</v>
      </c>
      <c r="E604" s="1" t="s">
        <v>20</v>
      </c>
      <c r="F604" s="1">
        <v>4</v>
      </c>
      <c r="G604" s="9">
        <v>84.9</v>
      </c>
      <c r="H604" s="1">
        <v>3</v>
      </c>
      <c r="I6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04" s="9">
        <f>CLIENTS_CHURN[[#This Row],[Facture_Mensuelle]]*CLIENTS_CHURN[[#This Row],[Remise (%)]]</f>
        <v>0</v>
      </c>
      <c r="K604">
        <f>IF(CLIENTS_CHURN[[#This Row],[Duree_Cumulee_Panne_Min]]&gt;0,1,0)</f>
        <v>1</v>
      </c>
      <c r="L604" t="str">
        <f>IF(CLIENTS_CHURN[[#This Row],[Type_Forfait]]="Pro Monde","B2B","B2C")</f>
        <v>B2C</v>
      </c>
    </row>
    <row r="605" spans="1:12" x14ac:dyDescent="0.25">
      <c r="A605" s="1">
        <f t="shared" si="9"/>
        <v>604</v>
      </c>
      <c r="B605" s="1" t="s">
        <v>113</v>
      </c>
      <c r="C605" s="1" t="s">
        <v>49</v>
      </c>
      <c r="D605" s="1">
        <v>12</v>
      </c>
      <c r="E605" s="1" t="s">
        <v>9</v>
      </c>
      <c r="F605" s="1">
        <v>208</v>
      </c>
      <c r="G605" s="9">
        <v>16.29</v>
      </c>
      <c r="H605" s="1">
        <v>4</v>
      </c>
      <c r="I6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05" s="9">
        <f>CLIENTS_CHURN[[#This Row],[Facture_Mensuelle]]*CLIENTS_CHURN[[#This Row],[Remise (%)]]</f>
        <v>0</v>
      </c>
      <c r="K605">
        <f>IF(CLIENTS_CHURN[[#This Row],[Duree_Cumulee_Panne_Min]]&gt;0,1,0)</f>
        <v>1</v>
      </c>
      <c r="L605" t="str">
        <f>IF(CLIENTS_CHURN[[#This Row],[Type_Forfait]]="Pro Monde","B2B","B2C")</f>
        <v>B2C</v>
      </c>
    </row>
    <row r="606" spans="1:12" x14ac:dyDescent="0.25">
      <c r="A606" s="1">
        <f t="shared" si="9"/>
        <v>605</v>
      </c>
      <c r="B606" s="1" t="s">
        <v>106</v>
      </c>
      <c r="C606" s="1" t="s">
        <v>33</v>
      </c>
      <c r="D606" s="1">
        <v>6</v>
      </c>
      <c r="E606" s="1" t="s">
        <v>9</v>
      </c>
      <c r="F606" s="1">
        <v>162</v>
      </c>
      <c r="G606" s="9">
        <v>99.93</v>
      </c>
      <c r="H606" s="1">
        <v>0</v>
      </c>
      <c r="I6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06" s="9">
        <f>CLIENTS_CHURN[[#This Row],[Facture_Mensuelle]]*CLIENTS_CHURN[[#This Row],[Remise (%)]]</f>
        <v>0</v>
      </c>
      <c r="K606">
        <f>IF(CLIENTS_CHURN[[#This Row],[Duree_Cumulee_Panne_Min]]&gt;0,1,0)</f>
        <v>1</v>
      </c>
      <c r="L606" t="str">
        <f>IF(CLIENTS_CHURN[[#This Row],[Type_Forfait]]="Pro Monde","B2B","B2C")</f>
        <v>B2C</v>
      </c>
    </row>
    <row r="607" spans="1:12" x14ac:dyDescent="0.25">
      <c r="A607" s="1">
        <f t="shared" si="9"/>
        <v>606</v>
      </c>
      <c r="B607" s="1" t="s">
        <v>588</v>
      </c>
      <c r="C607" s="1" t="s">
        <v>134</v>
      </c>
      <c r="D607" s="1">
        <v>25</v>
      </c>
      <c r="E607" s="1" t="s">
        <v>17</v>
      </c>
      <c r="F607" s="1">
        <v>5</v>
      </c>
      <c r="G607" s="9">
        <v>27.93</v>
      </c>
      <c r="H607" s="1">
        <v>0</v>
      </c>
      <c r="I6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07" s="9">
        <f>CLIENTS_CHURN[[#This Row],[Facture_Mensuelle]]*CLIENTS_CHURN[[#This Row],[Remise (%)]]</f>
        <v>0</v>
      </c>
      <c r="K607">
        <f>IF(CLIENTS_CHURN[[#This Row],[Duree_Cumulee_Panne_Min]]&gt;0,1,0)</f>
        <v>1</v>
      </c>
      <c r="L607" t="str">
        <f>IF(CLIENTS_CHURN[[#This Row],[Type_Forfait]]="Pro Monde","B2B","B2C")</f>
        <v>B2C</v>
      </c>
    </row>
    <row r="608" spans="1:12" x14ac:dyDescent="0.25">
      <c r="A608" s="1">
        <f t="shared" si="9"/>
        <v>607</v>
      </c>
      <c r="B608" s="1" t="s">
        <v>496</v>
      </c>
      <c r="C608" s="1" t="s">
        <v>58</v>
      </c>
      <c r="D608" s="1">
        <v>39</v>
      </c>
      <c r="E608" s="1" t="s">
        <v>12</v>
      </c>
      <c r="F608" s="1">
        <v>54</v>
      </c>
      <c r="G608" s="9">
        <v>88.84</v>
      </c>
      <c r="H608" s="1">
        <v>0</v>
      </c>
      <c r="I6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08" s="9">
        <f>CLIENTS_CHURN[[#This Row],[Facture_Mensuelle]]*CLIENTS_CHURN[[#This Row],[Remise (%)]]</f>
        <v>8.8840000000000003</v>
      </c>
      <c r="K608">
        <f>IF(CLIENTS_CHURN[[#This Row],[Duree_Cumulee_Panne_Min]]&gt;0,1,0)</f>
        <v>1</v>
      </c>
      <c r="L608" t="str">
        <f>IF(CLIENTS_CHURN[[#This Row],[Type_Forfait]]="Pro Monde","B2B","B2C")</f>
        <v>B2B</v>
      </c>
    </row>
    <row r="609" spans="1:12" x14ac:dyDescent="0.25">
      <c r="A609" s="1">
        <f t="shared" si="9"/>
        <v>608</v>
      </c>
      <c r="B609" s="1" t="s">
        <v>518</v>
      </c>
      <c r="C609" s="1" t="s">
        <v>24</v>
      </c>
      <c r="D609" s="1">
        <v>120</v>
      </c>
      <c r="E609" s="1" t="s">
        <v>9</v>
      </c>
      <c r="F609" s="1">
        <v>391</v>
      </c>
      <c r="G609" s="9">
        <v>67.77</v>
      </c>
      <c r="H609" s="1">
        <v>4</v>
      </c>
      <c r="I6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09" s="9">
        <f>CLIENTS_CHURN[[#This Row],[Facture_Mensuelle]]*CLIENTS_CHURN[[#This Row],[Remise (%)]]</f>
        <v>30.496499999999997</v>
      </c>
      <c r="K609">
        <f>IF(CLIENTS_CHURN[[#This Row],[Duree_Cumulee_Panne_Min]]&gt;0,1,0)</f>
        <v>1</v>
      </c>
      <c r="L609" t="str">
        <f>IF(CLIENTS_CHURN[[#This Row],[Type_Forfait]]="Pro Monde","B2B","B2C")</f>
        <v>B2C</v>
      </c>
    </row>
    <row r="610" spans="1:12" x14ac:dyDescent="0.25">
      <c r="A610" s="1">
        <f t="shared" si="9"/>
        <v>609</v>
      </c>
      <c r="B610" s="1" t="s">
        <v>177</v>
      </c>
      <c r="C610" s="1" t="s">
        <v>86</v>
      </c>
      <c r="D610" s="1">
        <v>51</v>
      </c>
      <c r="E610" s="1" t="s">
        <v>17</v>
      </c>
      <c r="F610" s="1">
        <v>260</v>
      </c>
      <c r="G610" s="9">
        <v>92.8</v>
      </c>
      <c r="H610" s="1">
        <v>5</v>
      </c>
      <c r="I6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0" s="9">
        <f>CLIENTS_CHURN[[#This Row],[Facture_Mensuelle]]*CLIENTS_CHURN[[#This Row],[Remise (%)]]</f>
        <v>41.76</v>
      </c>
      <c r="K610">
        <f>IF(CLIENTS_CHURN[[#This Row],[Duree_Cumulee_Panne_Min]]&gt;0,1,0)</f>
        <v>1</v>
      </c>
      <c r="L610" t="str">
        <f>IF(CLIENTS_CHURN[[#This Row],[Type_Forfait]]="Pro Monde","B2B","B2C")</f>
        <v>B2C</v>
      </c>
    </row>
    <row r="611" spans="1:12" x14ac:dyDescent="0.25">
      <c r="A611" s="1">
        <f t="shared" si="9"/>
        <v>610</v>
      </c>
      <c r="B611" s="1" t="s">
        <v>235</v>
      </c>
      <c r="C611" s="1" t="s">
        <v>71</v>
      </c>
      <c r="D611" s="1">
        <v>11</v>
      </c>
      <c r="E611" s="1" t="s">
        <v>9</v>
      </c>
      <c r="F611" s="1">
        <v>191</v>
      </c>
      <c r="G611" s="9">
        <v>87.37</v>
      </c>
      <c r="H611" s="1">
        <v>3</v>
      </c>
      <c r="I6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11" s="9">
        <f>CLIENTS_CHURN[[#This Row],[Facture_Mensuelle]]*CLIENTS_CHURN[[#This Row],[Remise (%)]]</f>
        <v>0</v>
      </c>
      <c r="K611">
        <f>IF(CLIENTS_CHURN[[#This Row],[Duree_Cumulee_Panne_Min]]&gt;0,1,0)</f>
        <v>1</v>
      </c>
      <c r="L611" t="str">
        <f>IF(CLIENTS_CHURN[[#This Row],[Type_Forfait]]="Pro Monde","B2B","B2C")</f>
        <v>B2C</v>
      </c>
    </row>
    <row r="612" spans="1:12" x14ac:dyDescent="0.25">
      <c r="A612" s="1">
        <f t="shared" si="9"/>
        <v>611</v>
      </c>
      <c r="B612" s="1" t="s">
        <v>564</v>
      </c>
      <c r="C612" s="1" t="s">
        <v>31</v>
      </c>
      <c r="D612" s="1">
        <v>47</v>
      </c>
      <c r="E612" s="1" t="s">
        <v>9</v>
      </c>
      <c r="F612" s="1">
        <v>457</v>
      </c>
      <c r="G612" s="9">
        <v>84.93</v>
      </c>
      <c r="H612" s="1">
        <v>2</v>
      </c>
      <c r="I6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2" s="9">
        <f>CLIENTS_CHURN[[#This Row],[Facture_Mensuelle]]*CLIENTS_CHURN[[#This Row],[Remise (%)]]</f>
        <v>38.218500000000006</v>
      </c>
      <c r="K612">
        <f>IF(CLIENTS_CHURN[[#This Row],[Duree_Cumulee_Panne_Min]]&gt;0,1,0)</f>
        <v>1</v>
      </c>
      <c r="L612" t="str">
        <f>IF(CLIENTS_CHURN[[#This Row],[Type_Forfait]]="Pro Monde","B2B","B2C")</f>
        <v>B2C</v>
      </c>
    </row>
    <row r="613" spans="1:12" x14ac:dyDescent="0.25">
      <c r="A613" s="1">
        <f t="shared" si="9"/>
        <v>612</v>
      </c>
      <c r="B613" s="1" t="s">
        <v>621</v>
      </c>
      <c r="C613" s="1" t="s">
        <v>60</v>
      </c>
      <c r="D613" s="1">
        <v>98</v>
      </c>
      <c r="E613" s="1" t="s">
        <v>20</v>
      </c>
      <c r="F613" s="1">
        <v>110</v>
      </c>
      <c r="G613" s="9">
        <v>96.23</v>
      </c>
      <c r="H613" s="1">
        <v>2</v>
      </c>
      <c r="I6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13" s="9">
        <f>CLIENTS_CHURN[[#This Row],[Facture_Mensuelle]]*CLIENTS_CHURN[[#This Row],[Remise (%)]]</f>
        <v>0</v>
      </c>
      <c r="K613">
        <f>IF(CLIENTS_CHURN[[#This Row],[Duree_Cumulee_Panne_Min]]&gt;0,1,0)</f>
        <v>1</v>
      </c>
      <c r="L613" t="str">
        <f>IF(CLIENTS_CHURN[[#This Row],[Type_Forfait]]="Pro Monde","B2B","B2C")</f>
        <v>B2C</v>
      </c>
    </row>
    <row r="614" spans="1:12" x14ac:dyDescent="0.25">
      <c r="A614" s="1">
        <f t="shared" si="9"/>
        <v>613</v>
      </c>
      <c r="B614" s="1" t="s">
        <v>223</v>
      </c>
      <c r="C614" s="1" t="s">
        <v>86</v>
      </c>
      <c r="D614" s="1">
        <v>28</v>
      </c>
      <c r="E614" s="1" t="s">
        <v>9</v>
      </c>
      <c r="F614" s="1">
        <v>96</v>
      </c>
      <c r="G614" s="9">
        <v>72.010000000000005</v>
      </c>
      <c r="H614" s="1">
        <v>4</v>
      </c>
      <c r="I6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14" s="9">
        <f>CLIENTS_CHURN[[#This Row],[Facture_Mensuelle]]*CLIENTS_CHURN[[#This Row],[Remise (%)]]</f>
        <v>0</v>
      </c>
      <c r="K614">
        <f>IF(CLIENTS_CHURN[[#This Row],[Duree_Cumulee_Panne_Min]]&gt;0,1,0)</f>
        <v>1</v>
      </c>
      <c r="L614" t="str">
        <f>IF(CLIENTS_CHURN[[#This Row],[Type_Forfait]]="Pro Monde","B2B","B2C")</f>
        <v>B2C</v>
      </c>
    </row>
    <row r="615" spans="1:12" x14ac:dyDescent="0.25">
      <c r="A615" s="1">
        <f t="shared" si="9"/>
        <v>614</v>
      </c>
      <c r="B615" s="1" t="s">
        <v>488</v>
      </c>
      <c r="C615" s="1" t="s">
        <v>35</v>
      </c>
      <c r="D615" s="1">
        <v>77</v>
      </c>
      <c r="E615" s="1" t="s">
        <v>20</v>
      </c>
      <c r="F615" s="1">
        <v>375</v>
      </c>
      <c r="G615" s="9">
        <v>24.03</v>
      </c>
      <c r="H615" s="1">
        <v>1</v>
      </c>
      <c r="I6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5" s="9">
        <f>CLIENTS_CHURN[[#This Row],[Facture_Mensuelle]]*CLIENTS_CHURN[[#This Row],[Remise (%)]]</f>
        <v>10.813500000000001</v>
      </c>
      <c r="K615">
        <f>IF(CLIENTS_CHURN[[#This Row],[Duree_Cumulee_Panne_Min]]&gt;0,1,0)</f>
        <v>1</v>
      </c>
      <c r="L615" t="str">
        <f>IF(CLIENTS_CHURN[[#This Row],[Type_Forfait]]="Pro Monde","B2B","B2C")</f>
        <v>B2C</v>
      </c>
    </row>
    <row r="616" spans="1:12" x14ac:dyDescent="0.25">
      <c r="A616" s="1">
        <f t="shared" si="9"/>
        <v>615</v>
      </c>
      <c r="B616" s="1" t="s">
        <v>153</v>
      </c>
      <c r="C616" s="1" t="s">
        <v>128</v>
      </c>
      <c r="D616" s="1">
        <v>56</v>
      </c>
      <c r="E616" s="1" t="s">
        <v>17</v>
      </c>
      <c r="F616" s="1">
        <v>333</v>
      </c>
      <c r="G616" s="9">
        <v>23.01</v>
      </c>
      <c r="H616" s="1">
        <v>2</v>
      </c>
      <c r="I6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6" s="9">
        <f>CLIENTS_CHURN[[#This Row],[Facture_Mensuelle]]*CLIENTS_CHURN[[#This Row],[Remise (%)]]</f>
        <v>10.354500000000002</v>
      </c>
      <c r="K616">
        <f>IF(CLIENTS_CHURN[[#This Row],[Duree_Cumulee_Panne_Min]]&gt;0,1,0)</f>
        <v>1</v>
      </c>
      <c r="L616" t="str">
        <f>IF(CLIENTS_CHURN[[#This Row],[Type_Forfait]]="Pro Monde","B2B","B2C")</f>
        <v>B2C</v>
      </c>
    </row>
    <row r="617" spans="1:12" x14ac:dyDescent="0.25">
      <c r="A617" s="1">
        <f t="shared" si="9"/>
        <v>616</v>
      </c>
      <c r="B617" s="1" t="s">
        <v>191</v>
      </c>
      <c r="C617" s="1" t="s">
        <v>49</v>
      </c>
      <c r="D617" s="1">
        <v>66</v>
      </c>
      <c r="E617" s="1" t="s">
        <v>20</v>
      </c>
      <c r="F617" s="1">
        <v>387</v>
      </c>
      <c r="G617" s="9">
        <v>82.94</v>
      </c>
      <c r="H617" s="1">
        <v>3</v>
      </c>
      <c r="I6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7" s="9">
        <f>CLIENTS_CHURN[[#This Row],[Facture_Mensuelle]]*CLIENTS_CHURN[[#This Row],[Remise (%)]]</f>
        <v>37.323</v>
      </c>
      <c r="K617">
        <f>IF(CLIENTS_CHURN[[#This Row],[Duree_Cumulee_Panne_Min]]&gt;0,1,0)</f>
        <v>1</v>
      </c>
      <c r="L617" t="str">
        <f>IF(CLIENTS_CHURN[[#This Row],[Type_Forfait]]="Pro Monde","B2B","B2C")</f>
        <v>B2C</v>
      </c>
    </row>
    <row r="618" spans="1:12" x14ac:dyDescent="0.25">
      <c r="A618" s="1">
        <f t="shared" si="9"/>
        <v>617</v>
      </c>
      <c r="B618" s="1" t="s">
        <v>212</v>
      </c>
      <c r="C618" s="1" t="s">
        <v>33</v>
      </c>
      <c r="D618" s="1">
        <v>75</v>
      </c>
      <c r="E618" s="1" t="s">
        <v>17</v>
      </c>
      <c r="F618" s="1">
        <v>282</v>
      </c>
      <c r="G618" s="9">
        <v>45.16</v>
      </c>
      <c r="H618" s="1">
        <v>5</v>
      </c>
      <c r="I6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18" s="9">
        <f>CLIENTS_CHURN[[#This Row],[Facture_Mensuelle]]*CLIENTS_CHURN[[#This Row],[Remise (%)]]</f>
        <v>20.321999999999999</v>
      </c>
      <c r="K618">
        <f>IF(CLIENTS_CHURN[[#This Row],[Duree_Cumulee_Panne_Min]]&gt;0,1,0)</f>
        <v>1</v>
      </c>
      <c r="L618" t="str">
        <f>IF(CLIENTS_CHURN[[#This Row],[Type_Forfait]]="Pro Monde","B2B","B2C")</f>
        <v>B2C</v>
      </c>
    </row>
    <row r="619" spans="1:12" x14ac:dyDescent="0.25">
      <c r="A619" s="1">
        <f t="shared" si="9"/>
        <v>618</v>
      </c>
      <c r="B619" s="1" t="s">
        <v>439</v>
      </c>
      <c r="C619" s="1" t="s">
        <v>35</v>
      </c>
      <c r="D619" s="1">
        <v>39</v>
      </c>
      <c r="E619" s="1" t="s">
        <v>9</v>
      </c>
      <c r="F619" s="1">
        <v>1</v>
      </c>
      <c r="G619" s="9">
        <v>66.94</v>
      </c>
      <c r="H619" s="1">
        <v>5</v>
      </c>
      <c r="I6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19" s="9">
        <f>CLIENTS_CHURN[[#This Row],[Facture_Mensuelle]]*CLIENTS_CHURN[[#This Row],[Remise (%)]]</f>
        <v>0</v>
      </c>
      <c r="K619">
        <f>IF(CLIENTS_CHURN[[#This Row],[Duree_Cumulee_Panne_Min]]&gt;0,1,0)</f>
        <v>1</v>
      </c>
      <c r="L619" t="str">
        <f>IF(CLIENTS_CHURN[[#This Row],[Type_Forfait]]="Pro Monde","B2B","B2C")</f>
        <v>B2C</v>
      </c>
    </row>
    <row r="620" spans="1:12" x14ac:dyDescent="0.25">
      <c r="A620" s="1">
        <f t="shared" si="9"/>
        <v>619</v>
      </c>
      <c r="B620" s="1" t="s">
        <v>349</v>
      </c>
      <c r="C620" s="1" t="s">
        <v>14</v>
      </c>
      <c r="D620" s="1">
        <v>102</v>
      </c>
      <c r="E620" s="1" t="s">
        <v>17</v>
      </c>
      <c r="F620" s="1">
        <v>91</v>
      </c>
      <c r="G620" s="9">
        <v>34.64</v>
      </c>
      <c r="H620" s="1">
        <v>2</v>
      </c>
      <c r="I6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20" s="9">
        <f>CLIENTS_CHURN[[#This Row],[Facture_Mensuelle]]*CLIENTS_CHURN[[#This Row],[Remise (%)]]</f>
        <v>0</v>
      </c>
      <c r="K620">
        <f>IF(CLIENTS_CHURN[[#This Row],[Duree_Cumulee_Panne_Min]]&gt;0,1,0)</f>
        <v>1</v>
      </c>
      <c r="L620" t="str">
        <f>IF(CLIENTS_CHURN[[#This Row],[Type_Forfait]]="Pro Monde","B2B","B2C")</f>
        <v>B2C</v>
      </c>
    </row>
    <row r="621" spans="1:12" x14ac:dyDescent="0.25">
      <c r="A621" s="1">
        <f t="shared" si="9"/>
        <v>620</v>
      </c>
      <c r="B621" s="1" t="s">
        <v>225</v>
      </c>
      <c r="C621" s="1" t="s">
        <v>31</v>
      </c>
      <c r="D621" s="1">
        <v>55</v>
      </c>
      <c r="E621" s="1" t="s">
        <v>9</v>
      </c>
      <c r="F621" s="1">
        <v>394</v>
      </c>
      <c r="G621" s="9">
        <v>26.8</v>
      </c>
      <c r="H621" s="1">
        <v>4</v>
      </c>
      <c r="I6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1" s="9">
        <f>CLIENTS_CHURN[[#This Row],[Facture_Mensuelle]]*CLIENTS_CHURN[[#This Row],[Remise (%)]]</f>
        <v>12.06</v>
      </c>
      <c r="K621">
        <f>IF(CLIENTS_CHURN[[#This Row],[Duree_Cumulee_Panne_Min]]&gt;0,1,0)</f>
        <v>1</v>
      </c>
      <c r="L621" t="str">
        <f>IF(CLIENTS_CHURN[[#This Row],[Type_Forfait]]="Pro Monde","B2B","B2C")</f>
        <v>B2C</v>
      </c>
    </row>
    <row r="622" spans="1:12" x14ac:dyDescent="0.25">
      <c r="A622" s="1">
        <f t="shared" si="9"/>
        <v>621</v>
      </c>
      <c r="B622" s="1" t="s">
        <v>284</v>
      </c>
      <c r="C622" s="1" t="s">
        <v>124</v>
      </c>
      <c r="D622" s="1">
        <v>78</v>
      </c>
      <c r="E622" s="1" t="s">
        <v>20</v>
      </c>
      <c r="F622" s="1">
        <v>198</v>
      </c>
      <c r="G622" s="9">
        <v>69.849999999999994</v>
      </c>
      <c r="H622" s="1">
        <v>0</v>
      </c>
      <c r="I6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22" s="9">
        <f>CLIENTS_CHURN[[#This Row],[Facture_Mensuelle]]*CLIENTS_CHURN[[#This Row],[Remise (%)]]</f>
        <v>0</v>
      </c>
      <c r="K622">
        <f>IF(CLIENTS_CHURN[[#This Row],[Duree_Cumulee_Panne_Min]]&gt;0,1,0)</f>
        <v>1</v>
      </c>
      <c r="L622" t="str">
        <f>IF(CLIENTS_CHURN[[#This Row],[Type_Forfait]]="Pro Monde","B2B","B2C")</f>
        <v>B2C</v>
      </c>
    </row>
    <row r="623" spans="1:12" x14ac:dyDescent="0.25">
      <c r="A623" s="1">
        <f t="shared" si="9"/>
        <v>622</v>
      </c>
      <c r="B623" s="1" t="s">
        <v>329</v>
      </c>
      <c r="C623" s="1" t="s">
        <v>71</v>
      </c>
      <c r="D623" s="1">
        <v>5</v>
      </c>
      <c r="E623" s="1" t="s">
        <v>9</v>
      </c>
      <c r="F623" s="1">
        <v>384</v>
      </c>
      <c r="G623" s="9">
        <v>97.26</v>
      </c>
      <c r="H623" s="1">
        <v>3</v>
      </c>
      <c r="I6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3" s="9">
        <f>CLIENTS_CHURN[[#This Row],[Facture_Mensuelle]]*CLIENTS_CHURN[[#This Row],[Remise (%)]]</f>
        <v>43.767000000000003</v>
      </c>
      <c r="K623">
        <f>IF(CLIENTS_CHURN[[#This Row],[Duree_Cumulee_Panne_Min]]&gt;0,1,0)</f>
        <v>1</v>
      </c>
      <c r="L623" t="str">
        <f>IF(CLIENTS_CHURN[[#This Row],[Type_Forfait]]="Pro Monde","B2B","B2C")</f>
        <v>B2C</v>
      </c>
    </row>
    <row r="624" spans="1:12" x14ac:dyDescent="0.25">
      <c r="A624" s="1">
        <f t="shared" si="9"/>
        <v>623</v>
      </c>
      <c r="B624" s="1" t="s">
        <v>772</v>
      </c>
      <c r="C624" s="1" t="s">
        <v>24</v>
      </c>
      <c r="D624" s="1">
        <v>87</v>
      </c>
      <c r="E624" s="1" t="s">
        <v>12</v>
      </c>
      <c r="F624" s="1">
        <v>486</v>
      </c>
      <c r="G624" s="9">
        <v>58.26</v>
      </c>
      <c r="H624" s="1">
        <v>0</v>
      </c>
      <c r="I6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4" s="9">
        <f>CLIENTS_CHURN[[#This Row],[Facture_Mensuelle]]*CLIENTS_CHURN[[#This Row],[Remise (%)]]</f>
        <v>26.216999999999999</v>
      </c>
      <c r="K624">
        <f>IF(CLIENTS_CHURN[[#This Row],[Duree_Cumulee_Panne_Min]]&gt;0,1,0)</f>
        <v>1</v>
      </c>
      <c r="L624" t="str">
        <f>IF(CLIENTS_CHURN[[#This Row],[Type_Forfait]]="Pro Monde","B2B","B2C")</f>
        <v>B2B</v>
      </c>
    </row>
    <row r="625" spans="1:12" x14ac:dyDescent="0.25">
      <c r="A625" s="1">
        <f t="shared" si="9"/>
        <v>624</v>
      </c>
      <c r="B625" s="1" t="s">
        <v>93</v>
      </c>
      <c r="C625" s="1" t="s">
        <v>33</v>
      </c>
      <c r="D625" s="1">
        <v>42</v>
      </c>
      <c r="E625" s="1" t="s">
        <v>20</v>
      </c>
      <c r="F625" s="1">
        <v>385</v>
      </c>
      <c r="G625" s="9">
        <v>96.52</v>
      </c>
      <c r="H625" s="1">
        <v>1</v>
      </c>
      <c r="I6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5" s="9">
        <f>CLIENTS_CHURN[[#This Row],[Facture_Mensuelle]]*CLIENTS_CHURN[[#This Row],[Remise (%)]]</f>
        <v>43.433999999999997</v>
      </c>
      <c r="K625">
        <f>IF(CLIENTS_CHURN[[#This Row],[Duree_Cumulee_Panne_Min]]&gt;0,1,0)</f>
        <v>1</v>
      </c>
      <c r="L625" t="str">
        <f>IF(CLIENTS_CHURN[[#This Row],[Type_Forfait]]="Pro Monde","B2B","B2C")</f>
        <v>B2C</v>
      </c>
    </row>
    <row r="626" spans="1:12" x14ac:dyDescent="0.25">
      <c r="A626" s="1">
        <f t="shared" si="9"/>
        <v>625</v>
      </c>
      <c r="B626" s="1" t="s">
        <v>698</v>
      </c>
      <c r="C626" s="1" t="s">
        <v>65</v>
      </c>
      <c r="D626" s="1">
        <v>103</v>
      </c>
      <c r="E626" s="1" t="s">
        <v>9</v>
      </c>
      <c r="F626" s="1">
        <v>386</v>
      </c>
      <c r="G626" s="9">
        <v>10.58</v>
      </c>
      <c r="H626" s="1">
        <v>0</v>
      </c>
      <c r="I6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6" s="9">
        <f>CLIENTS_CHURN[[#This Row],[Facture_Mensuelle]]*CLIENTS_CHURN[[#This Row],[Remise (%)]]</f>
        <v>4.7610000000000001</v>
      </c>
      <c r="K626">
        <f>IF(CLIENTS_CHURN[[#This Row],[Duree_Cumulee_Panne_Min]]&gt;0,1,0)</f>
        <v>1</v>
      </c>
      <c r="L626" t="str">
        <f>IF(CLIENTS_CHURN[[#This Row],[Type_Forfait]]="Pro Monde","B2B","B2C")</f>
        <v>B2C</v>
      </c>
    </row>
    <row r="627" spans="1:12" x14ac:dyDescent="0.25">
      <c r="A627" s="1">
        <f t="shared" si="9"/>
        <v>626</v>
      </c>
      <c r="B627" s="1" t="s">
        <v>266</v>
      </c>
      <c r="C627" s="1" t="s">
        <v>35</v>
      </c>
      <c r="D627" s="1">
        <v>63</v>
      </c>
      <c r="E627" s="1" t="s">
        <v>17</v>
      </c>
      <c r="F627" s="1">
        <v>392</v>
      </c>
      <c r="G627" s="9">
        <v>93.11</v>
      </c>
      <c r="H627" s="1">
        <v>3</v>
      </c>
      <c r="I6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7" s="9">
        <f>CLIENTS_CHURN[[#This Row],[Facture_Mensuelle]]*CLIENTS_CHURN[[#This Row],[Remise (%)]]</f>
        <v>41.899500000000003</v>
      </c>
      <c r="K627">
        <f>IF(CLIENTS_CHURN[[#This Row],[Duree_Cumulee_Panne_Min]]&gt;0,1,0)</f>
        <v>1</v>
      </c>
      <c r="L627" t="str">
        <f>IF(CLIENTS_CHURN[[#This Row],[Type_Forfait]]="Pro Monde","B2B","B2C")</f>
        <v>B2C</v>
      </c>
    </row>
    <row r="628" spans="1:12" x14ac:dyDescent="0.25">
      <c r="A628" s="1">
        <f t="shared" si="9"/>
        <v>627</v>
      </c>
      <c r="B628" s="1" t="s">
        <v>603</v>
      </c>
      <c r="C628" s="1" t="s">
        <v>16</v>
      </c>
      <c r="D628" s="1">
        <v>52</v>
      </c>
      <c r="E628" s="1" t="s">
        <v>17</v>
      </c>
      <c r="F628" s="1">
        <v>307</v>
      </c>
      <c r="G628" s="9">
        <v>81.38</v>
      </c>
      <c r="H628" s="1">
        <v>2</v>
      </c>
      <c r="I6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28" s="9">
        <f>CLIENTS_CHURN[[#This Row],[Facture_Mensuelle]]*CLIENTS_CHURN[[#This Row],[Remise (%)]]</f>
        <v>36.621000000000002</v>
      </c>
      <c r="K628">
        <f>IF(CLIENTS_CHURN[[#This Row],[Duree_Cumulee_Panne_Min]]&gt;0,1,0)</f>
        <v>1</v>
      </c>
      <c r="L628" t="str">
        <f>IF(CLIENTS_CHURN[[#This Row],[Type_Forfait]]="Pro Monde","B2B","B2C")</f>
        <v>B2C</v>
      </c>
    </row>
    <row r="629" spans="1:12" x14ac:dyDescent="0.25">
      <c r="A629" s="1">
        <f t="shared" si="9"/>
        <v>628</v>
      </c>
      <c r="B629" s="1" t="s">
        <v>109</v>
      </c>
      <c r="C629" s="1" t="s">
        <v>27</v>
      </c>
      <c r="D629" s="1">
        <v>57</v>
      </c>
      <c r="E629" s="1" t="s">
        <v>17</v>
      </c>
      <c r="F629" s="1">
        <v>208</v>
      </c>
      <c r="G629" s="9">
        <v>85.66</v>
      </c>
      <c r="H629" s="1">
        <v>5</v>
      </c>
      <c r="I6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29" s="9">
        <f>CLIENTS_CHURN[[#This Row],[Facture_Mensuelle]]*CLIENTS_CHURN[[#This Row],[Remise (%)]]</f>
        <v>0</v>
      </c>
      <c r="K629">
        <f>IF(CLIENTS_CHURN[[#This Row],[Duree_Cumulee_Panne_Min]]&gt;0,1,0)</f>
        <v>1</v>
      </c>
      <c r="L629" t="str">
        <f>IF(CLIENTS_CHURN[[#This Row],[Type_Forfait]]="Pro Monde","B2B","B2C")</f>
        <v>B2C</v>
      </c>
    </row>
    <row r="630" spans="1:12" x14ac:dyDescent="0.25">
      <c r="A630" s="1">
        <f t="shared" si="9"/>
        <v>629</v>
      </c>
      <c r="B630" s="1" t="s">
        <v>342</v>
      </c>
      <c r="C630" s="1" t="s">
        <v>35</v>
      </c>
      <c r="D630" s="1">
        <v>55</v>
      </c>
      <c r="E630" s="1" t="s">
        <v>9</v>
      </c>
      <c r="F630" s="1">
        <v>86</v>
      </c>
      <c r="G630" s="9">
        <v>17.440000000000001</v>
      </c>
      <c r="H630" s="1">
        <v>2</v>
      </c>
      <c r="I6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0" s="9">
        <f>CLIENTS_CHURN[[#This Row],[Facture_Mensuelle]]*CLIENTS_CHURN[[#This Row],[Remise (%)]]</f>
        <v>0</v>
      </c>
      <c r="K630">
        <f>IF(CLIENTS_CHURN[[#This Row],[Duree_Cumulee_Panne_Min]]&gt;0,1,0)</f>
        <v>1</v>
      </c>
      <c r="L630" t="str">
        <f>IF(CLIENTS_CHURN[[#This Row],[Type_Forfait]]="Pro Monde","B2B","B2C")</f>
        <v>B2C</v>
      </c>
    </row>
    <row r="631" spans="1:12" x14ac:dyDescent="0.25">
      <c r="A631" s="1">
        <f t="shared" si="9"/>
        <v>630</v>
      </c>
      <c r="B631" s="1" t="s">
        <v>526</v>
      </c>
      <c r="C631" s="1" t="s">
        <v>29</v>
      </c>
      <c r="D631" s="1">
        <v>58</v>
      </c>
      <c r="E631" s="1" t="s">
        <v>9</v>
      </c>
      <c r="F631" s="1">
        <v>485</v>
      </c>
      <c r="G631" s="9">
        <v>64.290000000000006</v>
      </c>
      <c r="H631" s="1">
        <v>4</v>
      </c>
      <c r="I6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31" s="9">
        <f>CLIENTS_CHURN[[#This Row],[Facture_Mensuelle]]*CLIENTS_CHURN[[#This Row],[Remise (%)]]</f>
        <v>28.930500000000002</v>
      </c>
      <c r="K631">
        <f>IF(CLIENTS_CHURN[[#This Row],[Duree_Cumulee_Panne_Min]]&gt;0,1,0)</f>
        <v>1</v>
      </c>
      <c r="L631" t="str">
        <f>IF(CLIENTS_CHURN[[#This Row],[Type_Forfait]]="Pro Monde","B2B","B2C")</f>
        <v>B2C</v>
      </c>
    </row>
    <row r="632" spans="1:12" x14ac:dyDescent="0.25">
      <c r="A632" s="1">
        <f t="shared" si="9"/>
        <v>631</v>
      </c>
      <c r="B632" s="1" t="s">
        <v>295</v>
      </c>
      <c r="C632" s="1" t="s">
        <v>24</v>
      </c>
      <c r="D632" s="1">
        <v>-53</v>
      </c>
      <c r="E632" s="1" t="s">
        <v>17</v>
      </c>
      <c r="F632" s="1">
        <v>414</v>
      </c>
      <c r="G632" s="9">
        <v>64.39</v>
      </c>
      <c r="H632" s="1">
        <v>1</v>
      </c>
      <c r="I6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32" s="9">
        <f>CLIENTS_CHURN[[#This Row],[Facture_Mensuelle]]*CLIENTS_CHURN[[#This Row],[Remise (%)]]</f>
        <v>28.9755</v>
      </c>
      <c r="K632">
        <f>IF(CLIENTS_CHURN[[#This Row],[Duree_Cumulee_Panne_Min]]&gt;0,1,0)</f>
        <v>1</v>
      </c>
      <c r="L632" t="str">
        <f>IF(CLIENTS_CHURN[[#This Row],[Type_Forfait]]="Pro Monde","B2B","B2C")</f>
        <v>B2C</v>
      </c>
    </row>
    <row r="633" spans="1:12" x14ac:dyDescent="0.25">
      <c r="A633" s="1">
        <f t="shared" si="9"/>
        <v>632</v>
      </c>
      <c r="B633" s="1" t="s">
        <v>697</v>
      </c>
      <c r="C633" s="1" t="s">
        <v>49</v>
      </c>
      <c r="D633" s="1">
        <v>9</v>
      </c>
      <c r="E633" s="1" t="s">
        <v>17</v>
      </c>
      <c r="F633" s="1">
        <v>27</v>
      </c>
      <c r="G633" s="9">
        <v>99.02</v>
      </c>
      <c r="H633" s="1">
        <v>3</v>
      </c>
      <c r="I6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3" s="9">
        <f>CLIENTS_CHURN[[#This Row],[Facture_Mensuelle]]*CLIENTS_CHURN[[#This Row],[Remise (%)]]</f>
        <v>0</v>
      </c>
      <c r="K633">
        <f>IF(CLIENTS_CHURN[[#This Row],[Duree_Cumulee_Panne_Min]]&gt;0,1,0)</f>
        <v>1</v>
      </c>
      <c r="L633" t="str">
        <f>IF(CLIENTS_CHURN[[#This Row],[Type_Forfait]]="Pro Monde","B2B","B2C")</f>
        <v>B2C</v>
      </c>
    </row>
    <row r="634" spans="1:12" x14ac:dyDescent="0.25">
      <c r="A634" s="1">
        <f t="shared" si="9"/>
        <v>633</v>
      </c>
      <c r="B634" s="1" t="s">
        <v>557</v>
      </c>
      <c r="C634" s="1" t="s">
        <v>8</v>
      </c>
      <c r="D634" s="1">
        <v>84</v>
      </c>
      <c r="E634" s="1" t="s">
        <v>17</v>
      </c>
      <c r="F634" s="1">
        <v>364</v>
      </c>
      <c r="G634" s="9">
        <v>87.79</v>
      </c>
      <c r="H634" s="1">
        <v>3</v>
      </c>
      <c r="I6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34" s="9">
        <f>CLIENTS_CHURN[[#This Row],[Facture_Mensuelle]]*CLIENTS_CHURN[[#This Row],[Remise (%)]]</f>
        <v>39.505500000000005</v>
      </c>
      <c r="K634">
        <f>IF(CLIENTS_CHURN[[#This Row],[Duree_Cumulee_Panne_Min]]&gt;0,1,0)</f>
        <v>1</v>
      </c>
      <c r="L634" t="str">
        <f>IF(CLIENTS_CHURN[[#This Row],[Type_Forfait]]="Pro Monde","B2B","B2C")</f>
        <v>B2C</v>
      </c>
    </row>
    <row r="635" spans="1:12" x14ac:dyDescent="0.25">
      <c r="A635" s="1">
        <f t="shared" si="9"/>
        <v>634</v>
      </c>
      <c r="B635" s="1" t="s">
        <v>79</v>
      </c>
      <c r="C635" s="1" t="s">
        <v>29</v>
      </c>
      <c r="D635" s="1">
        <v>27</v>
      </c>
      <c r="E635" s="1" t="s">
        <v>17</v>
      </c>
      <c r="F635" s="1">
        <v>275</v>
      </c>
      <c r="G635" s="9">
        <v>80.069999999999993</v>
      </c>
      <c r="H635" s="1">
        <v>1</v>
      </c>
      <c r="I6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35" s="9">
        <f>CLIENTS_CHURN[[#This Row],[Facture_Mensuelle]]*CLIENTS_CHURN[[#This Row],[Remise (%)]]</f>
        <v>36.031500000000001</v>
      </c>
      <c r="K635">
        <f>IF(CLIENTS_CHURN[[#This Row],[Duree_Cumulee_Panne_Min]]&gt;0,1,0)</f>
        <v>1</v>
      </c>
      <c r="L635" t="str">
        <f>IF(CLIENTS_CHURN[[#This Row],[Type_Forfait]]="Pro Monde","B2B","B2C")</f>
        <v>B2C</v>
      </c>
    </row>
    <row r="636" spans="1:12" x14ac:dyDescent="0.25">
      <c r="A636" s="1">
        <f t="shared" si="9"/>
        <v>635</v>
      </c>
      <c r="B636" s="1" t="s">
        <v>465</v>
      </c>
      <c r="C636" s="1" t="s">
        <v>31</v>
      </c>
      <c r="D636" s="1">
        <v>56</v>
      </c>
      <c r="E636" s="1" t="s">
        <v>17</v>
      </c>
      <c r="F636" s="1">
        <v>114</v>
      </c>
      <c r="G636" s="9">
        <v>64.39</v>
      </c>
      <c r="H636" s="1">
        <v>1</v>
      </c>
      <c r="I6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6" s="9">
        <f>CLIENTS_CHURN[[#This Row],[Facture_Mensuelle]]*CLIENTS_CHURN[[#This Row],[Remise (%)]]</f>
        <v>0</v>
      </c>
      <c r="K636">
        <f>IF(CLIENTS_CHURN[[#This Row],[Duree_Cumulee_Panne_Min]]&gt;0,1,0)</f>
        <v>1</v>
      </c>
      <c r="L636" t="str">
        <f>IF(CLIENTS_CHURN[[#This Row],[Type_Forfait]]="Pro Monde","B2B","B2C")</f>
        <v>B2C</v>
      </c>
    </row>
    <row r="637" spans="1:12" x14ac:dyDescent="0.25">
      <c r="A637" s="1">
        <f t="shared" si="9"/>
        <v>636</v>
      </c>
      <c r="B637" s="1" t="s">
        <v>587</v>
      </c>
      <c r="C637" s="1" t="s">
        <v>55</v>
      </c>
      <c r="D637" s="1">
        <v>51</v>
      </c>
      <c r="E637" s="1" t="s">
        <v>20</v>
      </c>
      <c r="F637" s="1">
        <v>152</v>
      </c>
      <c r="G637" s="9">
        <v>34.630000000000003</v>
      </c>
      <c r="H637" s="1">
        <v>2</v>
      </c>
      <c r="I6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7" s="9">
        <f>CLIENTS_CHURN[[#This Row],[Facture_Mensuelle]]*CLIENTS_CHURN[[#This Row],[Remise (%)]]</f>
        <v>0</v>
      </c>
      <c r="K637">
        <f>IF(CLIENTS_CHURN[[#This Row],[Duree_Cumulee_Panne_Min]]&gt;0,1,0)</f>
        <v>1</v>
      </c>
      <c r="L637" t="str">
        <f>IF(CLIENTS_CHURN[[#This Row],[Type_Forfait]]="Pro Monde","B2B","B2C")</f>
        <v>B2C</v>
      </c>
    </row>
    <row r="638" spans="1:12" x14ac:dyDescent="0.25">
      <c r="A638" s="1">
        <f t="shared" si="9"/>
        <v>637</v>
      </c>
      <c r="B638" s="1" t="s">
        <v>218</v>
      </c>
      <c r="C638" s="1" t="s">
        <v>14</v>
      </c>
      <c r="D638" s="1">
        <v>26</v>
      </c>
      <c r="E638" s="1" t="s">
        <v>17</v>
      </c>
      <c r="F638" s="1">
        <v>174</v>
      </c>
      <c r="G638" s="9">
        <v>90.53</v>
      </c>
      <c r="H638" s="1">
        <v>3</v>
      </c>
      <c r="I6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8" s="9">
        <f>CLIENTS_CHURN[[#This Row],[Facture_Mensuelle]]*CLIENTS_CHURN[[#This Row],[Remise (%)]]</f>
        <v>0</v>
      </c>
      <c r="K638">
        <f>IF(CLIENTS_CHURN[[#This Row],[Duree_Cumulee_Panne_Min]]&gt;0,1,0)</f>
        <v>1</v>
      </c>
      <c r="L638" t="str">
        <f>IF(CLIENTS_CHURN[[#This Row],[Type_Forfait]]="Pro Monde","B2B","B2C")</f>
        <v>B2C</v>
      </c>
    </row>
    <row r="639" spans="1:12" x14ac:dyDescent="0.25">
      <c r="A639" s="1">
        <f t="shared" si="9"/>
        <v>638</v>
      </c>
      <c r="B639" s="1" t="s">
        <v>160</v>
      </c>
      <c r="C639" s="1" t="s">
        <v>58</v>
      </c>
      <c r="D639" s="1">
        <v>60</v>
      </c>
      <c r="E639" s="1" t="s">
        <v>17</v>
      </c>
      <c r="F639" s="1">
        <v>168</v>
      </c>
      <c r="G639" s="9">
        <v>67.650000000000006</v>
      </c>
      <c r="H639" s="1">
        <v>1</v>
      </c>
      <c r="I6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39" s="9">
        <f>CLIENTS_CHURN[[#This Row],[Facture_Mensuelle]]*CLIENTS_CHURN[[#This Row],[Remise (%)]]</f>
        <v>0</v>
      </c>
      <c r="K639">
        <f>IF(CLIENTS_CHURN[[#This Row],[Duree_Cumulee_Panne_Min]]&gt;0,1,0)</f>
        <v>1</v>
      </c>
      <c r="L639" t="str">
        <f>IF(CLIENTS_CHURN[[#This Row],[Type_Forfait]]="Pro Monde","B2B","B2C")</f>
        <v>B2C</v>
      </c>
    </row>
    <row r="640" spans="1:12" x14ac:dyDescent="0.25">
      <c r="A640" s="1">
        <f t="shared" si="9"/>
        <v>639</v>
      </c>
      <c r="B640" s="1" t="s">
        <v>81</v>
      </c>
      <c r="C640" s="1" t="s">
        <v>49</v>
      </c>
      <c r="D640" s="1">
        <v>47</v>
      </c>
      <c r="E640" s="1" t="s">
        <v>17</v>
      </c>
      <c r="F640" s="1">
        <v>199</v>
      </c>
      <c r="G640" s="9">
        <v>23.19</v>
      </c>
      <c r="H640" s="1">
        <v>2</v>
      </c>
      <c r="I6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40" s="9">
        <f>CLIENTS_CHURN[[#This Row],[Facture_Mensuelle]]*CLIENTS_CHURN[[#This Row],[Remise (%)]]</f>
        <v>0</v>
      </c>
      <c r="K640">
        <f>IF(CLIENTS_CHURN[[#This Row],[Duree_Cumulee_Panne_Min]]&gt;0,1,0)</f>
        <v>1</v>
      </c>
      <c r="L640" t="str">
        <f>IF(CLIENTS_CHURN[[#This Row],[Type_Forfait]]="Pro Monde","B2B","B2C")</f>
        <v>B2C</v>
      </c>
    </row>
    <row r="641" spans="1:12" x14ac:dyDescent="0.25">
      <c r="A641" s="1">
        <f t="shared" si="9"/>
        <v>640</v>
      </c>
      <c r="B641" s="1" t="s">
        <v>665</v>
      </c>
      <c r="C641" s="1" t="s">
        <v>128</v>
      </c>
      <c r="D641" s="1">
        <v>7</v>
      </c>
      <c r="E641" s="1" t="s">
        <v>17</v>
      </c>
      <c r="F641" s="1">
        <v>257</v>
      </c>
      <c r="G641" s="9">
        <v>73.040000000000006</v>
      </c>
      <c r="H641" s="1">
        <v>3</v>
      </c>
      <c r="I6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1" s="9">
        <f>CLIENTS_CHURN[[#This Row],[Facture_Mensuelle]]*CLIENTS_CHURN[[#This Row],[Remise (%)]]</f>
        <v>32.868000000000002</v>
      </c>
      <c r="K641">
        <f>IF(CLIENTS_CHURN[[#This Row],[Duree_Cumulee_Panne_Min]]&gt;0,1,0)</f>
        <v>1</v>
      </c>
      <c r="L641" t="str">
        <f>IF(CLIENTS_CHURN[[#This Row],[Type_Forfait]]="Pro Monde","B2B","B2C")</f>
        <v>B2C</v>
      </c>
    </row>
    <row r="642" spans="1:12" x14ac:dyDescent="0.25">
      <c r="A642" s="1">
        <f t="shared" si="9"/>
        <v>641</v>
      </c>
      <c r="B642" s="1" t="s">
        <v>361</v>
      </c>
      <c r="C642" s="1" t="s">
        <v>8</v>
      </c>
      <c r="D642" s="1">
        <v>59</v>
      </c>
      <c r="E642" s="1" t="s">
        <v>12</v>
      </c>
      <c r="F642" s="1">
        <v>369</v>
      </c>
      <c r="G642" s="9">
        <v>26.64</v>
      </c>
      <c r="H642" s="1">
        <v>4</v>
      </c>
      <c r="I6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2" s="9">
        <f>CLIENTS_CHURN[[#This Row],[Facture_Mensuelle]]*CLIENTS_CHURN[[#This Row],[Remise (%)]]</f>
        <v>11.988000000000001</v>
      </c>
      <c r="K642">
        <f>IF(CLIENTS_CHURN[[#This Row],[Duree_Cumulee_Panne_Min]]&gt;0,1,0)</f>
        <v>1</v>
      </c>
      <c r="L642" t="str">
        <f>IF(CLIENTS_CHURN[[#This Row],[Type_Forfait]]="Pro Monde","B2B","B2C")</f>
        <v>B2B</v>
      </c>
    </row>
    <row r="643" spans="1:12" x14ac:dyDescent="0.25">
      <c r="A643" s="1">
        <f t="shared" si="9"/>
        <v>642</v>
      </c>
      <c r="B643" s="1" t="s">
        <v>650</v>
      </c>
      <c r="C643" s="1" t="s">
        <v>60</v>
      </c>
      <c r="D643" s="1">
        <v>104</v>
      </c>
      <c r="E643" s="1" t="s">
        <v>17</v>
      </c>
      <c r="F643" s="1">
        <v>243</v>
      </c>
      <c r="G643" s="9">
        <v>65.819999999999993</v>
      </c>
      <c r="H643" s="1">
        <v>0</v>
      </c>
      <c r="I6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3" s="9">
        <f>CLIENTS_CHURN[[#This Row],[Facture_Mensuelle]]*CLIENTS_CHURN[[#This Row],[Remise (%)]]</f>
        <v>29.618999999999996</v>
      </c>
      <c r="K643">
        <f>IF(CLIENTS_CHURN[[#This Row],[Duree_Cumulee_Panne_Min]]&gt;0,1,0)</f>
        <v>1</v>
      </c>
      <c r="L643" t="str">
        <f>IF(CLIENTS_CHURN[[#This Row],[Type_Forfait]]="Pro Monde","B2B","B2C")</f>
        <v>B2C</v>
      </c>
    </row>
    <row r="644" spans="1:12" x14ac:dyDescent="0.25">
      <c r="A644" s="1">
        <f t="shared" ref="A644:A707" si="10">A643+1</f>
        <v>643</v>
      </c>
      <c r="B644" s="1" t="s">
        <v>318</v>
      </c>
      <c r="C644" s="1" t="s">
        <v>24</v>
      </c>
      <c r="D644" s="1">
        <v>48</v>
      </c>
      <c r="E644" s="1" t="s">
        <v>20</v>
      </c>
      <c r="F644" s="1">
        <v>15</v>
      </c>
      <c r="G644" s="9">
        <v>50.67</v>
      </c>
      <c r="H644" s="1">
        <v>1</v>
      </c>
      <c r="I6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44" s="9">
        <f>CLIENTS_CHURN[[#This Row],[Facture_Mensuelle]]*CLIENTS_CHURN[[#This Row],[Remise (%)]]</f>
        <v>0</v>
      </c>
      <c r="K644">
        <f>IF(CLIENTS_CHURN[[#This Row],[Duree_Cumulee_Panne_Min]]&gt;0,1,0)</f>
        <v>1</v>
      </c>
      <c r="L644" t="str">
        <f>IF(CLIENTS_CHURN[[#This Row],[Type_Forfait]]="Pro Monde","B2B","B2C")</f>
        <v>B2C</v>
      </c>
    </row>
    <row r="645" spans="1:12" x14ac:dyDescent="0.25">
      <c r="A645" s="1">
        <f t="shared" si="10"/>
        <v>644</v>
      </c>
      <c r="B645" s="1" t="s">
        <v>270</v>
      </c>
      <c r="C645" s="1" t="s">
        <v>24</v>
      </c>
      <c r="D645" s="1">
        <v>71</v>
      </c>
      <c r="E645" s="1" t="s">
        <v>17</v>
      </c>
      <c r="F645" s="1">
        <v>364</v>
      </c>
      <c r="G645" s="9">
        <v>39.58</v>
      </c>
      <c r="H645" s="1">
        <v>1</v>
      </c>
      <c r="I6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5" s="9">
        <f>CLIENTS_CHURN[[#This Row],[Facture_Mensuelle]]*CLIENTS_CHURN[[#This Row],[Remise (%)]]</f>
        <v>17.811</v>
      </c>
      <c r="K645">
        <f>IF(CLIENTS_CHURN[[#This Row],[Duree_Cumulee_Panne_Min]]&gt;0,1,0)</f>
        <v>1</v>
      </c>
      <c r="L645" t="str">
        <f>IF(CLIENTS_CHURN[[#This Row],[Type_Forfait]]="Pro Monde","B2B","B2C")</f>
        <v>B2C</v>
      </c>
    </row>
    <row r="646" spans="1:12" x14ac:dyDescent="0.25">
      <c r="A646" s="1">
        <f t="shared" si="10"/>
        <v>645</v>
      </c>
      <c r="B646" s="1" t="s">
        <v>369</v>
      </c>
      <c r="C646" s="1" t="s">
        <v>49</v>
      </c>
      <c r="D646" s="1">
        <v>88</v>
      </c>
      <c r="E646" s="1" t="s">
        <v>20</v>
      </c>
      <c r="F646" s="1">
        <v>154</v>
      </c>
      <c r="G646" s="9">
        <v>62.62</v>
      </c>
      <c r="H646" s="1">
        <v>5</v>
      </c>
      <c r="I6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46" s="9">
        <f>CLIENTS_CHURN[[#This Row],[Facture_Mensuelle]]*CLIENTS_CHURN[[#This Row],[Remise (%)]]</f>
        <v>0</v>
      </c>
      <c r="K646">
        <f>IF(CLIENTS_CHURN[[#This Row],[Duree_Cumulee_Panne_Min]]&gt;0,1,0)</f>
        <v>1</v>
      </c>
      <c r="L646" t="str">
        <f>IF(CLIENTS_CHURN[[#This Row],[Type_Forfait]]="Pro Monde","B2B","B2C")</f>
        <v>B2C</v>
      </c>
    </row>
    <row r="647" spans="1:12" x14ac:dyDescent="0.25">
      <c r="A647" s="1">
        <f t="shared" si="10"/>
        <v>646</v>
      </c>
      <c r="B647" s="1" t="s">
        <v>558</v>
      </c>
      <c r="C647" s="1" t="s">
        <v>60</v>
      </c>
      <c r="D647" s="1">
        <v>119</v>
      </c>
      <c r="E647" s="1" t="s">
        <v>20</v>
      </c>
      <c r="F647" s="1">
        <v>231</v>
      </c>
      <c r="G647" s="9">
        <v>20.22</v>
      </c>
      <c r="H647" s="1">
        <v>2</v>
      </c>
      <c r="I6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47" s="9">
        <f>CLIENTS_CHURN[[#This Row],[Facture_Mensuelle]]*CLIENTS_CHURN[[#This Row],[Remise (%)]]</f>
        <v>0</v>
      </c>
      <c r="K647">
        <f>IF(CLIENTS_CHURN[[#This Row],[Duree_Cumulee_Panne_Min]]&gt;0,1,0)</f>
        <v>1</v>
      </c>
      <c r="L647" t="str">
        <f>IF(CLIENTS_CHURN[[#This Row],[Type_Forfait]]="Pro Monde","B2B","B2C")</f>
        <v>B2C</v>
      </c>
    </row>
    <row r="648" spans="1:12" x14ac:dyDescent="0.25">
      <c r="A648" s="1">
        <f t="shared" si="10"/>
        <v>647</v>
      </c>
      <c r="B648" s="1" t="s">
        <v>333</v>
      </c>
      <c r="C648" s="1" t="s">
        <v>24</v>
      </c>
      <c r="D648" s="1">
        <v>81</v>
      </c>
      <c r="E648" s="1" t="s">
        <v>12</v>
      </c>
      <c r="F648" s="1">
        <v>298</v>
      </c>
      <c r="G648" s="9">
        <v>53.61</v>
      </c>
      <c r="H648" s="1">
        <v>2</v>
      </c>
      <c r="I6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8" s="9">
        <f>CLIENTS_CHURN[[#This Row],[Facture_Mensuelle]]*CLIENTS_CHURN[[#This Row],[Remise (%)]]</f>
        <v>24.124500000000001</v>
      </c>
      <c r="K648">
        <f>IF(CLIENTS_CHURN[[#This Row],[Duree_Cumulee_Panne_Min]]&gt;0,1,0)</f>
        <v>1</v>
      </c>
      <c r="L648" t="str">
        <f>IF(CLIENTS_CHURN[[#This Row],[Type_Forfait]]="Pro Monde","B2B","B2C")</f>
        <v>B2B</v>
      </c>
    </row>
    <row r="649" spans="1:12" x14ac:dyDescent="0.25">
      <c r="A649" s="1">
        <f t="shared" si="10"/>
        <v>648</v>
      </c>
      <c r="B649" s="1" t="s">
        <v>500</v>
      </c>
      <c r="C649" s="1" t="s">
        <v>8</v>
      </c>
      <c r="D649" s="1">
        <v>45</v>
      </c>
      <c r="E649" s="1" t="s">
        <v>9</v>
      </c>
      <c r="F649" s="1">
        <v>244</v>
      </c>
      <c r="G649" s="9">
        <v>55.17</v>
      </c>
      <c r="H649" s="1">
        <v>2</v>
      </c>
      <c r="I6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49" s="9">
        <f>CLIENTS_CHURN[[#This Row],[Facture_Mensuelle]]*CLIENTS_CHURN[[#This Row],[Remise (%)]]</f>
        <v>24.826500000000003</v>
      </c>
      <c r="K649">
        <f>IF(CLIENTS_CHURN[[#This Row],[Duree_Cumulee_Panne_Min]]&gt;0,1,0)</f>
        <v>1</v>
      </c>
      <c r="L649" t="str">
        <f>IF(CLIENTS_CHURN[[#This Row],[Type_Forfait]]="Pro Monde","B2B","B2C")</f>
        <v>B2C</v>
      </c>
    </row>
    <row r="650" spans="1:12" x14ac:dyDescent="0.25">
      <c r="A650" s="1">
        <f t="shared" si="10"/>
        <v>649</v>
      </c>
      <c r="B650" s="1" t="s">
        <v>44</v>
      </c>
      <c r="C650" s="1" t="s">
        <v>31</v>
      </c>
      <c r="D650" s="1">
        <v>86</v>
      </c>
      <c r="E650" s="1" t="s">
        <v>9</v>
      </c>
      <c r="F650" s="1">
        <v>471</v>
      </c>
      <c r="G650" s="9">
        <v>33.380000000000003</v>
      </c>
      <c r="H650" s="1">
        <v>4</v>
      </c>
      <c r="I6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0" s="9">
        <f>CLIENTS_CHURN[[#This Row],[Facture_Mensuelle]]*CLIENTS_CHURN[[#This Row],[Remise (%)]]</f>
        <v>15.021000000000001</v>
      </c>
      <c r="K650">
        <f>IF(CLIENTS_CHURN[[#This Row],[Duree_Cumulee_Panne_Min]]&gt;0,1,0)</f>
        <v>1</v>
      </c>
      <c r="L650" t="str">
        <f>IF(CLIENTS_CHURN[[#This Row],[Type_Forfait]]="Pro Monde","B2B","B2C")</f>
        <v>B2C</v>
      </c>
    </row>
    <row r="651" spans="1:12" x14ac:dyDescent="0.25">
      <c r="A651" s="1">
        <f t="shared" si="10"/>
        <v>650</v>
      </c>
      <c r="B651" s="1" t="s">
        <v>307</v>
      </c>
      <c r="C651" s="1" t="s">
        <v>16</v>
      </c>
      <c r="D651" s="1">
        <v>33</v>
      </c>
      <c r="E651" s="1" t="s">
        <v>9</v>
      </c>
      <c r="F651" s="1">
        <v>444</v>
      </c>
      <c r="G651" s="9">
        <v>10.28</v>
      </c>
      <c r="H651" s="1">
        <v>5</v>
      </c>
      <c r="I6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1" s="9">
        <f>CLIENTS_CHURN[[#This Row],[Facture_Mensuelle]]*CLIENTS_CHURN[[#This Row],[Remise (%)]]</f>
        <v>4.6259999999999994</v>
      </c>
      <c r="K651">
        <f>IF(CLIENTS_CHURN[[#This Row],[Duree_Cumulee_Panne_Min]]&gt;0,1,0)</f>
        <v>1</v>
      </c>
      <c r="L651" t="str">
        <f>IF(CLIENTS_CHURN[[#This Row],[Type_Forfait]]="Pro Monde","B2B","B2C")</f>
        <v>B2C</v>
      </c>
    </row>
    <row r="652" spans="1:12" x14ac:dyDescent="0.25">
      <c r="A652" s="1">
        <f t="shared" si="10"/>
        <v>651</v>
      </c>
      <c r="B652" s="1" t="s">
        <v>183</v>
      </c>
      <c r="C652" s="1" t="s">
        <v>31</v>
      </c>
      <c r="D652" s="1">
        <v>104</v>
      </c>
      <c r="E652" s="1" t="s">
        <v>12</v>
      </c>
      <c r="F652" s="1">
        <v>317</v>
      </c>
      <c r="G652" s="9">
        <v>79.150000000000006</v>
      </c>
      <c r="H652" s="1">
        <v>1</v>
      </c>
      <c r="I65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2" s="9">
        <f>CLIENTS_CHURN[[#This Row],[Facture_Mensuelle]]*CLIENTS_CHURN[[#This Row],[Remise (%)]]</f>
        <v>35.617500000000007</v>
      </c>
      <c r="K652">
        <f>IF(CLIENTS_CHURN[[#This Row],[Duree_Cumulee_Panne_Min]]&gt;0,1,0)</f>
        <v>1</v>
      </c>
      <c r="L652" t="str">
        <f>IF(CLIENTS_CHURN[[#This Row],[Type_Forfait]]="Pro Monde","B2B","B2C")</f>
        <v>B2B</v>
      </c>
    </row>
    <row r="653" spans="1:12" x14ac:dyDescent="0.25">
      <c r="A653" s="1">
        <f t="shared" si="10"/>
        <v>652</v>
      </c>
      <c r="B653" s="1" t="s">
        <v>676</v>
      </c>
      <c r="C653" s="1" t="s">
        <v>124</v>
      </c>
      <c r="D653" s="1">
        <v>90</v>
      </c>
      <c r="E653" s="1" t="s">
        <v>12</v>
      </c>
      <c r="F653" s="1">
        <v>195</v>
      </c>
      <c r="G653" s="9">
        <v>52.71</v>
      </c>
      <c r="H653" s="1">
        <v>2</v>
      </c>
      <c r="I65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53" s="9">
        <f>CLIENTS_CHURN[[#This Row],[Facture_Mensuelle]]*CLIENTS_CHURN[[#This Row],[Remise (%)]]</f>
        <v>5.2710000000000008</v>
      </c>
      <c r="K653">
        <f>IF(CLIENTS_CHURN[[#This Row],[Duree_Cumulee_Panne_Min]]&gt;0,1,0)</f>
        <v>1</v>
      </c>
      <c r="L653" t="str">
        <f>IF(CLIENTS_CHURN[[#This Row],[Type_Forfait]]="Pro Monde","B2B","B2C")</f>
        <v>B2B</v>
      </c>
    </row>
    <row r="654" spans="1:12" x14ac:dyDescent="0.25">
      <c r="A654" s="1">
        <f t="shared" si="10"/>
        <v>653</v>
      </c>
      <c r="B654" s="1" t="s">
        <v>53</v>
      </c>
      <c r="C654" s="1" t="s">
        <v>33</v>
      </c>
      <c r="D654" s="1">
        <v>108</v>
      </c>
      <c r="E654" s="1" t="s">
        <v>20</v>
      </c>
      <c r="F654" s="1">
        <v>278</v>
      </c>
      <c r="G654" s="9">
        <v>40.51</v>
      </c>
      <c r="H654" s="1">
        <v>3</v>
      </c>
      <c r="I65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4" s="9">
        <f>CLIENTS_CHURN[[#This Row],[Facture_Mensuelle]]*CLIENTS_CHURN[[#This Row],[Remise (%)]]</f>
        <v>18.229499999999998</v>
      </c>
      <c r="K654">
        <f>IF(CLIENTS_CHURN[[#This Row],[Duree_Cumulee_Panne_Min]]&gt;0,1,0)</f>
        <v>1</v>
      </c>
      <c r="L654" t="str">
        <f>IF(CLIENTS_CHURN[[#This Row],[Type_Forfait]]="Pro Monde","B2B","B2C")</f>
        <v>B2C</v>
      </c>
    </row>
    <row r="655" spans="1:12" x14ac:dyDescent="0.25">
      <c r="A655" s="1">
        <f t="shared" si="10"/>
        <v>654</v>
      </c>
      <c r="B655" s="1" t="s">
        <v>749</v>
      </c>
      <c r="C655" s="1" t="s">
        <v>71</v>
      </c>
      <c r="D655" s="1">
        <v>57</v>
      </c>
      <c r="E655" s="1" t="s">
        <v>20</v>
      </c>
      <c r="F655" s="1">
        <v>375</v>
      </c>
      <c r="G655" s="9">
        <v>64.73</v>
      </c>
      <c r="H655" s="1">
        <v>1</v>
      </c>
      <c r="I65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5" s="9">
        <f>CLIENTS_CHURN[[#This Row],[Facture_Mensuelle]]*CLIENTS_CHURN[[#This Row],[Remise (%)]]</f>
        <v>29.128500000000003</v>
      </c>
      <c r="K655">
        <f>IF(CLIENTS_CHURN[[#This Row],[Duree_Cumulee_Panne_Min]]&gt;0,1,0)</f>
        <v>1</v>
      </c>
      <c r="L655" t="str">
        <f>IF(CLIENTS_CHURN[[#This Row],[Type_Forfait]]="Pro Monde","B2B","B2C")</f>
        <v>B2C</v>
      </c>
    </row>
    <row r="656" spans="1:12" x14ac:dyDescent="0.25">
      <c r="A656" s="1">
        <f t="shared" si="10"/>
        <v>655</v>
      </c>
      <c r="B656" s="1" t="s">
        <v>529</v>
      </c>
      <c r="C656" s="1" t="s">
        <v>19</v>
      </c>
      <c r="D656" s="1">
        <v>101</v>
      </c>
      <c r="E656" s="1" t="s">
        <v>12</v>
      </c>
      <c r="F656" s="1">
        <v>210</v>
      </c>
      <c r="G656" s="9">
        <v>35.4</v>
      </c>
      <c r="H656" s="1">
        <v>1</v>
      </c>
      <c r="I65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56" s="9">
        <f>CLIENTS_CHURN[[#This Row],[Facture_Mensuelle]]*CLIENTS_CHURN[[#This Row],[Remise (%)]]</f>
        <v>3.54</v>
      </c>
      <c r="K656">
        <f>IF(CLIENTS_CHURN[[#This Row],[Duree_Cumulee_Panne_Min]]&gt;0,1,0)</f>
        <v>1</v>
      </c>
      <c r="L656" t="str">
        <f>IF(CLIENTS_CHURN[[#This Row],[Type_Forfait]]="Pro Monde","B2B","B2C")</f>
        <v>B2B</v>
      </c>
    </row>
    <row r="657" spans="1:12" x14ac:dyDescent="0.25">
      <c r="A657" s="1">
        <f t="shared" si="10"/>
        <v>656</v>
      </c>
      <c r="B657" s="1" t="s">
        <v>130</v>
      </c>
      <c r="C657" s="1" t="s">
        <v>16</v>
      </c>
      <c r="D657" s="1">
        <v>72</v>
      </c>
      <c r="E657" s="1" t="s">
        <v>12</v>
      </c>
      <c r="F657" s="1">
        <v>333</v>
      </c>
      <c r="G657" s="9">
        <v>34.57</v>
      </c>
      <c r="H657" s="1">
        <v>2</v>
      </c>
      <c r="I65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7" s="9">
        <f>CLIENTS_CHURN[[#This Row],[Facture_Mensuelle]]*CLIENTS_CHURN[[#This Row],[Remise (%)]]</f>
        <v>15.5565</v>
      </c>
      <c r="K657">
        <f>IF(CLIENTS_CHURN[[#This Row],[Duree_Cumulee_Panne_Min]]&gt;0,1,0)</f>
        <v>1</v>
      </c>
      <c r="L657" t="str">
        <f>IF(CLIENTS_CHURN[[#This Row],[Type_Forfait]]="Pro Monde","B2B","B2C")</f>
        <v>B2B</v>
      </c>
    </row>
    <row r="658" spans="1:12" x14ac:dyDescent="0.25">
      <c r="A658" s="1">
        <f t="shared" si="10"/>
        <v>657</v>
      </c>
      <c r="B658" s="1" t="s">
        <v>334</v>
      </c>
      <c r="C658" s="1" t="s">
        <v>128</v>
      </c>
      <c r="D658" s="1">
        <v>91</v>
      </c>
      <c r="E658" s="1" t="s">
        <v>20</v>
      </c>
      <c r="F658" s="1">
        <v>404</v>
      </c>
      <c r="G658" s="9">
        <v>76.53</v>
      </c>
      <c r="H658" s="1">
        <v>5</v>
      </c>
      <c r="I65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8" s="9">
        <f>CLIENTS_CHURN[[#This Row],[Facture_Mensuelle]]*CLIENTS_CHURN[[#This Row],[Remise (%)]]</f>
        <v>34.438500000000005</v>
      </c>
      <c r="K658">
        <f>IF(CLIENTS_CHURN[[#This Row],[Duree_Cumulee_Panne_Min]]&gt;0,1,0)</f>
        <v>1</v>
      </c>
      <c r="L658" t="str">
        <f>IF(CLIENTS_CHURN[[#This Row],[Type_Forfait]]="Pro Monde","B2B","B2C")</f>
        <v>B2C</v>
      </c>
    </row>
    <row r="659" spans="1:12" x14ac:dyDescent="0.25">
      <c r="A659" s="1">
        <f t="shared" si="10"/>
        <v>658</v>
      </c>
      <c r="B659" s="1" t="s">
        <v>210</v>
      </c>
      <c r="C659" s="1" t="s">
        <v>31</v>
      </c>
      <c r="D659" s="1">
        <v>118</v>
      </c>
      <c r="E659" s="1" t="s">
        <v>17</v>
      </c>
      <c r="F659" s="1">
        <v>300</v>
      </c>
      <c r="G659" s="9">
        <v>98.22</v>
      </c>
      <c r="H659" s="1">
        <v>4</v>
      </c>
      <c r="I65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59" s="9">
        <f>CLIENTS_CHURN[[#This Row],[Facture_Mensuelle]]*CLIENTS_CHURN[[#This Row],[Remise (%)]]</f>
        <v>44.198999999999998</v>
      </c>
      <c r="K659">
        <f>IF(CLIENTS_CHURN[[#This Row],[Duree_Cumulee_Panne_Min]]&gt;0,1,0)</f>
        <v>1</v>
      </c>
      <c r="L659" t="str">
        <f>IF(CLIENTS_CHURN[[#This Row],[Type_Forfait]]="Pro Monde","B2B","B2C")</f>
        <v>B2C</v>
      </c>
    </row>
    <row r="660" spans="1:12" x14ac:dyDescent="0.25">
      <c r="A660" s="1">
        <f t="shared" si="10"/>
        <v>659</v>
      </c>
      <c r="B660" s="1" t="s">
        <v>63</v>
      </c>
      <c r="C660" s="1" t="s">
        <v>19</v>
      </c>
      <c r="D660" s="1">
        <v>79</v>
      </c>
      <c r="E660" s="1" t="s">
        <v>17</v>
      </c>
      <c r="F660" s="1">
        <v>357</v>
      </c>
      <c r="G660" s="9">
        <v>69.900000000000006</v>
      </c>
      <c r="H660" s="1">
        <v>5</v>
      </c>
      <c r="I66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0" s="9">
        <f>CLIENTS_CHURN[[#This Row],[Facture_Mensuelle]]*CLIENTS_CHURN[[#This Row],[Remise (%)]]</f>
        <v>31.455000000000002</v>
      </c>
      <c r="K660">
        <f>IF(CLIENTS_CHURN[[#This Row],[Duree_Cumulee_Panne_Min]]&gt;0,1,0)</f>
        <v>1</v>
      </c>
      <c r="L660" t="str">
        <f>IF(CLIENTS_CHURN[[#This Row],[Type_Forfait]]="Pro Monde","B2B","B2C")</f>
        <v>B2C</v>
      </c>
    </row>
    <row r="661" spans="1:12" x14ac:dyDescent="0.25">
      <c r="A661" s="1">
        <f t="shared" si="10"/>
        <v>660</v>
      </c>
      <c r="B661" s="1" t="s">
        <v>658</v>
      </c>
      <c r="C661" s="1" t="s">
        <v>8</v>
      </c>
      <c r="D661" s="1">
        <v>112</v>
      </c>
      <c r="E661" s="1" t="s">
        <v>20</v>
      </c>
      <c r="F661" s="1">
        <v>281</v>
      </c>
      <c r="G661" s="9">
        <v>80.72</v>
      </c>
      <c r="H661" s="1">
        <v>2</v>
      </c>
      <c r="I66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1" s="9">
        <f>CLIENTS_CHURN[[#This Row],[Facture_Mensuelle]]*CLIENTS_CHURN[[#This Row],[Remise (%)]]</f>
        <v>36.323999999999998</v>
      </c>
      <c r="K661">
        <f>IF(CLIENTS_CHURN[[#This Row],[Duree_Cumulee_Panne_Min]]&gt;0,1,0)</f>
        <v>1</v>
      </c>
      <c r="L661" t="str">
        <f>IF(CLIENTS_CHURN[[#This Row],[Type_Forfait]]="Pro Monde","B2B","B2C")</f>
        <v>B2C</v>
      </c>
    </row>
    <row r="662" spans="1:12" x14ac:dyDescent="0.25">
      <c r="A662" s="1">
        <f t="shared" si="10"/>
        <v>661</v>
      </c>
      <c r="B662" s="1" t="s">
        <v>527</v>
      </c>
      <c r="C662" s="1" t="s">
        <v>76</v>
      </c>
      <c r="D662" s="1">
        <v>93</v>
      </c>
      <c r="E662" s="1" t="s">
        <v>12</v>
      </c>
      <c r="F662" s="1">
        <v>153</v>
      </c>
      <c r="G662" s="9">
        <v>86.19</v>
      </c>
      <c r="H662" s="1">
        <v>0</v>
      </c>
      <c r="I66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62" s="9">
        <f>CLIENTS_CHURN[[#This Row],[Facture_Mensuelle]]*CLIENTS_CHURN[[#This Row],[Remise (%)]]</f>
        <v>8.6189999999999998</v>
      </c>
      <c r="K662">
        <f>IF(CLIENTS_CHURN[[#This Row],[Duree_Cumulee_Panne_Min]]&gt;0,1,0)</f>
        <v>1</v>
      </c>
      <c r="L662" t="str">
        <f>IF(CLIENTS_CHURN[[#This Row],[Type_Forfait]]="Pro Monde","B2B","B2C")</f>
        <v>B2B</v>
      </c>
    </row>
    <row r="663" spans="1:12" x14ac:dyDescent="0.25">
      <c r="A663" s="1">
        <f t="shared" si="10"/>
        <v>662</v>
      </c>
      <c r="B663" s="1" t="s">
        <v>580</v>
      </c>
      <c r="C663" s="1" t="s">
        <v>22</v>
      </c>
      <c r="D663" s="1">
        <v>48</v>
      </c>
      <c r="E663" s="1" t="s">
        <v>17</v>
      </c>
      <c r="F663" s="1">
        <v>482</v>
      </c>
      <c r="G663" s="9">
        <v>83.24</v>
      </c>
      <c r="H663" s="1">
        <v>0</v>
      </c>
      <c r="I66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3" s="9">
        <f>CLIENTS_CHURN[[#This Row],[Facture_Mensuelle]]*CLIENTS_CHURN[[#This Row],[Remise (%)]]</f>
        <v>37.457999999999998</v>
      </c>
      <c r="K663">
        <f>IF(CLIENTS_CHURN[[#This Row],[Duree_Cumulee_Panne_Min]]&gt;0,1,0)</f>
        <v>1</v>
      </c>
      <c r="L663" t="str">
        <f>IF(CLIENTS_CHURN[[#This Row],[Type_Forfait]]="Pro Monde","B2B","B2C")</f>
        <v>B2C</v>
      </c>
    </row>
    <row r="664" spans="1:12" x14ac:dyDescent="0.25">
      <c r="A664" s="1">
        <f t="shared" si="10"/>
        <v>663</v>
      </c>
      <c r="B664" s="1" t="s">
        <v>429</v>
      </c>
      <c r="C664" s="1" t="s">
        <v>58</v>
      </c>
      <c r="D664" s="1">
        <v>22</v>
      </c>
      <c r="E664" s="1" t="s">
        <v>12</v>
      </c>
      <c r="F664" s="1">
        <v>127</v>
      </c>
      <c r="G664" s="9">
        <v>49.06</v>
      </c>
      <c r="H664" s="1">
        <v>2</v>
      </c>
      <c r="I66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64" s="9">
        <f>CLIENTS_CHURN[[#This Row],[Facture_Mensuelle]]*CLIENTS_CHURN[[#This Row],[Remise (%)]]</f>
        <v>4.9060000000000006</v>
      </c>
      <c r="K664">
        <f>IF(CLIENTS_CHURN[[#This Row],[Duree_Cumulee_Panne_Min]]&gt;0,1,0)</f>
        <v>1</v>
      </c>
      <c r="L664" t="str">
        <f>IF(CLIENTS_CHURN[[#This Row],[Type_Forfait]]="Pro Monde","B2B","B2C")</f>
        <v>B2B</v>
      </c>
    </row>
    <row r="665" spans="1:12" x14ac:dyDescent="0.25">
      <c r="A665" s="1">
        <f t="shared" si="10"/>
        <v>664</v>
      </c>
      <c r="B665" s="1" t="s">
        <v>245</v>
      </c>
      <c r="C665" s="1" t="s">
        <v>29</v>
      </c>
      <c r="D665" s="1">
        <v>87</v>
      </c>
      <c r="E665" s="1" t="s">
        <v>12</v>
      </c>
      <c r="F665" s="1">
        <v>205</v>
      </c>
      <c r="G665" s="9">
        <v>40.159999999999997</v>
      </c>
      <c r="H665" s="1">
        <v>5</v>
      </c>
      <c r="I66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65" s="9">
        <f>CLIENTS_CHURN[[#This Row],[Facture_Mensuelle]]*CLIENTS_CHURN[[#This Row],[Remise (%)]]</f>
        <v>4.016</v>
      </c>
      <c r="K665">
        <f>IF(CLIENTS_CHURN[[#This Row],[Duree_Cumulee_Panne_Min]]&gt;0,1,0)</f>
        <v>1</v>
      </c>
      <c r="L665" t="str">
        <f>IF(CLIENTS_CHURN[[#This Row],[Type_Forfait]]="Pro Monde","B2B","B2C")</f>
        <v>B2B</v>
      </c>
    </row>
    <row r="666" spans="1:12" x14ac:dyDescent="0.25">
      <c r="A666" s="1">
        <f t="shared" si="10"/>
        <v>665</v>
      </c>
      <c r="B666" s="1" t="s">
        <v>391</v>
      </c>
      <c r="C666" s="1" t="s">
        <v>128</v>
      </c>
      <c r="D666" s="1">
        <v>100</v>
      </c>
      <c r="E666" s="1" t="s">
        <v>17</v>
      </c>
      <c r="F666" s="1">
        <v>471</v>
      </c>
      <c r="G666" s="9">
        <v>61.2</v>
      </c>
      <c r="H666" s="1">
        <v>3</v>
      </c>
      <c r="I66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6" s="9">
        <f>CLIENTS_CHURN[[#This Row],[Facture_Mensuelle]]*CLIENTS_CHURN[[#This Row],[Remise (%)]]</f>
        <v>27.540000000000003</v>
      </c>
      <c r="K666">
        <f>IF(CLIENTS_CHURN[[#This Row],[Duree_Cumulee_Panne_Min]]&gt;0,1,0)</f>
        <v>1</v>
      </c>
      <c r="L666" t="str">
        <f>IF(CLIENTS_CHURN[[#This Row],[Type_Forfait]]="Pro Monde","B2B","B2C")</f>
        <v>B2C</v>
      </c>
    </row>
    <row r="667" spans="1:12" x14ac:dyDescent="0.25">
      <c r="A667" s="1">
        <f t="shared" si="10"/>
        <v>666</v>
      </c>
      <c r="B667" s="1" t="s">
        <v>222</v>
      </c>
      <c r="C667" s="1" t="s">
        <v>71</v>
      </c>
      <c r="D667" s="1">
        <v>51</v>
      </c>
      <c r="E667" s="1" t="s">
        <v>20</v>
      </c>
      <c r="F667" s="1">
        <v>433</v>
      </c>
      <c r="G667" s="9">
        <v>12.89</v>
      </c>
      <c r="H667" s="1">
        <v>1</v>
      </c>
      <c r="I66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7" s="9">
        <f>CLIENTS_CHURN[[#This Row],[Facture_Mensuelle]]*CLIENTS_CHURN[[#This Row],[Remise (%)]]</f>
        <v>5.8005000000000004</v>
      </c>
      <c r="K667">
        <f>IF(CLIENTS_CHURN[[#This Row],[Duree_Cumulee_Panne_Min]]&gt;0,1,0)</f>
        <v>1</v>
      </c>
      <c r="L667" t="str">
        <f>IF(CLIENTS_CHURN[[#This Row],[Type_Forfait]]="Pro Monde","B2B","B2C")</f>
        <v>B2C</v>
      </c>
    </row>
    <row r="668" spans="1:12" x14ac:dyDescent="0.25">
      <c r="A668" s="1">
        <f t="shared" si="10"/>
        <v>667</v>
      </c>
      <c r="B668" s="1" t="s">
        <v>744</v>
      </c>
      <c r="C668" s="1" t="s">
        <v>29</v>
      </c>
      <c r="D668" s="1">
        <v>15</v>
      </c>
      <c r="E668" s="1" t="s">
        <v>17</v>
      </c>
      <c r="F668" s="1">
        <v>30</v>
      </c>
      <c r="G668" s="9">
        <v>30.5</v>
      </c>
      <c r="H668" s="1">
        <v>1</v>
      </c>
      <c r="I66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68" s="9">
        <f>CLIENTS_CHURN[[#This Row],[Facture_Mensuelle]]*CLIENTS_CHURN[[#This Row],[Remise (%)]]</f>
        <v>0</v>
      </c>
      <c r="K668">
        <f>IF(CLIENTS_CHURN[[#This Row],[Duree_Cumulee_Panne_Min]]&gt;0,1,0)</f>
        <v>1</v>
      </c>
      <c r="L668" t="str">
        <f>IF(CLIENTS_CHURN[[#This Row],[Type_Forfait]]="Pro Monde","B2B","B2C")</f>
        <v>B2C</v>
      </c>
    </row>
    <row r="669" spans="1:12" x14ac:dyDescent="0.25">
      <c r="A669" s="1">
        <f t="shared" si="10"/>
        <v>668</v>
      </c>
      <c r="B669" s="1" t="s">
        <v>146</v>
      </c>
      <c r="C669" s="1" t="s">
        <v>35</v>
      </c>
      <c r="D669" s="1">
        <v>55</v>
      </c>
      <c r="E669" s="1" t="s">
        <v>17</v>
      </c>
      <c r="F669" s="1">
        <v>407</v>
      </c>
      <c r="G669" s="9">
        <v>23.11</v>
      </c>
      <c r="H669" s="1">
        <v>0</v>
      </c>
      <c r="I66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69" s="9">
        <f>CLIENTS_CHURN[[#This Row],[Facture_Mensuelle]]*CLIENTS_CHURN[[#This Row],[Remise (%)]]</f>
        <v>10.3995</v>
      </c>
      <c r="K669">
        <f>IF(CLIENTS_CHURN[[#This Row],[Duree_Cumulee_Panne_Min]]&gt;0,1,0)</f>
        <v>1</v>
      </c>
      <c r="L669" t="str">
        <f>IF(CLIENTS_CHURN[[#This Row],[Type_Forfait]]="Pro Monde","B2B","B2C")</f>
        <v>B2C</v>
      </c>
    </row>
    <row r="670" spans="1:12" x14ac:dyDescent="0.25">
      <c r="A670" s="1">
        <f t="shared" si="10"/>
        <v>669</v>
      </c>
      <c r="B670" s="1" t="s">
        <v>549</v>
      </c>
      <c r="C670" s="1" t="s">
        <v>76</v>
      </c>
      <c r="D670" s="1">
        <v>99</v>
      </c>
      <c r="E670" s="1" t="s">
        <v>12</v>
      </c>
      <c r="F670" s="1">
        <v>42</v>
      </c>
      <c r="G670" s="9">
        <v>98.77</v>
      </c>
      <c r="H670" s="1">
        <v>3</v>
      </c>
      <c r="I67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70" s="9">
        <f>CLIENTS_CHURN[[#This Row],[Facture_Mensuelle]]*CLIENTS_CHURN[[#This Row],[Remise (%)]]</f>
        <v>9.8770000000000007</v>
      </c>
      <c r="K670">
        <f>IF(CLIENTS_CHURN[[#This Row],[Duree_Cumulee_Panne_Min]]&gt;0,1,0)</f>
        <v>1</v>
      </c>
      <c r="L670" t="str">
        <f>IF(CLIENTS_CHURN[[#This Row],[Type_Forfait]]="Pro Monde","B2B","B2C")</f>
        <v>B2B</v>
      </c>
    </row>
    <row r="671" spans="1:12" x14ac:dyDescent="0.25">
      <c r="A671" s="1">
        <f t="shared" si="10"/>
        <v>670</v>
      </c>
      <c r="B671" s="1" t="s">
        <v>100</v>
      </c>
      <c r="C671" s="1" t="s">
        <v>42</v>
      </c>
      <c r="D671" s="1">
        <v>50</v>
      </c>
      <c r="E671" s="1" t="s">
        <v>17</v>
      </c>
      <c r="F671" s="1">
        <v>258</v>
      </c>
      <c r="G671" s="9">
        <v>25.06</v>
      </c>
      <c r="H671" s="1">
        <v>4</v>
      </c>
      <c r="I67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1" s="9">
        <f>CLIENTS_CHURN[[#This Row],[Facture_Mensuelle]]*CLIENTS_CHURN[[#This Row],[Remise (%)]]</f>
        <v>11.276999999999999</v>
      </c>
      <c r="K671">
        <f>IF(CLIENTS_CHURN[[#This Row],[Duree_Cumulee_Panne_Min]]&gt;0,1,0)</f>
        <v>1</v>
      </c>
      <c r="L671" t="str">
        <f>IF(CLIENTS_CHURN[[#This Row],[Type_Forfait]]="Pro Monde","B2B","B2C")</f>
        <v>B2C</v>
      </c>
    </row>
    <row r="672" spans="1:12" x14ac:dyDescent="0.25">
      <c r="A672" s="1">
        <f t="shared" si="10"/>
        <v>671</v>
      </c>
      <c r="B672" s="1" t="s">
        <v>74</v>
      </c>
      <c r="C672" s="1" t="s">
        <v>38</v>
      </c>
      <c r="D672" s="1">
        <v>22</v>
      </c>
      <c r="E672" s="1" t="s">
        <v>20</v>
      </c>
      <c r="F672" s="1">
        <v>451</v>
      </c>
      <c r="G672" s="9">
        <v>76.38</v>
      </c>
      <c r="H672" s="1">
        <v>3</v>
      </c>
      <c r="I67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2" s="9">
        <f>CLIENTS_CHURN[[#This Row],[Facture_Mensuelle]]*CLIENTS_CHURN[[#This Row],[Remise (%)]]</f>
        <v>34.371000000000002</v>
      </c>
      <c r="K672">
        <f>IF(CLIENTS_CHURN[[#This Row],[Duree_Cumulee_Panne_Min]]&gt;0,1,0)</f>
        <v>1</v>
      </c>
      <c r="L672" t="str">
        <f>IF(CLIENTS_CHURN[[#This Row],[Type_Forfait]]="Pro Monde","B2B","B2C")</f>
        <v>B2C</v>
      </c>
    </row>
    <row r="673" spans="1:12" x14ac:dyDescent="0.25">
      <c r="A673" s="1">
        <f t="shared" si="10"/>
        <v>672</v>
      </c>
      <c r="B673" s="1" t="s">
        <v>590</v>
      </c>
      <c r="C673" s="1" t="s">
        <v>58</v>
      </c>
      <c r="D673" s="1">
        <v>83</v>
      </c>
      <c r="E673" s="1" t="s">
        <v>12</v>
      </c>
      <c r="F673" s="1">
        <v>91</v>
      </c>
      <c r="G673" s="9">
        <v>73.73</v>
      </c>
      <c r="H673" s="1">
        <v>2</v>
      </c>
      <c r="I67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73" s="9">
        <f>CLIENTS_CHURN[[#This Row],[Facture_Mensuelle]]*CLIENTS_CHURN[[#This Row],[Remise (%)]]</f>
        <v>7.3730000000000011</v>
      </c>
      <c r="K673">
        <f>IF(CLIENTS_CHURN[[#This Row],[Duree_Cumulee_Panne_Min]]&gt;0,1,0)</f>
        <v>1</v>
      </c>
      <c r="L673" t="str">
        <f>IF(CLIENTS_CHURN[[#This Row],[Type_Forfait]]="Pro Monde","B2B","B2C")</f>
        <v>B2B</v>
      </c>
    </row>
    <row r="674" spans="1:12" x14ac:dyDescent="0.25">
      <c r="A674" s="1">
        <f t="shared" si="10"/>
        <v>673</v>
      </c>
      <c r="B674" s="1" t="s">
        <v>392</v>
      </c>
      <c r="C674" s="1" t="s">
        <v>124</v>
      </c>
      <c r="D674" s="1">
        <v>35</v>
      </c>
      <c r="E674" s="1" t="s">
        <v>20</v>
      </c>
      <c r="F674" s="1">
        <v>421</v>
      </c>
      <c r="G674" s="9">
        <v>29.57</v>
      </c>
      <c r="H674" s="1">
        <v>5</v>
      </c>
      <c r="I67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4" s="9">
        <f>CLIENTS_CHURN[[#This Row],[Facture_Mensuelle]]*CLIENTS_CHURN[[#This Row],[Remise (%)]]</f>
        <v>13.3065</v>
      </c>
      <c r="K674">
        <f>IF(CLIENTS_CHURN[[#This Row],[Duree_Cumulee_Panne_Min]]&gt;0,1,0)</f>
        <v>1</v>
      </c>
      <c r="L674" t="str">
        <f>IF(CLIENTS_CHURN[[#This Row],[Type_Forfait]]="Pro Monde","B2B","B2C")</f>
        <v>B2C</v>
      </c>
    </row>
    <row r="675" spans="1:12" x14ac:dyDescent="0.25">
      <c r="A675" s="1">
        <f t="shared" si="10"/>
        <v>674</v>
      </c>
      <c r="B675" s="1" t="s">
        <v>636</v>
      </c>
      <c r="C675" s="1" t="s">
        <v>58</v>
      </c>
      <c r="D675" s="1">
        <v>99</v>
      </c>
      <c r="E675" s="1" t="s">
        <v>20</v>
      </c>
      <c r="F675" s="1">
        <v>137</v>
      </c>
      <c r="G675" s="9">
        <v>23.05</v>
      </c>
      <c r="H675" s="1">
        <v>4</v>
      </c>
      <c r="I67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75" s="9">
        <f>CLIENTS_CHURN[[#This Row],[Facture_Mensuelle]]*CLIENTS_CHURN[[#This Row],[Remise (%)]]</f>
        <v>0</v>
      </c>
      <c r="K675">
        <f>IF(CLIENTS_CHURN[[#This Row],[Duree_Cumulee_Panne_Min]]&gt;0,1,0)</f>
        <v>1</v>
      </c>
      <c r="L675" t="str">
        <f>IF(CLIENTS_CHURN[[#This Row],[Type_Forfait]]="Pro Monde","B2B","B2C")</f>
        <v>B2C</v>
      </c>
    </row>
    <row r="676" spans="1:12" x14ac:dyDescent="0.25">
      <c r="A676" s="1">
        <f t="shared" si="10"/>
        <v>675</v>
      </c>
      <c r="B676" s="1" t="s">
        <v>449</v>
      </c>
      <c r="C676" s="1" t="s">
        <v>35</v>
      </c>
      <c r="D676" s="1">
        <v>115</v>
      </c>
      <c r="E676" s="1" t="s">
        <v>12</v>
      </c>
      <c r="F676" s="1">
        <v>262</v>
      </c>
      <c r="G676" s="9">
        <v>66.34</v>
      </c>
      <c r="H676" s="1">
        <v>3</v>
      </c>
      <c r="I67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6" s="9">
        <f>CLIENTS_CHURN[[#This Row],[Facture_Mensuelle]]*CLIENTS_CHURN[[#This Row],[Remise (%)]]</f>
        <v>29.853000000000002</v>
      </c>
      <c r="K676">
        <f>IF(CLIENTS_CHURN[[#This Row],[Duree_Cumulee_Panne_Min]]&gt;0,1,0)</f>
        <v>1</v>
      </c>
      <c r="L676" t="str">
        <f>IF(CLIENTS_CHURN[[#This Row],[Type_Forfait]]="Pro Monde","B2B","B2C")</f>
        <v>B2B</v>
      </c>
    </row>
    <row r="677" spans="1:12" x14ac:dyDescent="0.25">
      <c r="A677" s="1">
        <f t="shared" si="10"/>
        <v>676</v>
      </c>
      <c r="B677" s="1" t="s">
        <v>394</v>
      </c>
      <c r="C677" s="1" t="s">
        <v>65</v>
      </c>
      <c r="D677" s="1">
        <v>112</v>
      </c>
      <c r="E677" s="1" t="s">
        <v>20</v>
      </c>
      <c r="F677" s="1">
        <v>483</v>
      </c>
      <c r="G677" s="9">
        <v>93.98</v>
      </c>
      <c r="H677" s="1">
        <v>0</v>
      </c>
      <c r="I67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7" s="9">
        <f>CLIENTS_CHURN[[#This Row],[Facture_Mensuelle]]*CLIENTS_CHURN[[#This Row],[Remise (%)]]</f>
        <v>42.291000000000004</v>
      </c>
      <c r="K677">
        <f>IF(CLIENTS_CHURN[[#This Row],[Duree_Cumulee_Panne_Min]]&gt;0,1,0)</f>
        <v>1</v>
      </c>
      <c r="L677" t="str">
        <f>IF(CLIENTS_CHURN[[#This Row],[Type_Forfait]]="Pro Monde","B2B","B2C")</f>
        <v>B2C</v>
      </c>
    </row>
    <row r="678" spans="1:12" x14ac:dyDescent="0.25">
      <c r="A678" s="1">
        <f t="shared" si="10"/>
        <v>677</v>
      </c>
      <c r="B678" s="1" t="s">
        <v>450</v>
      </c>
      <c r="C678" s="1" t="s">
        <v>16</v>
      </c>
      <c r="D678" s="1">
        <v>7</v>
      </c>
      <c r="E678" s="1" t="s">
        <v>17</v>
      </c>
      <c r="F678" s="1">
        <v>233</v>
      </c>
      <c r="G678" s="9">
        <v>10.94</v>
      </c>
      <c r="H678" s="1">
        <v>0</v>
      </c>
      <c r="I67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78" s="9">
        <f>CLIENTS_CHURN[[#This Row],[Facture_Mensuelle]]*CLIENTS_CHURN[[#This Row],[Remise (%)]]</f>
        <v>0</v>
      </c>
      <c r="K678">
        <f>IF(CLIENTS_CHURN[[#This Row],[Duree_Cumulee_Panne_Min]]&gt;0,1,0)</f>
        <v>1</v>
      </c>
      <c r="L678" t="str">
        <f>IF(CLIENTS_CHURN[[#This Row],[Type_Forfait]]="Pro Monde","B2B","B2C")</f>
        <v>B2C</v>
      </c>
    </row>
    <row r="679" spans="1:12" x14ac:dyDescent="0.25">
      <c r="A679" s="1">
        <f t="shared" si="10"/>
        <v>678</v>
      </c>
      <c r="B679" s="1" t="s">
        <v>197</v>
      </c>
      <c r="C679" s="1" t="s">
        <v>58</v>
      </c>
      <c r="D679" s="1">
        <v>42</v>
      </c>
      <c r="E679" s="1" t="s">
        <v>12</v>
      </c>
      <c r="F679" s="1">
        <v>389</v>
      </c>
      <c r="G679" s="9">
        <v>80.08</v>
      </c>
      <c r="H679" s="1">
        <v>1</v>
      </c>
      <c r="I67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79" s="9">
        <f>CLIENTS_CHURN[[#This Row],[Facture_Mensuelle]]*CLIENTS_CHURN[[#This Row],[Remise (%)]]</f>
        <v>36.036000000000001</v>
      </c>
      <c r="K679">
        <f>IF(CLIENTS_CHURN[[#This Row],[Duree_Cumulee_Panne_Min]]&gt;0,1,0)</f>
        <v>1</v>
      </c>
      <c r="L679" t="str">
        <f>IF(CLIENTS_CHURN[[#This Row],[Type_Forfait]]="Pro Monde","B2B","B2C")</f>
        <v>B2B</v>
      </c>
    </row>
    <row r="680" spans="1:12" x14ac:dyDescent="0.25">
      <c r="A680" s="1">
        <f t="shared" si="10"/>
        <v>679</v>
      </c>
      <c r="B680" s="1" t="s">
        <v>781</v>
      </c>
      <c r="C680" s="1" t="s">
        <v>22</v>
      </c>
      <c r="D680" s="1">
        <v>104</v>
      </c>
      <c r="E680" s="1" t="s">
        <v>17</v>
      </c>
      <c r="F680" s="1">
        <v>245</v>
      </c>
      <c r="G680" s="9">
        <v>38.270000000000003</v>
      </c>
      <c r="H680" s="1">
        <v>0</v>
      </c>
      <c r="I68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0" s="9">
        <f>CLIENTS_CHURN[[#This Row],[Facture_Mensuelle]]*CLIENTS_CHURN[[#This Row],[Remise (%)]]</f>
        <v>17.221500000000002</v>
      </c>
      <c r="K680">
        <f>IF(CLIENTS_CHURN[[#This Row],[Duree_Cumulee_Panne_Min]]&gt;0,1,0)</f>
        <v>1</v>
      </c>
      <c r="L680" t="str">
        <f>IF(CLIENTS_CHURN[[#This Row],[Type_Forfait]]="Pro Monde","B2B","B2C")</f>
        <v>B2C</v>
      </c>
    </row>
    <row r="681" spans="1:12" x14ac:dyDescent="0.25">
      <c r="A681" s="1">
        <f t="shared" si="10"/>
        <v>680</v>
      </c>
      <c r="B681" s="1" t="s">
        <v>757</v>
      </c>
      <c r="C681" s="1" t="s">
        <v>86</v>
      </c>
      <c r="D681" s="1">
        <v>23</v>
      </c>
      <c r="E681" s="1" t="s">
        <v>12</v>
      </c>
      <c r="F681" s="1">
        <v>120</v>
      </c>
      <c r="G681" s="9">
        <v>73.12</v>
      </c>
      <c r="H681" s="1">
        <v>1</v>
      </c>
      <c r="I68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81" s="9">
        <f>CLIENTS_CHURN[[#This Row],[Facture_Mensuelle]]*CLIENTS_CHURN[[#This Row],[Remise (%)]]</f>
        <v>7.3120000000000012</v>
      </c>
      <c r="K681">
        <f>IF(CLIENTS_CHURN[[#This Row],[Duree_Cumulee_Panne_Min]]&gt;0,1,0)</f>
        <v>1</v>
      </c>
      <c r="L681" t="str">
        <f>IF(CLIENTS_CHURN[[#This Row],[Type_Forfait]]="Pro Monde","B2B","B2C")</f>
        <v>B2B</v>
      </c>
    </row>
    <row r="682" spans="1:12" x14ac:dyDescent="0.25">
      <c r="A682" s="1">
        <f t="shared" si="10"/>
        <v>681</v>
      </c>
      <c r="B682" s="1" t="s">
        <v>337</v>
      </c>
      <c r="C682" s="1" t="s">
        <v>14</v>
      </c>
      <c r="D682" s="1">
        <v>76</v>
      </c>
      <c r="E682" s="1" t="s">
        <v>17</v>
      </c>
      <c r="F682" s="1">
        <v>192</v>
      </c>
      <c r="G682" s="9">
        <v>68.53</v>
      </c>
      <c r="H682" s="1">
        <v>0</v>
      </c>
      <c r="I68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82" s="9">
        <f>CLIENTS_CHURN[[#This Row],[Facture_Mensuelle]]*CLIENTS_CHURN[[#This Row],[Remise (%)]]</f>
        <v>0</v>
      </c>
      <c r="K682">
        <f>IF(CLIENTS_CHURN[[#This Row],[Duree_Cumulee_Panne_Min]]&gt;0,1,0)</f>
        <v>1</v>
      </c>
      <c r="L682" t="str">
        <f>IF(CLIENTS_CHURN[[#This Row],[Type_Forfait]]="Pro Monde","B2B","B2C")</f>
        <v>B2C</v>
      </c>
    </row>
    <row r="683" spans="1:12" x14ac:dyDescent="0.25">
      <c r="A683" s="1">
        <f t="shared" si="10"/>
        <v>682</v>
      </c>
      <c r="B683" s="1" t="s">
        <v>424</v>
      </c>
      <c r="C683" s="1" t="s">
        <v>29</v>
      </c>
      <c r="D683" s="1">
        <v>35</v>
      </c>
      <c r="E683" s="1" t="s">
        <v>12</v>
      </c>
      <c r="F683" s="1">
        <v>496</v>
      </c>
      <c r="G683" s="9">
        <v>19.78</v>
      </c>
      <c r="H683" s="1">
        <v>5</v>
      </c>
      <c r="I68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3" s="9">
        <f>CLIENTS_CHURN[[#This Row],[Facture_Mensuelle]]*CLIENTS_CHURN[[#This Row],[Remise (%)]]</f>
        <v>8.9010000000000016</v>
      </c>
      <c r="K683">
        <f>IF(CLIENTS_CHURN[[#This Row],[Duree_Cumulee_Panne_Min]]&gt;0,1,0)</f>
        <v>1</v>
      </c>
      <c r="L683" t="str">
        <f>IF(CLIENTS_CHURN[[#This Row],[Type_Forfait]]="Pro Monde","B2B","B2C")</f>
        <v>B2B</v>
      </c>
    </row>
    <row r="684" spans="1:12" x14ac:dyDescent="0.25">
      <c r="A684" s="1">
        <f t="shared" si="10"/>
        <v>683</v>
      </c>
      <c r="B684" s="1" t="s">
        <v>54</v>
      </c>
      <c r="C684" s="1" t="s">
        <v>55</v>
      </c>
      <c r="D684" s="1">
        <v>97</v>
      </c>
      <c r="E684" s="1" t="s">
        <v>12</v>
      </c>
      <c r="F684" s="1">
        <v>319</v>
      </c>
      <c r="G684" s="9">
        <v>31.25</v>
      </c>
      <c r="H684" s="1">
        <v>1</v>
      </c>
      <c r="I68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4" s="9">
        <f>CLIENTS_CHURN[[#This Row],[Facture_Mensuelle]]*CLIENTS_CHURN[[#This Row],[Remise (%)]]</f>
        <v>14.0625</v>
      </c>
      <c r="K684">
        <f>IF(CLIENTS_CHURN[[#This Row],[Duree_Cumulee_Panne_Min]]&gt;0,1,0)</f>
        <v>1</v>
      </c>
      <c r="L684" t="str">
        <f>IF(CLIENTS_CHURN[[#This Row],[Type_Forfait]]="Pro Monde","B2B","B2C")</f>
        <v>B2B</v>
      </c>
    </row>
    <row r="685" spans="1:12" x14ac:dyDescent="0.25">
      <c r="A685" s="1">
        <f t="shared" si="10"/>
        <v>684</v>
      </c>
      <c r="B685" s="1" t="s">
        <v>226</v>
      </c>
      <c r="C685" s="1" t="s">
        <v>16</v>
      </c>
      <c r="D685" s="1">
        <v>114</v>
      </c>
      <c r="E685" s="1" t="s">
        <v>9</v>
      </c>
      <c r="F685" s="1">
        <v>482</v>
      </c>
      <c r="G685" s="9">
        <v>16.25</v>
      </c>
      <c r="H685" s="1">
        <v>3</v>
      </c>
      <c r="I68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5" s="9">
        <f>CLIENTS_CHURN[[#This Row],[Facture_Mensuelle]]*CLIENTS_CHURN[[#This Row],[Remise (%)]]</f>
        <v>7.3125</v>
      </c>
      <c r="K685">
        <f>IF(CLIENTS_CHURN[[#This Row],[Duree_Cumulee_Panne_Min]]&gt;0,1,0)</f>
        <v>1</v>
      </c>
      <c r="L685" t="str">
        <f>IF(CLIENTS_CHURN[[#This Row],[Type_Forfait]]="Pro Monde","B2B","B2C")</f>
        <v>B2C</v>
      </c>
    </row>
    <row r="686" spans="1:12" x14ac:dyDescent="0.25">
      <c r="A686" s="1">
        <f t="shared" si="10"/>
        <v>685</v>
      </c>
      <c r="B686" s="1" t="s">
        <v>657</v>
      </c>
      <c r="C686" s="1" t="s">
        <v>22</v>
      </c>
      <c r="D686" s="1">
        <v>89</v>
      </c>
      <c r="E686" s="1" t="s">
        <v>17</v>
      </c>
      <c r="F686" s="1">
        <v>474</v>
      </c>
      <c r="G686" s="9">
        <v>28.51</v>
      </c>
      <c r="H686" s="1">
        <v>5</v>
      </c>
      <c r="I68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6" s="9">
        <f>CLIENTS_CHURN[[#This Row],[Facture_Mensuelle]]*CLIENTS_CHURN[[#This Row],[Remise (%)]]</f>
        <v>12.829500000000001</v>
      </c>
      <c r="K686">
        <f>IF(CLIENTS_CHURN[[#This Row],[Duree_Cumulee_Panne_Min]]&gt;0,1,0)</f>
        <v>1</v>
      </c>
      <c r="L686" t="str">
        <f>IF(CLIENTS_CHURN[[#This Row],[Type_Forfait]]="Pro Monde","B2B","B2C")</f>
        <v>B2C</v>
      </c>
    </row>
    <row r="687" spans="1:12" x14ac:dyDescent="0.25">
      <c r="A687" s="1">
        <f t="shared" si="10"/>
        <v>686</v>
      </c>
      <c r="B687" s="1" t="s">
        <v>362</v>
      </c>
      <c r="C687" s="1" t="s">
        <v>22</v>
      </c>
      <c r="D687" s="1">
        <v>41</v>
      </c>
      <c r="E687" s="1" t="s">
        <v>12</v>
      </c>
      <c r="F687" s="1">
        <v>206</v>
      </c>
      <c r="G687" s="9">
        <v>83.16</v>
      </c>
      <c r="H687" s="1">
        <v>2</v>
      </c>
      <c r="I68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87" s="9">
        <f>CLIENTS_CHURN[[#This Row],[Facture_Mensuelle]]*CLIENTS_CHURN[[#This Row],[Remise (%)]]</f>
        <v>8.3160000000000007</v>
      </c>
      <c r="K687">
        <f>IF(CLIENTS_CHURN[[#This Row],[Duree_Cumulee_Panne_Min]]&gt;0,1,0)</f>
        <v>1</v>
      </c>
      <c r="L687" t="str">
        <f>IF(CLIENTS_CHURN[[#This Row],[Type_Forfait]]="Pro Monde","B2B","B2C")</f>
        <v>B2B</v>
      </c>
    </row>
    <row r="688" spans="1:12" x14ac:dyDescent="0.25">
      <c r="A688" s="1">
        <f t="shared" si="10"/>
        <v>687</v>
      </c>
      <c r="B688" s="1" t="s">
        <v>66</v>
      </c>
      <c r="C688" s="1" t="s">
        <v>19</v>
      </c>
      <c r="D688" s="1">
        <v>110</v>
      </c>
      <c r="E688" s="1" t="s">
        <v>20</v>
      </c>
      <c r="F688" s="1">
        <v>454</v>
      </c>
      <c r="G688" s="9">
        <v>31.05</v>
      </c>
      <c r="H688" s="1">
        <v>1</v>
      </c>
      <c r="I68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88" s="9">
        <f>CLIENTS_CHURN[[#This Row],[Facture_Mensuelle]]*CLIENTS_CHURN[[#This Row],[Remise (%)]]</f>
        <v>13.9725</v>
      </c>
      <c r="K688">
        <f>IF(CLIENTS_CHURN[[#This Row],[Duree_Cumulee_Panne_Min]]&gt;0,1,0)</f>
        <v>1</v>
      </c>
      <c r="L688" t="str">
        <f>IF(CLIENTS_CHURN[[#This Row],[Type_Forfait]]="Pro Monde","B2B","B2C")</f>
        <v>B2C</v>
      </c>
    </row>
    <row r="689" spans="1:12" x14ac:dyDescent="0.25">
      <c r="A689" s="1">
        <f t="shared" si="10"/>
        <v>688</v>
      </c>
      <c r="B689" s="1" t="s">
        <v>506</v>
      </c>
      <c r="C689" s="1" t="s">
        <v>8</v>
      </c>
      <c r="D689" s="1">
        <v>85</v>
      </c>
      <c r="E689" s="1" t="s">
        <v>12</v>
      </c>
      <c r="F689" s="1">
        <v>75</v>
      </c>
      <c r="G689" s="9">
        <v>98.01</v>
      </c>
      <c r="H689" s="1">
        <v>1</v>
      </c>
      <c r="I68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689" s="9">
        <f>CLIENTS_CHURN[[#This Row],[Facture_Mensuelle]]*CLIENTS_CHURN[[#This Row],[Remise (%)]]</f>
        <v>9.8010000000000019</v>
      </c>
      <c r="K689">
        <f>IF(CLIENTS_CHURN[[#This Row],[Duree_Cumulee_Panne_Min]]&gt;0,1,0)</f>
        <v>1</v>
      </c>
      <c r="L689" t="str">
        <f>IF(CLIENTS_CHURN[[#This Row],[Type_Forfait]]="Pro Monde","B2B","B2C")</f>
        <v>B2B</v>
      </c>
    </row>
    <row r="690" spans="1:12" x14ac:dyDescent="0.25">
      <c r="A690" s="1">
        <f t="shared" si="10"/>
        <v>689</v>
      </c>
      <c r="B690" s="1" t="s">
        <v>589</v>
      </c>
      <c r="C690" s="1" t="s">
        <v>124</v>
      </c>
      <c r="D690" s="1">
        <v>79</v>
      </c>
      <c r="E690" s="1" t="s">
        <v>17</v>
      </c>
      <c r="F690" s="1">
        <v>462</v>
      </c>
      <c r="G690" s="9">
        <v>18.28</v>
      </c>
      <c r="H690" s="1">
        <v>0</v>
      </c>
      <c r="I69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0" s="9">
        <f>CLIENTS_CHURN[[#This Row],[Facture_Mensuelle]]*CLIENTS_CHURN[[#This Row],[Remise (%)]]</f>
        <v>8.2260000000000009</v>
      </c>
      <c r="K690">
        <f>IF(CLIENTS_CHURN[[#This Row],[Duree_Cumulee_Panne_Min]]&gt;0,1,0)</f>
        <v>1</v>
      </c>
      <c r="L690" t="str">
        <f>IF(CLIENTS_CHURN[[#This Row],[Type_Forfait]]="Pro Monde","B2B","B2C")</f>
        <v>B2C</v>
      </c>
    </row>
    <row r="691" spans="1:12" x14ac:dyDescent="0.25">
      <c r="A691" s="1">
        <f t="shared" si="10"/>
        <v>690</v>
      </c>
      <c r="B691" s="1" t="s">
        <v>713</v>
      </c>
      <c r="C691" s="1" t="s">
        <v>33</v>
      </c>
      <c r="D691" s="1">
        <v>46</v>
      </c>
      <c r="E691" s="1" t="s">
        <v>9</v>
      </c>
      <c r="F691" s="1">
        <v>43</v>
      </c>
      <c r="G691" s="9">
        <v>98.44</v>
      </c>
      <c r="H691" s="1">
        <v>2</v>
      </c>
      <c r="I69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91" s="9">
        <f>CLIENTS_CHURN[[#This Row],[Facture_Mensuelle]]*CLIENTS_CHURN[[#This Row],[Remise (%)]]</f>
        <v>0</v>
      </c>
      <c r="K691">
        <f>IF(CLIENTS_CHURN[[#This Row],[Duree_Cumulee_Panne_Min]]&gt;0,1,0)</f>
        <v>1</v>
      </c>
      <c r="L691" t="str">
        <f>IF(CLIENTS_CHURN[[#This Row],[Type_Forfait]]="Pro Monde","B2B","B2C")</f>
        <v>B2C</v>
      </c>
    </row>
    <row r="692" spans="1:12" x14ac:dyDescent="0.25">
      <c r="A692" s="1">
        <f t="shared" si="10"/>
        <v>691</v>
      </c>
      <c r="B692" s="1" t="s">
        <v>176</v>
      </c>
      <c r="C692" s="1" t="s">
        <v>65</v>
      </c>
      <c r="D692" s="1">
        <v>1</v>
      </c>
      <c r="E692" s="1" t="s">
        <v>12</v>
      </c>
      <c r="F692" s="1">
        <v>326</v>
      </c>
      <c r="G692" s="9">
        <v>54.63</v>
      </c>
      <c r="H692" s="1">
        <v>3</v>
      </c>
      <c r="I69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2" s="9">
        <f>CLIENTS_CHURN[[#This Row],[Facture_Mensuelle]]*CLIENTS_CHURN[[#This Row],[Remise (%)]]</f>
        <v>24.583500000000001</v>
      </c>
      <c r="K692">
        <f>IF(CLIENTS_CHURN[[#This Row],[Duree_Cumulee_Panne_Min]]&gt;0,1,0)</f>
        <v>1</v>
      </c>
      <c r="L692" t="str">
        <f>IF(CLIENTS_CHURN[[#This Row],[Type_Forfait]]="Pro Monde","B2B","B2C")</f>
        <v>B2B</v>
      </c>
    </row>
    <row r="693" spans="1:12" x14ac:dyDescent="0.25">
      <c r="A693" s="1">
        <f t="shared" si="10"/>
        <v>692</v>
      </c>
      <c r="B693" s="1" t="s">
        <v>735</v>
      </c>
      <c r="C693" s="1" t="s">
        <v>124</v>
      </c>
      <c r="D693" s="1">
        <v>26</v>
      </c>
      <c r="E693" s="1" t="s">
        <v>9</v>
      </c>
      <c r="F693" s="1">
        <v>378</v>
      </c>
      <c r="G693" s="9">
        <v>45.21</v>
      </c>
      <c r="H693" s="1">
        <v>5</v>
      </c>
      <c r="I69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3" s="9">
        <f>CLIENTS_CHURN[[#This Row],[Facture_Mensuelle]]*CLIENTS_CHURN[[#This Row],[Remise (%)]]</f>
        <v>20.3445</v>
      </c>
      <c r="K693">
        <f>IF(CLIENTS_CHURN[[#This Row],[Duree_Cumulee_Panne_Min]]&gt;0,1,0)</f>
        <v>1</v>
      </c>
      <c r="L693" t="str">
        <f>IF(CLIENTS_CHURN[[#This Row],[Type_Forfait]]="Pro Monde","B2B","B2C")</f>
        <v>B2C</v>
      </c>
    </row>
    <row r="694" spans="1:12" x14ac:dyDescent="0.25">
      <c r="A694" s="1">
        <f t="shared" si="10"/>
        <v>693</v>
      </c>
      <c r="B694" s="1" t="s">
        <v>561</v>
      </c>
      <c r="C694" s="1" t="s">
        <v>11</v>
      </c>
      <c r="D694" s="1">
        <v>73</v>
      </c>
      <c r="E694" s="1" t="s">
        <v>12</v>
      </c>
      <c r="F694" s="1">
        <v>268</v>
      </c>
      <c r="G694" s="9">
        <v>56.86</v>
      </c>
      <c r="H694" s="1">
        <v>5</v>
      </c>
      <c r="I69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4" s="9">
        <f>CLIENTS_CHURN[[#This Row],[Facture_Mensuelle]]*CLIENTS_CHURN[[#This Row],[Remise (%)]]</f>
        <v>25.587</v>
      </c>
      <c r="K694">
        <f>IF(CLIENTS_CHURN[[#This Row],[Duree_Cumulee_Panne_Min]]&gt;0,1,0)</f>
        <v>1</v>
      </c>
      <c r="L694" t="str">
        <f>IF(CLIENTS_CHURN[[#This Row],[Type_Forfait]]="Pro Monde","B2B","B2C")</f>
        <v>B2B</v>
      </c>
    </row>
    <row r="695" spans="1:12" x14ac:dyDescent="0.25">
      <c r="A695" s="1">
        <f t="shared" si="10"/>
        <v>694</v>
      </c>
      <c r="B695" s="1" t="s">
        <v>157</v>
      </c>
      <c r="C695" s="1" t="s">
        <v>71</v>
      </c>
      <c r="D695" s="1">
        <v>16</v>
      </c>
      <c r="E695" s="1" t="s">
        <v>17</v>
      </c>
      <c r="F695" s="1">
        <v>13</v>
      </c>
      <c r="G695" s="9">
        <v>14.91</v>
      </c>
      <c r="H695" s="1">
        <v>1</v>
      </c>
      <c r="I69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95" s="9">
        <f>CLIENTS_CHURN[[#This Row],[Facture_Mensuelle]]*CLIENTS_CHURN[[#This Row],[Remise (%)]]</f>
        <v>0</v>
      </c>
      <c r="K695">
        <f>IF(CLIENTS_CHURN[[#This Row],[Duree_Cumulee_Panne_Min]]&gt;0,1,0)</f>
        <v>1</v>
      </c>
      <c r="L695" t="str">
        <f>IF(CLIENTS_CHURN[[#This Row],[Type_Forfait]]="Pro Monde","B2B","B2C")</f>
        <v>B2C</v>
      </c>
    </row>
    <row r="696" spans="1:12" x14ac:dyDescent="0.25">
      <c r="A696" s="1">
        <f t="shared" si="10"/>
        <v>695</v>
      </c>
      <c r="B696" s="1" t="s">
        <v>18</v>
      </c>
      <c r="C696" s="1" t="s">
        <v>19</v>
      </c>
      <c r="D696" s="1">
        <v>101</v>
      </c>
      <c r="E696" s="1" t="s">
        <v>20</v>
      </c>
      <c r="F696" s="1">
        <v>358</v>
      </c>
      <c r="G696" s="9">
        <v>29.24</v>
      </c>
      <c r="H696" s="1">
        <v>3</v>
      </c>
      <c r="I69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6" s="9">
        <f>CLIENTS_CHURN[[#This Row],[Facture_Mensuelle]]*CLIENTS_CHURN[[#This Row],[Remise (%)]]</f>
        <v>13.157999999999999</v>
      </c>
      <c r="K696">
        <f>IF(CLIENTS_CHURN[[#This Row],[Duree_Cumulee_Panne_Min]]&gt;0,1,0)</f>
        <v>1</v>
      </c>
      <c r="L696" t="str">
        <f>IF(CLIENTS_CHURN[[#This Row],[Type_Forfait]]="Pro Monde","B2B","B2C")</f>
        <v>B2C</v>
      </c>
    </row>
    <row r="697" spans="1:12" x14ac:dyDescent="0.25">
      <c r="A697" s="1">
        <f t="shared" si="10"/>
        <v>696</v>
      </c>
      <c r="B697" s="1" t="s">
        <v>513</v>
      </c>
      <c r="C697" s="1" t="s">
        <v>11</v>
      </c>
      <c r="D697" s="1">
        <v>103</v>
      </c>
      <c r="E697" s="1" t="s">
        <v>20</v>
      </c>
      <c r="F697" s="1">
        <v>291</v>
      </c>
      <c r="G697" s="9">
        <v>60.34</v>
      </c>
      <c r="H697" s="1">
        <v>5</v>
      </c>
      <c r="I69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697" s="9">
        <f>CLIENTS_CHURN[[#This Row],[Facture_Mensuelle]]*CLIENTS_CHURN[[#This Row],[Remise (%)]]</f>
        <v>27.153000000000002</v>
      </c>
      <c r="K697">
        <f>IF(CLIENTS_CHURN[[#This Row],[Duree_Cumulee_Panne_Min]]&gt;0,1,0)</f>
        <v>1</v>
      </c>
      <c r="L697" t="str">
        <f>IF(CLIENTS_CHURN[[#This Row],[Type_Forfait]]="Pro Monde","B2B","B2C")</f>
        <v>B2C</v>
      </c>
    </row>
    <row r="698" spans="1:12" x14ac:dyDescent="0.25">
      <c r="A698" s="1">
        <f t="shared" si="10"/>
        <v>697</v>
      </c>
      <c r="B698" s="1" t="s">
        <v>203</v>
      </c>
      <c r="C698" s="1" t="s">
        <v>8</v>
      </c>
      <c r="D698" s="1">
        <v>92</v>
      </c>
      <c r="E698" s="1" t="s">
        <v>9</v>
      </c>
      <c r="F698" s="1">
        <v>116</v>
      </c>
      <c r="G698" s="9">
        <v>23.83</v>
      </c>
      <c r="H698" s="1">
        <v>3</v>
      </c>
      <c r="I69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98" s="9">
        <f>CLIENTS_CHURN[[#This Row],[Facture_Mensuelle]]*CLIENTS_CHURN[[#This Row],[Remise (%)]]</f>
        <v>0</v>
      </c>
      <c r="K698">
        <f>IF(CLIENTS_CHURN[[#This Row],[Duree_Cumulee_Panne_Min]]&gt;0,1,0)</f>
        <v>1</v>
      </c>
      <c r="L698" t="str">
        <f>IF(CLIENTS_CHURN[[#This Row],[Type_Forfait]]="Pro Monde","B2B","B2C")</f>
        <v>B2C</v>
      </c>
    </row>
    <row r="699" spans="1:12" x14ac:dyDescent="0.25">
      <c r="A699" s="1">
        <f t="shared" si="10"/>
        <v>698</v>
      </c>
      <c r="B699" s="1" t="s">
        <v>653</v>
      </c>
      <c r="C699" s="1" t="s">
        <v>62</v>
      </c>
      <c r="D699" s="1">
        <v>116</v>
      </c>
      <c r="E699" s="1" t="s">
        <v>20</v>
      </c>
      <c r="F699" s="1">
        <v>231</v>
      </c>
      <c r="G699" s="9">
        <v>19.12</v>
      </c>
      <c r="H699" s="1">
        <v>5</v>
      </c>
      <c r="I69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699" s="9">
        <f>CLIENTS_CHURN[[#This Row],[Facture_Mensuelle]]*CLIENTS_CHURN[[#This Row],[Remise (%)]]</f>
        <v>0</v>
      </c>
      <c r="K699">
        <f>IF(CLIENTS_CHURN[[#This Row],[Duree_Cumulee_Panne_Min]]&gt;0,1,0)</f>
        <v>1</v>
      </c>
      <c r="L699" t="str">
        <f>IF(CLIENTS_CHURN[[#This Row],[Type_Forfait]]="Pro Monde","B2B","B2C")</f>
        <v>B2C</v>
      </c>
    </row>
    <row r="700" spans="1:12" x14ac:dyDescent="0.25">
      <c r="A700" s="1">
        <f t="shared" si="10"/>
        <v>699</v>
      </c>
      <c r="B700" s="1" t="s">
        <v>641</v>
      </c>
      <c r="C700" s="1" t="s">
        <v>86</v>
      </c>
      <c r="D700" s="1">
        <v>89</v>
      </c>
      <c r="E700" s="1" t="s">
        <v>12</v>
      </c>
      <c r="F700" s="1">
        <v>381</v>
      </c>
      <c r="G700" s="9">
        <v>68.17</v>
      </c>
      <c r="H700" s="1">
        <v>0</v>
      </c>
      <c r="I70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00" s="9">
        <f>CLIENTS_CHURN[[#This Row],[Facture_Mensuelle]]*CLIENTS_CHURN[[#This Row],[Remise (%)]]</f>
        <v>30.676500000000001</v>
      </c>
      <c r="K700">
        <f>IF(CLIENTS_CHURN[[#This Row],[Duree_Cumulee_Panne_Min]]&gt;0,1,0)</f>
        <v>1</v>
      </c>
      <c r="L700" t="str">
        <f>IF(CLIENTS_CHURN[[#This Row],[Type_Forfait]]="Pro Monde","B2B","B2C")</f>
        <v>B2B</v>
      </c>
    </row>
    <row r="701" spans="1:12" x14ac:dyDescent="0.25">
      <c r="A701" s="1">
        <f t="shared" si="10"/>
        <v>700</v>
      </c>
      <c r="B701" s="1" t="s">
        <v>614</v>
      </c>
      <c r="C701" s="1" t="s">
        <v>33</v>
      </c>
      <c r="D701" s="1">
        <v>65</v>
      </c>
      <c r="E701" s="1" t="s">
        <v>9</v>
      </c>
      <c r="F701" s="1">
        <v>15</v>
      </c>
      <c r="G701" s="9">
        <v>44.47</v>
      </c>
      <c r="H701" s="1">
        <v>0</v>
      </c>
      <c r="I70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01" s="9">
        <f>CLIENTS_CHURN[[#This Row],[Facture_Mensuelle]]*CLIENTS_CHURN[[#This Row],[Remise (%)]]</f>
        <v>0</v>
      </c>
      <c r="K701">
        <f>IF(CLIENTS_CHURN[[#This Row],[Duree_Cumulee_Panne_Min]]&gt;0,1,0)</f>
        <v>1</v>
      </c>
      <c r="L701" t="str">
        <f>IF(CLIENTS_CHURN[[#This Row],[Type_Forfait]]="Pro Monde","B2B","B2C")</f>
        <v>B2C</v>
      </c>
    </row>
    <row r="702" spans="1:12" x14ac:dyDescent="0.25">
      <c r="A702" s="1">
        <f t="shared" si="10"/>
        <v>701</v>
      </c>
      <c r="B702" s="1" t="s">
        <v>460</v>
      </c>
      <c r="C702" s="1" t="s">
        <v>49</v>
      </c>
      <c r="D702" s="1">
        <v>61</v>
      </c>
      <c r="E702" s="1" t="s">
        <v>12</v>
      </c>
      <c r="F702" s="1">
        <v>362</v>
      </c>
      <c r="G702" s="9">
        <v>75.03</v>
      </c>
      <c r="H702" s="1">
        <v>0</v>
      </c>
      <c r="I70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02" s="9">
        <f>CLIENTS_CHURN[[#This Row],[Facture_Mensuelle]]*CLIENTS_CHURN[[#This Row],[Remise (%)]]</f>
        <v>33.763500000000001</v>
      </c>
      <c r="K702">
        <f>IF(CLIENTS_CHURN[[#This Row],[Duree_Cumulee_Panne_Min]]&gt;0,1,0)</f>
        <v>1</v>
      </c>
      <c r="L702" t="str">
        <f>IF(CLIENTS_CHURN[[#This Row],[Type_Forfait]]="Pro Monde","B2B","B2C")</f>
        <v>B2B</v>
      </c>
    </row>
    <row r="703" spans="1:12" x14ac:dyDescent="0.25">
      <c r="A703" s="1">
        <f t="shared" si="10"/>
        <v>702</v>
      </c>
      <c r="B703" s="1" t="s">
        <v>683</v>
      </c>
      <c r="C703" s="1" t="s">
        <v>62</v>
      </c>
      <c r="D703" s="1">
        <v>17</v>
      </c>
      <c r="E703" s="1" t="s">
        <v>12</v>
      </c>
      <c r="F703" s="1">
        <v>206</v>
      </c>
      <c r="G703" s="9">
        <v>63.46</v>
      </c>
      <c r="H703" s="1">
        <v>3</v>
      </c>
      <c r="I70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03" s="9">
        <f>CLIENTS_CHURN[[#This Row],[Facture_Mensuelle]]*CLIENTS_CHURN[[#This Row],[Remise (%)]]</f>
        <v>6.3460000000000001</v>
      </c>
      <c r="K703">
        <f>IF(CLIENTS_CHURN[[#This Row],[Duree_Cumulee_Panne_Min]]&gt;0,1,0)</f>
        <v>1</v>
      </c>
      <c r="L703" t="str">
        <f>IF(CLIENTS_CHURN[[#This Row],[Type_Forfait]]="Pro Monde","B2B","B2C")</f>
        <v>B2B</v>
      </c>
    </row>
    <row r="704" spans="1:12" x14ac:dyDescent="0.25">
      <c r="A704" s="1">
        <f t="shared" si="10"/>
        <v>703</v>
      </c>
      <c r="B704" s="1" t="s">
        <v>363</v>
      </c>
      <c r="C704" s="1" t="s">
        <v>55</v>
      </c>
      <c r="D704" s="1">
        <v>19</v>
      </c>
      <c r="E704" s="1" t="s">
        <v>17</v>
      </c>
      <c r="F704" s="1">
        <v>125</v>
      </c>
      <c r="G704" s="9">
        <v>11.78</v>
      </c>
      <c r="H704" s="1">
        <v>4</v>
      </c>
      <c r="I70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04" s="9">
        <f>CLIENTS_CHURN[[#This Row],[Facture_Mensuelle]]*CLIENTS_CHURN[[#This Row],[Remise (%)]]</f>
        <v>0</v>
      </c>
      <c r="K704">
        <f>IF(CLIENTS_CHURN[[#This Row],[Duree_Cumulee_Panne_Min]]&gt;0,1,0)</f>
        <v>1</v>
      </c>
      <c r="L704" t="str">
        <f>IF(CLIENTS_CHURN[[#This Row],[Type_Forfait]]="Pro Monde","B2B","B2C")</f>
        <v>B2C</v>
      </c>
    </row>
    <row r="705" spans="1:12" x14ac:dyDescent="0.25">
      <c r="A705" s="1">
        <f t="shared" si="10"/>
        <v>704</v>
      </c>
      <c r="B705" s="1" t="s">
        <v>416</v>
      </c>
      <c r="C705" s="1" t="s">
        <v>27</v>
      </c>
      <c r="D705" s="1">
        <v>13</v>
      </c>
      <c r="E705" s="1" t="s">
        <v>17</v>
      </c>
      <c r="F705" s="1">
        <v>180</v>
      </c>
      <c r="G705" s="9">
        <v>24.01</v>
      </c>
      <c r="H705" s="1">
        <v>0</v>
      </c>
      <c r="I70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05" s="9">
        <f>CLIENTS_CHURN[[#This Row],[Facture_Mensuelle]]*CLIENTS_CHURN[[#This Row],[Remise (%)]]</f>
        <v>0</v>
      </c>
      <c r="K705">
        <f>IF(CLIENTS_CHURN[[#This Row],[Duree_Cumulee_Panne_Min]]&gt;0,1,0)</f>
        <v>1</v>
      </c>
      <c r="L705" t="str">
        <f>IF(CLIENTS_CHURN[[#This Row],[Type_Forfait]]="Pro Monde","B2B","B2C")</f>
        <v>B2C</v>
      </c>
    </row>
    <row r="706" spans="1:12" x14ac:dyDescent="0.25">
      <c r="A706" s="1">
        <f t="shared" si="10"/>
        <v>705</v>
      </c>
      <c r="B706" s="1" t="s">
        <v>319</v>
      </c>
      <c r="C706" s="1" t="s">
        <v>38</v>
      </c>
      <c r="D706" s="1">
        <v>90</v>
      </c>
      <c r="E706" s="1" t="s">
        <v>12</v>
      </c>
      <c r="F706" s="1">
        <v>299</v>
      </c>
      <c r="G706" s="9">
        <v>71.760000000000005</v>
      </c>
      <c r="H706" s="1">
        <v>1</v>
      </c>
      <c r="I70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06" s="9">
        <f>CLIENTS_CHURN[[#This Row],[Facture_Mensuelle]]*CLIENTS_CHURN[[#This Row],[Remise (%)]]</f>
        <v>32.292000000000002</v>
      </c>
      <c r="K706">
        <f>IF(CLIENTS_CHURN[[#This Row],[Duree_Cumulee_Panne_Min]]&gt;0,1,0)</f>
        <v>1</v>
      </c>
      <c r="L706" t="str">
        <f>IF(CLIENTS_CHURN[[#This Row],[Type_Forfait]]="Pro Monde","B2B","B2C")</f>
        <v>B2B</v>
      </c>
    </row>
    <row r="707" spans="1:12" x14ac:dyDescent="0.25">
      <c r="A707" s="1">
        <f t="shared" si="10"/>
        <v>706</v>
      </c>
      <c r="B707" s="1" t="s">
        <v>175</v>
      </c>
      <c r="C707" s="1" t="s">
        <v>42</v>
      </c>
      <c r="D707" s="1">
        <v>41</v>
      </c>
      <c r="E707" s="1" t="s">
        <v>9</v>
      </c>
      <c r="F707" s="1">
        <v>64</v>
      </c>
      <c r="G707" s="9">
        <v>91.95</v>
      </c>
      <c r="H707" s="1">
        <v>1</v>
      </c>
      <c r="I70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07" s="9">
        <f>CLIENTS_CHURN[[#This Row],[Facture_Mensuelle]]*CLIENTS_CHURN[[#This Row],[Remise (%)]]</f>
        <v>0</v>
      </c>
      <c r="K707">
        <f>IF(CLIENTS_CHURN[[#This Row],[Duree_Cumulee_Panne_Min]]&gt;0,1,0)</f>
        <v>1</v>
      </c>
      <c r="L707" t="str">
        <f>IF(CLIENTS_CHURN[[#This Row],[Type_Forfait]]="Pro Monde","B2B","B2C")</f>
        <v>B2C</v>
      </c>
    </row>
    <row r="708" spans="1:12" x14ac:dyDescent="0.25">
      <c r="A708" s="1">
        <f t="shared" ref="A708:A751" si="11">A707+1</f>
        <v>707</v>
      </c>
      <c r="B708" s="1" t="s">
        <v>765</v>
      </c>
      <c r="C708" s="1" t="s">
        <v>62</v>
      </c>
      <c r="D708" s="1">
        <v>74</v>
      </c>
      <c r="E708" s="1" t="s">
        <v>20</v>
      </c>
      <c r="F708" s="1">
        <v>359</v>
      </c>
      <c r="G708" s="9">
        <v>92.63</v>
      </c>
      <c r="H708" s="1">
        <v>0</v>
      </c>
      <c r="I70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08" s="9">
        <f>CLIENTS_CHURN[[#This Row],[Facture_Mensuelle]]*CLIENTS_CHURN[[#This Row],[Remise (%)]]</f>
        <v>41.683500000000002</v>
      </c>
      <c r="K708">
        <f>IF(CLIENTS_CHURN[[#This Row],[Duree_Cumulee_Panne_Min]]&gt;0,1,0)</f>
        <v>1</v>
      </c>
      <c r="L708" t="str">
        <f>IF(CLIENTS_CHURN[[#This Row],[Type_Forfait]]="Pro Monde","B2B","B2C")</f>
        <v>B2C</v>
      </c>
    </row>
    <row r="709" spans="1:12" x14ac:dyDescent="0.25">
      <c r="A709" s="1">
        <f t="shared" si="11"/>
        <v>708</v>
      </c>
      <c r="B709" s="1" t="s">
        <v>202</v>
      </c>
      <c r="C709" s="1" t="s">
        <v>29</v>
      </c>
      <c r="D709" s="1">
        <v>62</v>
      </c>
      <c r="E709" s="1" t="s">
        <v>9</v>
      </c>
      <c r="F709" s="1">
        <v>116</v>
      </c>
      <c r="G709" s="9">
        <v>92.99</v>
      </c>
      <c r="H709" s="1">
        <v>5</v>
      </c>
      <c r="I70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09" s="9">
        <f>CLIENTS_CHURN[[#This Row],[Facture_Mensuelle]]*CLIENTS_CHURN[[#This Row],[Remise (%)]]</f>
        <v>0</v>
      </c>
      <c r="K709">
        <f>IF(CLIENTS_CHURN[[#This Row],[Duree_Cumulee_Panne_Min]]&gt;0,1,0)</f>
        <v>1</v>
      </c>
      <c r="L709" t="str">
        <f>IF(CLIENTS_CHURN[[#This Row],[Type_Forfait]]="Pro Monde","B2B","B2C")</f>
        <v>B2C</v>
      </c>
    </row>
    <row r="710" spans="1:12" x14ac:dyDescent="0.25">
      <c r="A710" s="1">
        <f t="shared" si="11"/>
        <v>709</v>
      </c>
      <c r="B710" s="1" t="s">
        <v>504</v>
      </c>
      <c r="C710" s="1" t="s">
        <v>62</v>
      </c>
      <c r="D710" s="1">
        <v>118</v>
      </c>
      <c r="E710" s="1" t="s">
        <v>12</v>
      </c>
      <c r="F710" s="1">
        <v>80</v>
      </c>
      <c r="G710" s="9">
        <v>97.58</v>
      </c>
      <c r="H710" s="1">
        <v>3</v>
      </c>
      <c r="I71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10" s="9">
        <f>CLIENTS_CHURN[[#This Row],[Facture_Mensuelle]]*CLIENTS_CHURN[[#This Row],[Remise (%)]]</f>
        <v>9.7580000000000009</v>
      </c>
      <c r="K710">
        <f>IF(CLIENTS_CHURN[[#This Row],[Duree_Cumulee_Panne_Min]]&gt;0,1,0)</f>
        <v>1</v>
      </c>
      <c r="L710" t="str">
        <f>IF(CLIENTS_CHURN[[#This Row],[Type_Forfait]]="Pro Monde","B2B","B2C")</f>
        <v>B2B</v>
      </c>
    </row>
    <row r="711" spans="1:12" x14ac:dyDescent="0.25">
      <c r="A711" s="1">
        <f t="shared" si="11"/>
        <v>710</v>
      </c>
      <c r="B711" s="1" t="s">
        <v>344</v>
      </c>
      <c r="C711" s="1" t="s">
        <v>55</v>
      </c>
      <c r="D711" s="1">
        <v>99</v>
      </c>
      <c r="E711" s="1" t="s">
        <v>17</v>
      </c>
      <c r="F711" s="1">
        <v>28</v>
      </c>
      <c r="G711" s="9">
        <v>70.19</v>
      </c>
      <c r="H711" s="1">
        <v>1</v>
      </c>
      <c r="I71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11" s="9">
        <f>CLIENTS_CHURN[[#This Row],[Facture_Mensuelle]]*CLIENTS_CHURN[[#This Row],[Remise (%)]]</f>
        <v>0</v>
      </c>
      <c r="K711">
        <f>IF(CLIENTS_CHURN[[#This Row],[Duree_Cumulee_Panne_Min]]&gt;0,1,0)</f>
        <v>1</v>
      </c>
      <c r="L711" t="str">
        <f>IF(CLIENTS_CHURN[[#This Row],[Type_Forfait]]="Pro Monde","B2B","B2C")</f>
        <v>B2C</v>
      </c>
    </row>
    <row r="712" spans="1:12" x14ac:dyDescent="0.25">
      <c r="A712" s="1">
        <f t="shared" si="11"/>
        <v>711</v>
      </c>
      <c r="B712" s="1" t="s">
        <v>96</v>
      </c>
      <c r="C712" s="1" t="s">
        <v>33</v>
      </c>
      <c r="D712" s="1">
        <v>80</v>
      </c>
      <c r="E712" s="1" t="s">
        <v>9</v>
      </c>
      <c r="F712" s="1">
        <v>121</v>
      </c>
      <c r="G712" s="9">
        <v>83.14</v>
      </c>
      <c r="H712" s="1">
        <v>5</v>
      </c>
      <c r="I71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12" s="9">
        <f>CLIENTS_CHURN[[#This Row],[Facture_Mensuelle]]*CLIENTS_CHURN[[#This Row],[Remise (%)]]</f>
        <v>0</v>
      </c>
      <c r="K712">
        <f>IF(CLIENTS_CHURN[[#This Row],[Duree_Cumulee_Panne_Min]]&gt;0,1,0)</f>
        <v>1</v>
      </c>
      <c r="L712" t="str">
        <f>IF(CLIENTS_CHURN[[#This Row],[Type_Forfait]]="Pro Monde","B2B","B2C")</f>
        <v>B2C</v>
      </c>
    </row>
    <row r="713" spans="1:12" x14ac:dyDescent="0.25">
      <c r="A713" s="1">
        <f t="shared" si="11"/>
        <v>712</v>
      </c>
      <c r="B713" s="1" t="s">
        <v>89</v>
      </c>
      <c r="C713" s="1" t="s">
        <v>71</v>
      </c>
      <c r="D713" s="1">
        <v>58</v>
      </c>
      <c r="E713" s="1" t="s">
        <v>20</v>
      </c>
      <c r="F713" s="1">
        <v>61</v>
      </c>
      <c r="G713" s="9">
        <v>58.64</v>
      </c>
      <c r="H713" s="1">
        <v>3</v>
      </c>
      <c r="I71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13" s="9">
        <f>CLIENTS_CHURN[[#This Row],[Facture_Mensuelle]]*CLIENTS_CHURN[[#This Row],[Remise (%)]]</f>
        <v>0</v>
      </c>
      <c r="K713">
        <f>IF(CLIENTS_CHURN[[#This Row],[Duree_Cumulee_Panne_Min]]&gt;0,1,0)</f>
        <v>1</v>
      </c>
      <c r="L713" t="str">
        <f>IF(CLIENTS_CHURN[[#This Row],[Type_Forfait]]="Pro Monde","B2B","B2C")</f>
        <v>B2C</v>
      </c>
    </row>
    <row r="714" spans="1:12" x14ac:dyDescent="0.25">
      <c r="A714" s="1">
        <f t="shared" si="11"/>
        <v>713</v>
      </c>
      <c r="B714" s="1" t="s">
        <v>117</v>
      </c>
      <c r="C714" s="1" t="s">
        <v>60</v>
      </c>
      <c r="D714" s="1">
        <v>4</v>
      </c>
      <c r="E714" s="1" t="s">
        <v>17</v>
      </c>
      <c r="F714" s="1">
        <v>453</v>
      </c>
      <c r="G714" s="9">
        <v>75.260000000000005</v>
      </c>
      <c r="H714" s="1">
        <v>5</v>
      </c>
      <c r="I71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14" s="9">
        <f>CLIENTS_CHURN[[#This Row],[Facture_Mensuelle]]*CLIENTS_CHURN[[#This Row],[Remise (%)]]</f>
        <v>33.867000000000004</v>
      </c>
      <c r="K714">
        <f>IF(CLIENTS_CHURN[[#This Row],[Duree_Cumulee_Panne_Min]]&gt;0,1,0)</f>
        <v>1</v>
      </c>
      <c r="L714" t="str">
        <f>IF(CLIENTS_CHURN[[#This Row],[Type_Forfait]]="Pro Monde","B2B","B2C")</f>
        <v>B2C</v>
      </c>
    </row>
    <row r="715" spans="1:12" x14ac:dyDescent="0.25">
      <c r="A715" s="1">
        <f t="shared" si="11"/>
        <v>714</v>
      </c>
      <c r="B715" s="1" t="s">
        <v>383</v>
      </c>
      <c r="C715" s="1" t="s">
        <v>16</v>
      </c>
      <c r="D715" s="1">
        <v>41</v>
      </c>
      <c r="E715" s="1" t="s">
        <v>17</v>
      </c>
      <c r="F715" s="1">
        <v>398</v>
      </c>
      <c r="G715" s="9">
        <v>28.56</v>
      </c>
      <c r="H715" s="1">
        <v>2</v>
      </c>
      <c r="I71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15" s="9">
        <f>CLIENTS_CHURN[[#This Row],[Facture_Mensuelle]]*CLIENTS_CHURN[[#This Row],[Remise (%)]]</f>
        <v>12.852</v>
      </c>
      <c r="K715">
        <f>IF(CLIENTS_CHURN[[#This Row],[Duree_Cumulee_Panne_Min]]&gt;0,1,0)</f>
        <v>1</v>
      </c>
      <c r="L715" t="str">
        <f>IF(CLIENTS_CHURN[[#This Row],[Type_Forfait]]="Pro Monde","B2B","B2C")</f>
        <v>B2C</v>
      </c>
    </row>
    <row r="716" spans="1:12" x14ac:dyDescent="0.25">
      <c r="A716" s="1">
        <f t="shared" si="11"/>
        <v>715</v>
      </c>
      <c r="B716" s="1" t="s">
        <v>400</v>
      </c>
      <c r="C716" s="1" t="s">
        <v>31</v>
      </c>
      <c r="D716" s="1">
        <v>49</v>
      </c>
      <c r="E716" s="1" t="s">
        <v>12</v>
      </c>
      <c r="F716" s="1">
        <v>229</v>
      </c>
      <c r="G716" s="9">
        <v>53.94</v>
      </c>
      <c r="H716" s="1">
        <v>5</v>
      </c>
      <c r="I71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16" s="9">
        <f>CLIENTS_CHURN[[#This Row],[Facture_Mensuelle]]*CLIENTS_CHURN[[#This Row],[Remise (%)]]</f>
        <v>5.3940000000000001</v>
      </c>
      <c r="K716">
        <f>IF(CLIENTS_CHURN[[#This Row],[Duree_Cumulee_Panne_Min]]&gt;0,1,0)</f>
        <v>1</v>
      </c>
      <c r="L716" t="str">
        <f>IF(CLIENTS_CHURN[[#This Row],[Type_Forfait]]="Pro Monde","B2B","B2C")</f>
        <v>B2B</v>
      </c>
    </row>
    <row r="717" spans="1:12" x14ac:dyDescent="0.25">
      <c r="A717" s="1">
        <f t="shared" si="11"/>
        <v>716</v>
      </c>
      <c r="B717" s="1" t="s">
        <v>216</v>
      </c>
      <c r="C717" s="1" t="s">
        <v>55</v>
      </c>
      <c r="D717" s="1">
        <v>29</v>
      </c>
      <c r="E717" s="1" t="s">
        <v>20</v>
      </c>
      <c r="F717" s="1">
        <v>416</v>
      </c>
      <c r="G717" s="9">
        <v>61.26</v>
      </c>
      <c r="H717" s="1">
        <v>0</v>
      </c>
      <c r="I71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17" s="9">
        <f>CLIENTS_CHURN[[#This Row],[Facture_Mensuelle]]*CLIENTS_CHURN[[#This Row],[Remise (%)]]</f>
        <v>27.567</v>
      </c>
      <c r="K717">
        <f>IF(CLIENTS_CHURN[[#This Row],[Duree_Cumulee_Panne_Min]]&gt;0,1,0)</f>
        <v>1</v>
      </c>
      <c r="L717" t="str">
        <f>IF(CLIENTS_CHURN[[#This Row],[Type_Forfait]]="Pro Monde","B2B","B2C")</f>
        <v>B2C</v>
      </c>
    </row>
    <row r="718" spans="1:12" x14ac:dyDescent="0.25">
      <c r="A718" s="1">
        <f t="shared" si="11"/>
        <v>717</v>
      </c>
      <c r="B718" s="1" t="s">
        <v>532</v>
      </c>
      <c r="C718" s="1" t="s">
        <v>29</v>
      </c>
      <c r="D718" s="1">
        <v>9</v>
      </c>
      <c r="E718" s="1" t="s">
        <v>20</v>
      </c>
      <c r="F718" s="1">
        <v>227</v>
      </c>
      <c r="G718" s="9">
        <v>63.74</v>
      </c>
      <c r="H718" s="1">
        <v>3</v>
      </c>
      <c r="I71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18" s="9">
        <f>CLIENTS_CHURN[[#This Row],[Facture_Mensuelle]]*CLIENTS_CHURN[[#This Row],[Remise (%)]]</f>
        <v>0</v>
      </c>
      <c r="K718">
        <f>IF(CLIENTS_CHURN[[#This Row],[Duree_Cumulee_Panne_Min]]&gt;0,1,0)</f>
        <v>1</v>
      </c>
      <c r="L718" t="str">
        <f>IF(CLIENTS_CHURN[[#This Row],[Type_Forfait]]="Pro Monde","B2B","B2C")</f>
        <v>B2C</v>
      </c>
    </row>
    <row r="719" spans="1:12" x14ac:dyDescent="0.25">
      <c r="A719" s="1">
        <f t="shared" si="11"/>
        <v>718</v>
      </c>
      <c r="B719" s="1" t="s">
        <v>431</v>
      </c>
      <c r="C719" s="1" t="s">
        <v>11</v>
      </c>
      <c r="D719" s="1">
        <v>97</v>
      </c>
      <c r="E719" s="1" t="s">
        <v>12</v>
      </c>
      <c r="F719" s="1">
        <v>276</v>
      </c>
      <c r="G719" s="9">
        <v>88.35</v>
      </c>
      <c r="H719" s="1">
        <v>0</v>
      </c>
      <c r="I71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19" s="9">
        <f>CLIENTS_CHURN[[#This Row],[Facture_Mensuelle]]*CLIENTS_CHURN[[#This Row],[Remise (%)]]</f>
        <v>39.7575</v>
      </c>
      <c r="K719">
        <f>IF(CLIENTS_CHURN[[#This Row],[Duree_Cumulee_Panne_Min]]&gt;0,1,0)</f>
        <v>1</v>
      </c>
      <c r="L719" t="str">
        <f>IF(CLIENTS_CHURN[[#This Row],[Type_Forfait]]="Pro Monde","B2B","B2C")</f>
        <v>B2B</v>
      </c>
    </row>
    <row r="720" spans="1:12" x14ac:dyDescent="0.25">
      <c r="A720" s="1">
        <f t="shared" si="11"/>
        <v>719</v>
      </c>
      <c r="B720" s="1" t="s">
        <v>327</v>
      </c>
      <c r="C720" s="1" t="s">
        <v>62</v>
      </c>
      <c r="D720" s="1">
        <v>32</v>
      </c>
      <c r="E720" s="1" t="s">
        <v>20</v>
      </c>
      <c r="F720" s="1">
        <v>31</v>
      </c>
      <c r="G720" s="9">
        <v>67.040000000000006</v>
      </c>
      <c r="H720" s="1">
        <v>1</v>
      </c>
      <c r="I72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20" s="9">
        <f>CLIENTS_CHURN[[#This Row],[Facture_Mensuelle]]*CLIENTS_CHURN[[#This Row],[Remise (%)]]</f>
        <v>0</v>
      </c>
      <c r="K720">
        <f>IF(CLIENTS_CHURN[[#This Row],[Duree_Cumulee_Panne_Min]]&gt;0,1,0)</f>
        <v>1</v>
      </c>
      <c r="L720" t="str">
        <f>IF(CLIENTS_CHURN[[#This Row],[Type_Forfait]]="Pro Monde","B2B","B2C")</f>
        <v>B2C</v>
      </c>
    </row>
    <row r="721" spans="1:12" x14ac:dyDescent="0.25">
      <c r="A721" s="1">
        <f t="shared" si="11"/>
        <v>720</v>
      </c>
      <c r="B721" s="1" t="s">
        <v>347</v>
      </c>
      <c r="C721" s="1" t="s">
        <v>29</v>
      </c>
      <c r="D721" s="1">
        <v>87</v>
      </c>
      <c r="E721" s="1" t="s">
        <v>20</v>
      </c>
      <c r="F721" s="1">
        <v>498</v>
      </c>
      <c r="G721" s="9">
        <v>61.57</v>
      </c>
      <c r="H721" s="1">
        <v>0</v>
      </c>
      <c r="I72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1" s="9">
        <f>CLIENTS_CHURN[[#This Row],[Facture_Mensuelle]]*CLIENTS_CHURN[[#This Row],[Remise (%)]]</f>
        <v>27.706500000000002</v>
      </c>
      <c r="K721">
        <f>IF(CLIENTS_CHURN[[#This Row],[Duree_Cumulee_Panne_Min]]&gt;0,1,0)</f>
        <v>1</v>
      </c>
      <c r="L721" t="str">
        <f>IF(CLIENTS_CHURN[[#This Row],[Type_Forfait]]="Pro Monde","B2B","B2C")</f>
        <v>B2C</v>
      </c>
    </row>
    <row r="722" spans="1:12" x14ac:dyDescent="0.25">
      <c r="A722" s="1">
        <f t="shared" si="11"/>
        <v>721</v>
      </c>
      <c r="B722" s="1" t="s">
        <v>78</v>
      </c>
      <c r="C722" s="1" t="s">
        <v>49</v>
      </c>
      <c r="D722" s="1">
        <v>112</v>
      </c>
      <c r="E722" s="1" t="s">
        <v>12</v>
      </c>
      <c r="F722" s="1">
        <v>18</v>
      </c>
      <c r="G722" s="9">
        <v>27.33</v>
      </c>
      <c r="H722" s="1">
        <v>5</v>
      </c>
      <c r="I72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22" s="9">
        <f>CLIENTS_CHURN[[#This Row],[Facture_Mensuelle]]*CLIENTS_CHURN[[#This Row],[Remise (%)]]</f>
        <v>2.7330000000000001</v>
      </c>
      <c r="K722">
        <f>IF(CLIENTS_CHURN[[#This Row],[Duree_Cumulee_Panne_Min]]&gt;0,1,0)</f>
        <v>1</v>
      </c>
      <c r="L722" t="str">
        <f>IF(CLIENTS_CHURN[[#This Row],[Type_Forfait]]="Pro Monde","B2B","B2C")</f>
        <v>B2B</v>
      </c>
    </row>
    <row r="723" spans="1:12" x14ac:dyDescent="0.25">
      <c r="A723" s="1">
        <f t="shared" si="11"/>
        <v>722</v>
      </c>
      <c r="B723" s="1" t="s">
        <v>190</v>
      </c>
      <c r="C723" s="1" t="s">
        <v>38</v>
      </c>
      <c r="D723" s="1">
        <v>97</v>
      </c>
      <c r="E723" s="1" t="s">
        <v>9</v>
      </c>
      <c r="F723" s="1">
        <v>296</v>
      </c>
      <c r="G723" s="9">
        <v>10.87</v>
      </c>
      <c r="H723" s="1">
        <v>4</v>
      </c>
      <c r="I72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3" s="9">
        <f>CLIENTS_CHURN[[#This Row],[Facture_Mensuelle]]*CLIENTS_CHURN[[#This Row],[Remise (%)]]</f>
        <v>4.8914999999999997</v>
      </c>
      <c r="K723">
        <f>IF(CLIENTS_CHURN[[#This Row],[Duree_Cumulee_Panne_Min]]&gt;0,1,0)</f>
        <v>1</v>
      </c>
      <c r="L723" t="str">
        <f>IF(CLIENTS_CHURN[[#This Row],[Type_Forfait]]="Pro Monde","B2B","B2C")</f>
        <v>B2C</v>
      </c>
    </row>
    <row r="724" spans="1:12" x14ac:dyDescent="0.25">
      <c r="A724" s="1">
        <f t="shared" si="11"/>
        <v>723</v>
      </c>
      <c r="B724" s="1" t="s">
        <v>356</v>
      </c>
      <c r="C724" s="1" t="s">
        <v>128</v>
      </c>
      <c r="D724" s="1">
        <v>14</v>
      </c>
      <c r="E724" s="1" t="s">
        <v>12</v>
      </c>
      <c r="F724" s="1">
        <v>303</v>
      </c>
      <c r="G724" s="9">
        <v>61.43</v>
      </c>
      <c r="H724" s="1">
        <v>1</v>
      </c>
      <c r="I72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4" s="9">
        <f>CLIENTS_CHURN[[#This Row],[Facture_Mensuelle]]*CLIENTS_CHURN[[#This Row],[Remise (%)]]</f>
        <v>27.6435</v>
      </c>
      <c r="K724">
        <f>IF(CLIENTS_CHURN[[#This Row],[Duree_Cumulee_Panne_Min]]&gt;0,1,0)</f>
        <v>1</v>
      </c>
      <c r="L724" t="str">
        <f>IF(CLIENTS_CHURN[[#This Row],[Type_Forfait]]="Pro Monde","B2B","B2C")</f>
        <v>B2B</v>
      </c>
    </row>
    <row r="725" spans="1:12" x14ac:dyDescent="0.25">
      <c r="A725" s="1">
        <f t="shared" si="11"/>
        <v>724</v>
      </c>
      <c r="B725" s="1" t="s">
        <v>414</v>
      </c>
      <c r="C725" s="1" t="s">
        <v>71</v>
      </c>
      <c r="D725" s="1">
        <v>104</v>
      </c>
      <c r="E725" s="1" t="s">
        <v>9</v>
      </c>
      <c r="F725" s="1">
        <v>68</v>
      </c>
      <c r="G725" s="9">
        <v>21.15</v>
      </c>
      <c r="H725" s="1">
        <v>2</v>
      </c>
      <c r="I72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25" s="9">
        <f>CLIENTS_CHURN[[#This Row],[Facture_Mensuelle]]*CLIENTS_CHURN[[#This Row],[Remise (%)]]</f>
        <v>0</v>
      </c>
      <c r="K725">
        <f>IF(CLIENTS_CHURN[[#This Row],[Duree_Cumulee_Panne_Min]]&gt;0,1,0)</f>
        <v>1</v>
      </c>
      <c r="L725" t="str">
        <f>IF(CLIENTS_CHURN[[#This Row],[Type_Forfait]]="Pro Monde","B2B","B2C")</f>
        <v>B2C</v>
      </c>
    </row>
    <row r="726" spans="1:12" x14ac:dyDescent="0.25">
      <c r="A726" s="1">
        <f t="shared" si="11"/>
        <v>725</v>
      </c>
      <c r="B726" s="1" t="s">
        <v>699</v>
      </c>
      <c r="C726" s="1" t="s">
        <v>14</v>
      </c>
      <c r="D726" s="1">
        <v>38</v>
      </c>
      <c r="E726" s="1" t="s">
        <v>9</v>
      </c>
      <c r="F726" s="1">
        <v>432</v>
      </c>
      <c r="G726" s="9">
        <v>53.65</v>
      </c>
      <c r="H726" s="1">
        <v>4</v>
      </c>
      <c r="I72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6" s="9">
        <f>CLIENTS_CHURN[[#This Row],[Facture_Mensuelle]]*CLIENTS_CHURN[[#This Row],[Remise (%)]]</f>
        <v>24.142499999999998</v>
      </c>
      <c r="K726">
        <f>IF(CLIENTS_CHURN[[#This Row],[Duree_Cumulee_Panne_Min]]&gt;0,1,0)</f>
        <v>1</v>
      </c>
      <c r="L726" t="str">
        <f>IF(CLIENTS_CHURN[[#This Row],[Type_Forfait]]="Pro Monde","B2B","B2C")</f>
        <v>B2C</v>
      </c>
    </row>
    <row r="727" spans="1:12" x14ac:dyDescent="0.25">
      <c r="A727" s="1">
        <f t="shared" si="11"/>
        <v>726</v>
      </c>
      <c r="B727" s="1" t="s">
        <v>116</v>
      </c>
      <c r="C727" s="1" t="s">
        <v>38</v>
      </c>
      <c r="D727" s="1">
        <v>91</v>
      </c>
      <c r="E727" s="1" t="s">
        <v>9</v>
      </c>
      <c r="F727" s="1">
        <v>467</v>
      </c>
      <c r="G727" s="9">
        <v>84.74</v>
      </c>
      <c r="H727" s="1">
        <v>1</v>
      </c>
      <c r="I72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7" s="9">
        <f>CLIENTS_CHURN[[#This Row],[Facture_Mensuelle]]*CLIENTS_CHURN[[#This Row],[Remise (%)]]</f>
        <v>38.132999999999996</v>
      </c>
      <c r="K727">
        <f>IF(CLIENTS_CHURN[[#This Row],[Duree_Cumulee_Panne_Min]]&gt;0,1,0)</f>
        <v>1</v>
      </c>
      <c r="L727" t="str">
        <f>IF(CLIENTS_CHURN[[#This Row],[Type_Forfait]]="Pro Monde","B2B","B2C")</f>
        <v>B2C</v>
      </c>
    </row>
    <row r="728" spans="1:12" x14ac:dyDescent="0.25">
      <c r="A728" s="1">
        <f t="shared" si="11"/>
        <v>727</v>
      </c>
      <c r="B728" s="1" t="s">
        <v>67</v>
      </c>
      <c r="C728" s="1" t="s">
        <v>11</v>
      </c>
      <c r="D728" s="1">
        <v>14</v>
      </c>
      <c r="E728" s="1" t="s">
        <v>17</v>
      </c>
      <c r="F728" s="1">
        <v>415</v>
      </c>
      <c r="G728" s="9">
        <v>36.93</v>
      </c>
      <c r="H728" s="1">
        <v>5</v>
      </c>
      <c r="I72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8" s="9">
        <f>CLIENTS_CHURN[[#This Row],[Facture_Mensuelle]]*CLIENTS_CHURN[[#This Row],[Remise (%)]]</f>
        <v>16.618500000000001</v>
      </c>
      <c r="K728">
        <f>IF(CLIENTS_CHURN[[#This Row],[Duree_Cumulee_Panne_Min]]&gt;0,1,0)</f>
        <v>1</v>
      </c>
      <c r="L728" t="str">
        <f>IF(CLIENTS_CHURN[[#This Row],[Type_Forfait]]="Pro Monde","B2B","B2C")</f>
        <v>B2C</v>
      </c>
    </row>
    <row r="729" spans="1:12" x14ac:dyDescent="0.25">
      <c r="A729" s="1">
        <f t="shared" si="11"/>
        <v>728</v>
      </c>
      <c r="B729" s="1" t="s">
        <v>454</v>
      </c>
      <c r="C729" s="1" t="s">
        <v>31</v>
      </c>
      <c r="D729" s="1">
        <v>7</v>
      </c>
      <c r="E729" s="1" t="s">
        <v>12</v>
      </c>
      <c r="F729" s="1">
        <v>268</v>
      </c>
      <c r="G729" s="9">
        <v>33.04</v>
      </c>
      <c r="H729" s="1">
        <v>5</v>
      </c>
      <c r="I72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29" s="9">
        <f>CLIENTS_CHURN[[#This Row],[Facture_Mensuelle]]*CLIENTS_CHURN[[#This Row],[Remise (%)]]</f>
        <v>14.868</v>
      </c>
      <c r="K729">
        <f>IF(CLIENTS_CHURN[[#This Row],[Duree_Cumulee_Panne_Min]]&gt;0,1,0)</f>
        <v>1</v>
      </c>
      <c r="L729" t="str">
        <f>IF(CLIENTS_CHURN[[#This Row],[Type_Forfait]]="Pro Monde","B2B","B2C")</f>
        <v>B2B</v>
      </c>
    </row>
    <row r="730" spans="1:12" x14ac:dyDescent="0.25">
      <c r="A730" s="1">
        <f t="shared" si="11"/>
        <v>729</v>
      </c>
      <c r="B730" s="1" t="s">
        <v>167</v>
      </c>
      <c r="C730" s="1" t="s">
        <v>29</v>
      </c>
      <c r="D730" s="1">
        <v>93</v>
      </c>
      <c r="E730" s="1" t="s">
        <v>17</v>
      </c>
      <c r="F730" s="1">
        <v>365</v>
      </c>
      <c r="G730" s="9">
        <v>72.319999999999993</v>
      </c>
      <c r="H730" s="1">
        <v>1</v>
      </c>
      <c r="I73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0" s="9">
        <f>CLIENTS_CHURN[[#This Row],[Facture_Mensuelle]]*CLIENTS_CHURN[[#This Row],[Remise (%)]]</f>
        <v>32.543999999999997</v>
      </c>
      <c r="K730">
        <f>IF(CLIENTS_CHURN[[#This Row],[Duree_Cumulee_Panne_Min]]&gt;0,1,0)</f>
        <v>1</v>
      </c>
      <c r="L730" t="str">
        <f>IF(CLIENTS_CHURN[[#This Row],[Type_Forfait]]="Pro Monde","B2B","B2C")</f>
        <v>B2C</v>
      </c>
    </row>
    <row r="731" spans="1:12" x14ac:dyDescent="0.25">
      <c r="A731" s="1">
        <f t="shared" si="11"/>
        <v>730</v>
      </c>
      <c r="B731" s="1" t="s">
        <v>101</v>
      </c>
      <c r="C731" s="1" t="s">
        <v>42</v>
      </c>
      <c r="D731" s="1">
        <v>30</v>
      </c>
      <c r="E731" s="1" t="s">
        <v>9</v>
      </c>
      <c r="F731" s="1">
        <v>197</v>
      </c>
      <c r="G731" s="9">
        <v>15.42</v>
      </c>
      <c r="H731" s="1">
        <v>0</v>
      </c>
      <c r="I73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31" s="9">
        <f>CLIENTS_CHURN[[#This Row],[Facture_Mensuelle]]*CLIENTS_CHURN[[#This Row],[Remise (%)]]</f>
        <v>0</v>
      </c>
      <c r="K731">
        <f>IF(CLIENTS_CHURN[[#This Row],[Duree_Cumulee_Panne_Min]]&gt;0,1,0)</f>
        <v>1</v>
      </c>
      <c r="L731" t="str">
        <f>IF(CLIENTS_CHURN[[#This Row],[Type_Forfait]]="Pro Monde","B2B","B2C")</f>
        <v>B2C</v>
      </c>
    </row>
    <row r="732" spans="1:12" x14ac:dyDescent="0.25">
      <c r="A732" s="1">
        <f t="shared" si="11"/>
        <v>731</v>
      </c>
      <c r="B732" s="1" t="s">
        <v>761</v>
      </c>
      <c r="C732" s="1" t="s">
        <v>29</v>
      </c>
      <c r="D732" s="1">
        <v>58</v>
      </c>
      <c r="E732" s="1" t="s">
        <v>9</v>
      </c>
      <c r="F732" s="1">
        <v>485</v>
      </c>
      <c r="G732" s="9">
        <v>65.41</v>
      </c>
      <c r="H732" s="1">
        <v>5</v>
      </c>
      <c r="I73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2" s="9">
        <f>CLIENTS_CHURN[[#This Row],[Facture_Mensuelle]]*CLIENTS_CHURN[[#This Row],[Remise (%)]]</f>
        <v>29.4345</v>
      </c>
      <c r="K732">
        <f>IF(CLIENTS_CHURN[[#This Row],[Duree_Cumulee_Panne_Min]]&gt;0,1,0)</f>
        <v>1</v>
      </c>
      <c r="L732" t="str">
        <f>IF(CLIENTS_CHURN[[#This Row],[Type_Forfait]]="Pro Monde","B2B","B2C")</f>
        <v>B2C</v>
      </c>
    </row>
    <row r="733" spans="1:12" x14ac:dyDescent="0.25">
      <c r="A733" s="1">
        <f t="shared" si="11"/>
        <v>732</v>
      </c>
      <c r="B733" s="1" t="s">
        <v>181</v>
      </c>
      <c r="C733" s="1" t="s">
        <v>22</v>
      </c>
      <c r="D733" s="1">
        <v>113</v>
      </c>
      <c r="E733" s="1" t="s">
        <v>9</v>
      </c>
      <c r="F733" s="1">
        <v>246</v>
      </c>
      <c r="G733" s="9">
        <v>29.18</v>
      </c>
      <c r="H733" s="1">
        <v>2</v>
      </c>
      <c r="I73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3" s="9">
        <f>CLIENTS_CHURN[[#This Row],[Facture_Mensuelle]]*CLIENTS_CHURN[[#This Row],[Remise (%)]]</f>
        <v>13.131</v>
      </c>
      <c r="K733">
        <f>IF(CLIENTS_CHURN[[#This Row],[Duree_Cumulee_Panne_Min]]&gt;0,1,0)</f>
        <v>1</v>
      </c>
      <c r="L733" t="str">
        <f>IF(CLIENTS_CHURN[[#This Row],[Type_Forfait]]="Pro Monde","B2B","B2C")</f>
        <v>B2C</v>
      </c>
    </row>
    <row r="734" spans="1:12" x14ac:dyDescent="0.25">
      <c r="A734" s="1">
        <f t="shared" si="11"/>
        <v>733</v>
      </c>
      <c r="B734" s="1" t="s">
        <v>686</v>
      </c>
      <c r="C734" s="1" t="s">
        <v>62</v>
      </c>
      <c r="D734" s="1">
        <v>19</v>
      </c>
      <c r="E734" s="1" t="s">
        <v>17</v>
      </c>
      <c r="F734" s="1">
        <v>141</v>
      </c>
      <c r="G734" s="9">
        <v>53.95</v>
      </c>
      <c r="H734" s="1">
        <v>1</v>
      </c>
      <c r="I73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34" s="9">
        <f>CLIENTS_CHURN[[#This Row],[Facture_Mensuelle]]*CLIENTS_CHURN[[#This Row],[Remise (%)]]</f>
        <v>0</v>
      </c>
      <c r="K734">
        <f>IF(CLIENTS_CHURN[[#This Row],[Duree_Cumulee_Panne_Min]]&gt;0,1,0)</f>
        <v>1</v>
      </c>
      <c r="L734" t="str">
        <f>IF(CLIENTS_CHURN[[#This Row],[Type_Forfait]]="Pro Monde","B2B","B2C")</f>
        <v>B2C</v>
      </c>
    </row>
    <row r="735" spans="1:12" x14ac:dyDescent="0.25">
      <c r="A735" s="1">
        <f t="shared" si="11"/>
        <v>734</v>
      </c>
      <c r="B735" s="1" t="s">
        <v>257</v>
      </c>
      <c r="C735" s="1" t="s">
        <v>60</v>
      </c>
      <c r="D735" s="1">
        <v>33</v>
      </c>
      <c r="E735" s="1" t="s">
        <v>17</v>
      </c>
      <c r="F735" s="1">
        <v>332</v>
      </c>
      <c r="G735" s="9">
        <v>76.41</v>
      </c>
      <c r="H735" s="1">
        <v>1</v>
      </c>
      <c r="I73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5" s="9">
        <f>CLIENTS_CHURN[[#This Row],[Facture_Mensuelle]]*CLIENTS_CHURN[[#This Row],[Remise (%)]]</f>
        <v>34.384500000000003</v>
      </c>
      <c r="K735">
        <f>IF(CLIENTS_CHURN[[#This Row],[Duree_Cumulee_Panne_Min]]&gt;0,1,0)</f>
        <v>1</v>
      </c>
      <c r="L735" t="str">
        <f>IF(CLIENTS_CHURN[[#This Row],[Type_Forfait]]="Pro Monde","B2B","B2C")</f>
        <v>B2C</v>
      </c>
    </row>
    <row r="736" spans="1:12" x14ac:dyDescent="0.25">
      <c r="A736" s="1">
        <f t="shared" si="11"/>
        <v>735</v>
      </c>
      <c r="B736" s="1" t="s">
        <v>612</v>
      </c>
      <c r="C736" s="1" t="s">
        <v>11</v>
      </c>
      <c r="D736" s="1">
        <v>103</v>
      </c>
      <c r="E736" s="1" t="s">
        <v>17</v>
      </c>
      <c r="F736" s="1">
        <v>98</v>
      </c>
      <c r="G736" s="9">
        <v>38.69</v>
      </c>
      <c r="H736" s="1">
        <v>4</v>
      </c>
      <c r="I73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36" s="9">
        <f>CLIENTS_CHURN[[#This Row],[Facture_Mensuelle]]*CLIENTS_CHURN[[#This Row],[Remise (%)]]</f>
        <v>0</v>
      </c>
      <c r="K736">
        <f>IF(CLIENTS_CHURN[[#This Row],[Duree_Cumulee_Panne_Min]]&gt;0,1,0)</f>
        <v>1</v>
      </c>
      <c r="L736" t="str">
        <f>IF(CLIENTS_CHURN[[#This Row],[Type_Forfait]]="Pro Monde","B2B","B2C")</f>
        <v>B2C</v>
      </c>
    </row>
    <row r="737" spans="1:12" x14ac:dyDescent="0.25">
      <c r="A737" s="1">
        <f t="shared" si="11"/>
        <v>736</v>
      </c>
      <c r="B737" s="1" t="s">
        <v>69</v>
      </c>
      <c r="C737" s="1" t="s">
        <v>27</v>
      </c>
      <c r="D737" s="1">
        <v>72</v>
      </c>
      <c r="E737" s="1" t="s">
        <v>17</v>
      </c>
      <c r="F737" s="1">
        <v>332</v>
      </c>
      <c r="G737" s="9">
        <v>83.36</v>
      </c>
      <c r="H737" s="1">
        <v>4</v>
      </c>
      <c r="I73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7" s="9">
        <f>CLIENTS_CHURN[[#This Row],[Facture_Mensuelle]]*CLIENTS_CHURN[[#This Row],[Remise (%)]]</f>
        <v>37.512</v>
      </c>
      <c r="K737">
        <f>IF(CLIENTS_CHURN[[#This Row],[Duree_Cumulee_Panne_Min]]&gt;0,1,0)</f>
        <v>1</v>
      </c>
      <c r="L737" t="str">
        <f>IF(CLIENTS_CHURN[[#This Row],[Type_Forfait]]="Pro Monde","B2B","B2C")</f>
        <v>B2C</v>
      </c>
    </row>
    <row r="738" spans="1:12" x14ac:dyDescent="0.25">
      <c r="A738" s="1">
        <f t="shared" si="11"/>
        <v>737</v>
      </c>
      <c r="B738" s="1" t="s">
        <v>196</v>
      </c>
      <c r="C738" s="1" t="s">
        <v>31</v>
      </c>
      <c r="D738" s="1">
        <v>23</v>
      </c>
      <c r="E738" s="1" t="s">
        <v>12</v>
      </c>
      <c r="F738" s="1">
        <v>262</v>
      </c>
      <c r="G738" s="9">
        <v>46.3</v>
      </c>
      <c r="H738" s="1">
        <v>1</v>
      </c>
      <c r="I73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8" s="9">
        <f>CLIENTS_CHURN[[#This Row],[Facture_Mensuelle]]*CLIENTS_CHURN[[#This Row],[Remise (%)]]</f>
        <v>20.835000000000001</v>
      </c>
      <c r="K738">
        <f>IF(CLIENTS_CHURN[[#This Row],[Duree_Cumulee_Panne_Min]]&gt;0,1,0)</f>
        <v>1</v>
      </c>
      <c r="L738" t="str">
        <f>IF(CLIENTS_CHURN[[#This Row],[Type_Forfait]]="Pro Monde","B2B","B2C")</f>
        <v>B2B</v>
      </c>
    </row>
    <row r="739" spans="1:12" x14ac:dyDescent="0.25">
      <c r="A739" s="1">
        <f t="shared" si="11"/>
        <v>738</v>
      </c>
      <c r="B739" s="1" t="s">
        <v>46</v>
      </c>
      <c r="C739" s="1" t="s">
        <v>29</v>
      </c>
      <c r="D739" s="1">
        <v>91</v>
      </c>
      <c r="E739" s="1" t="s">
        <v>12</v>
      </c>
      <c r="F739" s="1">
        <v>358</v>
      </c>
      <c r="G739" s="9">
        <v>21.14</v>
      </c>
      <c r="H739" s="1">
        <v>5</v>
      </c>
      <c r="I73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39" s="9">
        <f>CLIENTS_CHURN[[#This Row],[Facture_Mensuelle]]*CLIENTS_CHURN[[#This Row],[Remise (%)]]</f>
        <v>9.5129999999999999</v>
      </c>
      <c r="K739">
        <f>IF(CLIENTS_CHURN[[#This Row],[Duree_Cumulee_Panne_Min]]&gt;0,1,0)</f>
        <v>1</v>
      </c>
      <c r="L739" t="str">
        <f>IF(CLIENTS_CHURN[[#This Row],[Type_Forfait]]="Pro Monde","B2B","B2C")</f>
        <v>B2B</v>
      </c>
    </row>
    <row r="740" spans="1:12" x14ac:dyDescent="0.25">
      <c r="A740" s="1">
        <f t="shared" si="11"/>
        <v>739</v>
      </c>
      <c r="B740" s="1" t="s">
        <v>725</v>
      </c>
      <c r="C740" s="1" t="s">
        <v>86</v>
      </c>
      <c r="D740" s="1">
        <v>65</v>
      </c>
      <c r="E740" s="1" t="s">
        <v>12</v>
      </c>
      <c r="F740" s="1">
        <v>246</v>
      </c>
      <c r="G740" s="9">
        <v>69.17</v>
      </c>
      <c r="H740" s="1">
        <v>0</v>
      </c>
      <c r="I74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40" s="9">
        <f>CLIENTS_CHURN[[#This Row],[Facture_Mensuelle]]*CLIENTS_CHURN[[#This Row],[Remise (%)]]</f>
        <v>31.1265</v>
      </c>
      <c r="K740">
        <f>IF(CLIENTS_CHURN[[#This Row],[Duree_Cumulee_Panne_Min]]&gt;0,1,0)</f>
        <v>1</v>
      </c>
      <c r="L740" t="str">
        <f>IF(CLIENTS_CHURN[[#This Row],[Type_Forfait]]="Pro Monde","B2B","B2C")</f>
        <v>B2B</v>
      </c>
    </row>
    <row r="741" spans="1:12" x14ac:dyDescent="0.25">
      <c r="A741" s="1">
        <f t="shared" si="11"/>
        <v>740</v>
      </c>
      <c r="B741" s="1" t="s">
        <v>748</v>
      </c>
      <c r="C741" s="1" t="s">
        <v>35</v>
      </c>
      <c r="D741" s="1">
        <v>10</v>
      </c>
      <c r="E741" s="1" t="s">
        <v>20</v>
      </c>
      <c r="F741" s="1">
        <v>418</v>
      </c>
      <c r="G741" s="9">
        <v>27.66</v>
      </c>
      <c r="H741" s="1">
        <v>2</v>
      </c>
      <c r="I74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41" s="9">
        <f>CLIENTS_CHURN[[#This Row],[Facture_Mensuelle]]*CLIENTS_CHURN[[#This Row],[Remise (%)]]</f>
        <v>12.447000000000001</v>
      </c>
      <c r="K741">
        <f>IF(CLIENTS_CHURN[[#This Row],[Duree_Cumulee_Panne_Min]]&gt;0,1,0)</f>
        <v>1</v>
      </c>
      <c r="L741" t="str">
        <f>IF(CLIENTS_CHURN[[#This Row],[Type_Forfait]]="Pro Monde","B2B","B2C")</f>
        <v>B2C</v>
      </c>
    </row>
    <row r="742" spans="1:12" x14ac:dyDescent="0.25">
      <c r="A742" s="1">
        <f t="shared" si="11"/>
        <v>741</v>
      </c>
      <c r="B742" s="1" t="s">
        <v>546</v>
      </c>
      <c r="C742" s="1" t="s">
        <v>14</v>
      </c>
      <c r="D742" s="1">
        <v>10</v>
      </c>
      <c r="E742" s="1" t="s">
        <v>12</v>
      </c>
      <c r="F742" s="1">
        <v>129</v>
      </c>
      <c r="G742" s="9">
        <v>70.12</v>
      </c>
      <c r="H742" s="1">
        <v>0</v>
      </c>
      <c r="I742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42" s="9">
        <f>CLIENTS_CHURN[[#This Row],[Facture_Mensuelle]]*CLIENTS_CHURN[[#This Row],[Remise (%)]]</f>
        <v>7.0120000000000005</v>
      </c>
      <c r="K742">
        <f>IF(CLIENTS_CHURN[[#This Row],[Duree_Cumulee_Panne_Min]]&gt;0,1,0)</f>
        <v>1</v>
      </c>
      <c r="L742" t="str">
        <f>IF(CLIENTS_CHURN[[#This Row],[Type_Forfait]]="Pro Monde","B2B","B2C")</f>
        <v>B2B</v>
      </c>
    </row>
    <row r="743" spans="1:12" x14ac:dyDescent="0.25">
      <c r="A743" s="1">
        <f t="shared" si="11"/>
        <v>742</v>
      </c>
      <c r="B743" s="1" t="s">
        <v>578</v>
      </c>
      <c r="C743" s="1" t="s">
        <v>58</v>
      </c>
      <c r="D743" s="1">
        <v>80</v>
      </c>
      <c r="E743" s="1" t="s">
        <v>20</v>
      </c>
      <c r="F743" s="1">
        <v>101</v>
      </c>
      <c r="G743" s="9">
        <v>61.92</v>
      </c>
      <c r="H743" s="1">
        <v>4</v>
      </c>
      <c r="I743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43" s="9">
        <f>CLIENTS_CHURN[[#This Row],[Facture_Mensuelle]]*CLIENTS_CHURN[[#This Row],[Remise (%)]]</f>
        <v>0</v>
      </c>
      <c r="K743">
        <f>IF(CLIENTS_CHURN[[#This Row],[Duree_Cumulee_Panne_Min]]&gt;0,1,0)</f>
        <v>1</v>
      </c>
      <c r="L743" t="str">
        <f>IF(CLIENTS_CHURN[[#This Row],[Type_Forfait]]="Pro Monde","B2B","B2C")</f>
        <v>B2C</v>
      </c>
    </row>
    <row r="744" spans="1:12" x14ac:dyDescent="0.25">
      <c r="A744" s="1">
        <f t="shared" si="11"/>
        <v>743</v>
      </c>
      <c r="B744" s="1" t="s">
        <v>205</v>
      </c>
      <c r="C744" s="1" t="s">
        <v>55</v>
      </c>
      <c r="D744" s="1">
        <v>61</v>
      </c>
      <c r="E744" s="1" t="s">
        <v>17</v>
      </c>
      <c r="F744" s="1">
        <v>383</v>
      </c>
      <c r="G744" s="9">
        <v>39.72</v>
      </c>
      <c r="H744" s="1">
        <v>4</v>
      </c>
      <c r="I744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44" s="9">
        <f>CLIENTS_CHURN[[#This Row],[Facture_Mensuelle]]*CLIENTS_CHURN[[#This Row],[Remise (%)]]</f>
        <v>17.873999999999999</v>
      </c>
      <c r="K744">
        <f>IF(CLIENTS_CHURN[[#This Row],[Duree_Cumulee_Panne_Min]]&gt;0,1,0)</f>
        <v>1</v>
      </c>
      <c r="L744" t="str">
        <f>IF(CLIENTS_CHURN[[#This Row],[Type_Forfait]]="Pro Monde","B2B","B2C")</f>
        <v>B2C</v>
      </c>
    </row>
    <row r="745" spans="1:12" x14ac:dyDescent="0.25">
      <c r="A745" s="1">
        <f t="shared" si="11"/>
        <v>744</v>
      </c>
      <c r="B745" s="1" t="s">
        <v>145</v>
      </c>
      <c r="C745" s="1" t="s">
        <v>24</v>
      </c>
      <c r="D745" s="1">
        <v>1</v>
      </c>
      <c r="E745" s="1" t="s">
        <v>17</v>
      </c>
      <c r="F745" s="1">
        <v>237</v>
      </c>
      <c r="G745" s="9">
        <v>58.7</v>
      </c>
      <c r="H745" s="1">
        <v>4</v>
      </c>
      <c r="I745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45" s="9">
        <f>CLIENTS_CHURN[[#This Row],[Facture_Mensuelle]]*CLIENTS_CHURN[[#This Row],[Remise (%)]]</f>
        <v>0</v>
      </c>
      <c r="K745">
        <f>IF(CLIENTS_CHURN[[#This Row],[Duree_Cumulee_Panne_Min]]&gt;0,1,0)</f>
        <v>1</v>
      </c>
      <c r="L745" t="str">
        <f>IF(CLIENTS_CHURN[[#This Row],[Type_Forfait]]="Pro Monde","B2B","B2C")</f>
        <v>B2C</v>
      </c>
    </row>
    <row r="746" spans="1:12" x14ac:dyDescent="0.25">
      <c r="A746" s="1">
        <f t="shared" si="11"/>
        <v>745</v>
      </c>
      <c r="B746" s="1" t="s">
        <v>479</v>
      </c>
      <c r="C746" s="1" t="s">
        <v>55</v>
      </c>
      <c r="D746" s="1">
        <v>111</v>
      </c>
      <c r="E746" s="1" t="s">
        <v>12</v>
      </c>
      <c r="F746" s="1">
        <v>447</v>
      </c>
      <c r="G746" s="9">
        <v>51.35</v>
      </c>
      <c r="H746" s="1">
        <v>0</v>
      </c>
      <c r="I746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46" s="9">
        <f>CLIENTS_CHURN[[#This Row],[Facture_Mensuelle]]*CLIENTS_CHURN[[#This Row],[Remise (%)]]</f>
        <v>23.107500000000002</v>
      </c>
      <c r="K746">
        <f>IF(CLIENTS_CHURN[[#This Row],[Duree_Cumulee_Panne_Min]]&gt;0,1,0)</f>
        <v>1</v>
      </c>
      <c r="L746" t="str">
        <f>IF(CLIENTS_CHURN[[#This Row],[Type_Forfait]]="Pro Monde","B2B","B2C")</f>
        <v>B2B</v>
      </c>
    </row>
    <row r="747" spans="1:12" x14ac:dyDescent="0.25">
      <c r="A747" s="1">
        <f t="shared" si="11"/>
        <v>746</v>
      </c>
      <c r="B747" s="1" t="s">
        <v>520</v>
      </c>
      <c r="C747" s="1" t="s">
        <v>49</v>
      </c>
      <c r="D747" s="1">
        <v>100</v>
      </c>
      <c r="E747" s="1" t="s">
        <v>20</v>
      </c>
      <c r="F747" s="1">
        <v>240</v>
      </c>
      <c r="G747" s="9">
        <v>24.83</v>
      </c>
      <c r="H747" s="1">
        <v>4</v>
      </c>
      <c r="I747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47" s="9">
        <f>CLIENTS_CHURN[[#This Row],[Facture_Mensuelle]]*CLIENTS_CHURN[[#This Row],[Remise (%)]]</f>
        <v>11.173499999999999</v>
      </c>
      <c r="K747">
        <f>IF(CLIENTS_CHURN[[#This Row],[Duree_Cumulee_Panne_Min]]&gt;0,1,0)</f>
        <v>1</v>
      </c>
      <c r="L747" t="str">
        <f>IF(CLIENTS_CHURN[[#This Row],[Type_Forfait]]="Pro Monde","B2B","B2C")</f>
        <v>B2C</v>
      </c>
    </row>
    <row r="748" spans="1:12" x14ac:dyDescent="0.25">
      <c r="A748" s="1">
        <f t="shared" si="11"/>
        <v>747</v>
      </c>
      <c r="B748" s="1" t="s">
        <v>492</v>
      </c>
      <c r="C748" s="1" t="s">
        <v>49</v>
      </c>
      <c r="D748" s="1">
        <v>20</v>
      </c>
      <c r="E748" s="1" t="s">
        <v>20</v>
      </c>
      <c r="F748" s="1">
        <v>217</v>
      </c>
      <c r="G748" s="9">
        <v>55.3</v>
      </c>
      <c r="H748" s="1">
        <v>4</v>
      </c>
      <c r="I748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48" s="9">
        <f>CLIENTS_CHURN[[#This Row],[Facture_Mensuelle]]*CLIENTS_CHURN[[#This Row],[Remise (%)]]</f>
        <v>0</v>
      </c>
      <c r="K748">
        <f>IF(CLIENTS_CHURN[[#This Row],[Duree_Cumulee_Panne_Min]]&gt;0,1,0)</f>
        <v>1</v>
      </c>
      <c r="L748" t="str">
        <f>IF(CLIENTS_CHURN[[#This Row],[Type_Forfait]]="Pro Monde","B2B","B2C")</f>
        <v>B2C</v>
      </c>
    </row>
    <row r="749" spans="1:12" x14ac:dyDescent="0.25">
      <c r="A749" s="1">
        <f t="shared" si="11"/>
        <v>748</v>
      </c>
      <c r="B749" s="1" t="s">
        <v>745</v>
      </c>
      <c r="C749" s="1" t="s">
        <v>11</v>
      </c>
      <c r="D749" s="1">
        <v>5</v>
      </c>
      <c r="E749" s="1" t="s">
        <v>9</v>
      </c>
      <c r="F749" s="1">
        <v>71</v>
      </c>
      <c r="G749" s="9">
        <v>93.81</v>
      </c>
      <c r="H749" s="1">
        <v>3</v>
      </c>
      <c r="I749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0</v>
      </c>
      <c r="J749" s="9">
        <f>CLIENTS_CHURN[[#This Row],[Facture_Mensuelle]]*CLIENTS_CHURN[[#This Row],[Remise (%)]]</f>
        <v>0</v>
      </c>
      <c r="K749">
        <f>IF(CLIENTS_CHURN[[#This Row],[Duree_Cumulee_Panne_Min]]&gt;0,1,0)</f>
        <v>1</v>
      </c>
      <c r="L749" t="str">
        <f>IF(CLIENTS_CHURN[[#This Row],[Type_Forfait]]="Pro Monde","B2B","B2C")</f>
        <v>B2C</v>
      </c>
    </row>
    <row r="750" spans="1:12" x14ac:dyDescent="0.25">
      <c r="A750" s="1">
        <f t="shared" si="11"/>
        <v>749</v>
      </c>
      <c r="B750" s="1" t="s">
        <v>717</v>
      </c>
      <c r="C750" s="1" t="s">
        <v>71</v>
      </c>
      <c r="D750" s="1">
        <v>7</v>
      </c>
      <c r="E750" s="1" t="s">
        <v>12</v>
      </c>
      <c r="F750" s="1">
        <v>332</v>
      </c>
      <c r="G750" s="9">
        <v>83.95</v>
      </c>
      <c r="H750" s="1">
        <v>4</v>
      </c>
      <c r="I750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45%</v>
      </c>
      <c r="J750" s="9">
        <f>CLIENTS_CHURN[[#This Row],[Facture_Mensuelle]]*CLIENTS_CHURN[[#This Row],[Remise (%)]]</f>
        <v>37.777500000000003</v>
      </c>
      <c r="K750">
        <f>IF(CLIENTS_CHURN[[#This Row],[Duree_Cumulee_Panne_Min]]&gt;0,1,0)</f>
        <v>1</v>
      </c>
      <c r="L750" t="str">
        <f>IF(CLIENTS_CHURN[[#This Row],[Type_Forfait]]="Pro Monde","B2B","B2C")</f>
        <v>B2B</v>
      </c>
    </row>
    <row r="751" spans="1:12" x14ac:dyDescent="0.25">
      <c r="A751" s="1">
        <f t="shared" si="11"/>
        <v>750</v>
      </c>
      <c r="B751" s="1" t="s">
        <v>469</v>
      </c>
      <c r="C751" s="1" t="s">
        <v>29</v>
      </c>
      <c r="D751" s="1">
        <v>47</v>
      </c>
      <c r="E751" s="1" t="s">
        <v>12</v>
      </c>
      <c r="F751" s="1">
        <v>149</v>
      </c>
      <c r="G751" s="9">
        <v>28.35</v>
      </c>
      <c r="H751" s="1">
        <v>1</v>
      </c>
      <c r="I751" s="1" t="str">
        <f>IF(AND(CLIENTS_CHURN[[#This Row],[Duree_Cumulee_Panne_Min]]&gt;720,CLIENTS_CHURN[[#This Row],[Anciennete_Mois]]&gt;60),"70%",IF(OR(AND(CLIENTS_CHURN[[#This Row],[Duree_Cumulee_Panne_Min]]&gt;=240,CLIENTS_CHURN[[#This Row],[Duree_Cumulee_Panne_Min]]&lt;=720),AND(CLIENTS_CHURN[[#This Row],[Anciennete_Mois]]&lt;60,CLIENTS_CHURN[[#This Row],[Type_Forfait]]="Premium")),"45%",IF(CLIENTS_CHURN[[#This Row],[Type_Forfait]]="Pro Monde","10%","0")))</f>
        <v>10%</v>
      </c>
      <c r="J751" s="9">
        <f>CLIENTS_CHURN[[#This Row],[Facture_Mensuelle]]*CLIENTS_CHURN[[#This Row],[Remise (%)]]</f>
        <v>2.8350000000000004</v>
      </c>
      <c r="K751">
        <f>IF(CLIENTS_CHURN[[#This Row],[Duree_Cumulee_Panne_Min]]&gt;0,1,0)</f>
        <v>1</v>
      </c>
      <c r="L751" t="str">
        <f>IF(CLIENTS_CHURN[[#This Row],[Type_Forfait]]="Pro Monde","B2B","B2C")</f>
        <v>B2B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sqref="A1:J27"/>
    </sheetView>
  </sheetViews>
  <sheetFormatPr baseColWidth="10" defaultRowHeight="15" x14ac:dyDescent="0.25"/>
  <cols>
    <col min="2" max="2" width="17.140625" customWidth="1"/>
    <col min="3" max="3" width="18.85546875" customWidth="1"/>
    <col min="4" max="4" width="14.28515625" customWidth="1"/>
    <col min="5" max="5" width="28.7109375" customWidth="1"/>
    <col min="6" max="6" width="20.28515625" customWidth="1"/>
    <col min="7" max="7" width="24" customWidth="1"/>
    <col min="8" max="8" width="13.140625" customWidth="1"/>
    <col min="9" max="9" width="18.28515625" customWidth="1"/>
    <col min="10" max="10" width="1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1711</v>
      </c>
      <c r="I1" t="s">
        <v>1712</v>
      </c>
      <c r="J1" t="s">
        <v>1713</v>
      </c>
    </row>
    <row r="2" spans="1:10" x14ac:dyDescent="0.25">
      <c r="A2" t="s">
        <v>717</v>
      </c>
      <c r="B2" t="s">
        <v>71</v>
      </c>
      <c r="C2">
        <v>7</v>
      </c>
      <c r="D2" t="s">
        <v>12</v>
      </c>
      <c r="E2">
        <v>332</v>
      </c>
      <c r="F2">
        <v>83.95</v>
      </c>
      <c r="G2">
        <v>4</v>
      </c>
      <c r="H2" t="s">
        <v>1721</v>
      </c>
      <c r="I2">
        <v>37.777500000000003</v>
      </c>
      <c r="J2">
        <v>1</v>
      </c>
    </row>
    <row r="3" spans="1:10" x14ac:dyDescent="0.25">
      <c r="A3" t="s">
        <v>414</v>
      </c>
      <c r="B3" t="s">
        <v>71</v>
      </c>
      <c r="C3">
        <v>104</v>
      </c>
      <c r="D3" t="s">
        <v>9</v>
      </c>
      <c r="E3">
        <v>68</v>
      </c>
      <c r="F3">
        <v>21.15</v>
      </c>
      <c r="G3">
        <v>2</v>
      </c>
      <c r="H3" t="s">
        <v>1722</v>
      </c>
      <c r="I3">
        <v>0</v>
      </c>
      <c r="J3">
        <v>1</v>
      </c>
    </row>
    <row r="4" spans="1:10" x14ac:dyDescent="0.25">
      <c r="A4" t="s">
        <v>89</v>
      </c>
      <c r="B4" t="s">
        <v>71</v>
      </c>
      <c r="C4">
        <v>58</v>
      </c>
      <c r="D4" t="s">
        <v>20</v>
      </c>
      <c r="E4">
        <v>61</v>
      </c>
      <c r="F4">
        <v>58.64</v>
      </c>
      <c r="G4">
        <v>3</v>
      </c>
      <c r="H4" t="s">
        <v>1722</v>
      </c>
      <c r="I4">
        <v>0</v>
      </c>
      <c r="J4">
        <v>1</v>
      </c>
    </row>
    <row r="5" spans="1:10" x14ac:dyDescent="0.25">
      <c r="A5" t="s">
        <v>157</v>
      </c>
      <c r="B5" t="s">
        <v>71</v>
      </c>
      <c r="C5">
        <v>16</v>
      </c>
      <c r="D5" t="s">
        <v>17</v>
      </c>
      <c r="E5">
        <v>13</v>
      </c>
      <c r="F5">
        <v>14.91</v>
      </c>
      <c r="G5">
        <v>1</v>
      </c>
      <c r="H5" t="s">
        <v>1722</v>
      </c>
      <c r="I5">
        <v>0</v>
      </c>
      <c r="J5">
        <v>1</v>
      </c>
    </row>
    <row r="6" spans="1:10" x14ac:dyDescent="0.25">
      <c r="A6" t="s">
        <v>222</v>
      </c>
      <c r="B6" t="s">
        <v>71</v>
      </c>
      <c r="C6">
        <v>51</v>
      </c>
      <c r="D6" t="s">
        <v>20</v>
      </c>
      <c r="E6">
        <v>433</v>
      </c>
      <c r="F6">
        <v>12.89</v>
      </c>
      <c r="G6">
        <v>1</v>
      </c>
      <c r="H6" t="s">
        <v>1721</v>
      </c>
      <c r="I6">
        <v>5.8005000000000004</v>
      </c>
      <c r="J6">
        <v>1</v>
      </c>
    </row>
    <row r="7" spans="1:10" x14ac:dyDescent="0.25">
      <c r="A7" t="s">
        <v>749</v>
      </c>
      <c r="B7" t="s">
        <v>71</v>
      </c>
      <c r="C7">
        <v>57</v>
      </c>
      <c r="D7" t="s">
        <v>20</v>
      </c>
      <c r="E7">
        <v>375</v>
      </c>
      <c r="F7">
        <v>64.73</v>
      </c>
      <c r="G7">
        <v>1</v>
      </c>
      <c r="H7" t="s">
        <v>1721</v>
      </c>
      <c r="I7">
        <v>29.128500000000003</v>
      </c>
      <c r="J7">
        <v>1</v>
      </c>
    </row>
    <row r="8" spans="1:10" x14ac:dyDescent="0.25">
      <c r="A8" t="s">
        <v>329</v>
      </c>
      <c r="B8" t="s">
        <v>71</v>
      </c>
      <c r="C8">
        <v>5</v>
      </c>
      <c r="D8" t="s">
        <v>9</v>
      </c>
      <c r="E8">
        <v>384</v>
      </c>
      <c r="F8">
        <v>97.26</v>
      </c>
      <c r="G8">
        <v>3</v>
      </c>
      <c r="H8" t="s">
        <v>1721</v>
      </c>
      <c r="I8">
        <v>43.767000000000003</v>
      </c>
      <c r="J8">
        <v>1</v>
      </c>
    </row>
    <row r="9" spans="1:10" x14ac:dyDescent="0.25">
      <c r="A9" t="s">
        <v>235</v>
      </c>
      <c r="B9" t="s">
        <v>71</v>
      </c>
      <c r="C9">
        <v>11</v>
      </c>
      <c r="D9" t="s">
        <v>9</v>
      </c>
      <c r="E9">
        <v>191</v>
      </c>
      <c r="F9">
        <v>87.37</v>
      </c>
      <c r="G9">
        <v>3</v>
      </c>
      <c r="H9" t="s">
        <v>1722</v>
      </c>
      <c r="I9">
        <v>0</v>
      </c>
      <c r="J9">
        <v>1</v>
      </c>
    </row>
    <row r="10" spans="1:10" x14ac:dyDescent="0.25">
      <c r="A10" t="s">
        <v>451</v>
      </c>
      <c r="B10" t="s">
        <v>71</v>
      </c>
      <c r="C10">
        <v>24</v>
      </c>
      <c r="D10" t="s">
        <v>17</v>
      </c>
      <c r="E10">
        <v>257</v>
      </c>
      <c r="F10">
        <v>41.99</v>
      </c>
      <c r="G10">
        <v>5</v>
      </c>
      <c r="H10" t="s">
        <v>1721</v>
      </c>
      <c r="I10">
        <v>18.895500000000002</v>
      </c>
      <c r="J10">
        <v>1</v>
      </c>
    </row>
    <row r="11" spans="1:10" x14ac:dyDescent="0.25">
      <c r="A11" t="s">
        <v>475</v>
      </c>
      <c r="B11" t="s">
        <v>71</v>
      </c>
      <c r="C11">
        <v>2</v>
      </c>
      <c r="D11" t="s">
        <v>17</v>
      </c>
      <c r="E11">
        <v>142</v>
      </c>
      <c r="F11">
        <v>49.05</v>
      </c>
      <c r="G11">
        <v>4</v>
      </c>
      <c r="H11" t="s">
        <v>1722</v>
      </c>
      <c r="I11">
        <v>0</v>
      </c>
      <c r="J11">
        <v>1</v>
      </c>
    </row>
    <row r="12" spans="1:10" x14ac:dyDescent="0.25">
      <c r="A12" t="s">
        <v>649</v>
      </c>
      <c r="B12" t="s">
        <v>71</v>
      </c>
      <c r="C12">
        <v>116</v>
      </c>
      <c r="D12" t="s">
        <v>9</v>
      </c>
      <c r="E12">
        <v>14</v>
      </c>
      <c r="F12">
        <v>30.38</v>
      </c>
      <c r="G12">
        <v>1</v>
      </c>
      <c r="H12" t="s">
        <v>1722</v>
      </c>
      <c r="I12">
        <v>0</v>
      </c>
      <c r="J12">
        <v>1</v>
      </c>
    </row>
    <row r="13" spans="1:10" x14ac:dyDescent="0.25">
      <c r="A13" t="s">
        <v>543</v>
      </c>
      <c r="B13" t="s">
        <v>71</v>
      </c>
      <c r="C13">
        <v>47</v>
      </c>
      <c r="D13" t="s">
        <v>9</v>
      </c>
      <c r="E13">
        <v>350</v>
      </c>
      <c r="F13">
        <v>80.48</v>
      </c>
      <c r="G13">
        <v>3</v>
      </c>
      <c r="H13" t="s">
        <v>1721</v>
      </c>
      <c r="I13">
        <v>36.216000000000001</v>
      </c>
      <c r="J13">
        <v>1</v>
      </c>
    </row>
    <row r="14" spans="1:10" x14ac:dyDescent="0.25">
      <c r="A14" t="s">
        <v>609</v>
      </c>
      <c r="B14" t="s">
        <v>71</v>
      </c>
      <c r="C14">
        <v>30</v>
      </c>
      <c r="D14" t="s">
        <v>17</v>
      </c>
      <c r="E14">
        <v>130</v>
      </c>
      <c r="F14">
        <v>50.15</v>
      </c>
      <c r="G14">
        <v>4</v>
      </c>
      <c r="H14" t="s">
        <v>1722</v>
      </c>
      <c r="I14">
        <v>0</v>
      </c>
      <c r="J14">
        <v>1</v>
      </c>
    </row>
    <row r="15" spans="1:10" x14ac:dyDescent="0.25">
      <c r="A15" t="s">
        <v>627</v>
      </c>
      <c r="B15" t="s">
        <v>71</v>
      </c>
      <c r="C15">
        <v>21</v>
      </c>
      <c r="D15" t="s">
        <v>17</v>
      </c>
      <c r="E15">
        <v>15</v>
      </c>
      <c r="F15">
        <v>57.74</v>
      </c>
      <c r="G15">
        <v>0</v>
      </c>
      <c r="H15" t="s">
        <v>1722</v>
      </c>
      <c r="I15">
        <v>0</v>
      </c>
      <c r="J15">
        <v>1</v>
      </c>
    </row>
    <row r="16" spans="1:10" x14ac:dyDescent="0.25">
      <c r="A16" t="s">
        <v>499</v>
      </c>
      <c r="B16" t="s">
        <v>71</v>
      </c>
      <c r="C16">
        <v>37</v>
      </c>
      <c r="D16" t="s">
        <v>12</v>
      </c>
      <c r="E16">
        <v>37</v>
      </c>
      <c r="F16">
        <v>92.72</v>
      </c>
      <c r="G16">
        <v>0</v>
      </c>
      <c r="H16" t="s">
        <v>1723</v>
      </c>
      <c r="I16">
        <v>9.2720000000000002</v>
      </c>
      <c r="J16">
        <v>1</v>
      </c>
    </row>
    <row r="17" spans="1:10" x14ac:dyDescent="0.25">
      <c r="A17" t="s">
        <v>752</v>
      </c>
      <c r="B17" t="s">
        <v>71</v>
      </c>
      <c r="C17">
        <v>78</v>
      </c>
      <c r="D17" t="s">
        <v>9</v>
      </c>
      <c r="E17">
        <v>387</v>
      </c>
      <c r="F17">
        <v>11.63</v>
      </c>
      <c r="G17">
        <v>2</v>
      </c>
      <c r="H17" t="s">
        <v>1721</v>
      </c>
      <c r="I17">
        <v>5.2335000000000003</v>
      </c>
      <c r="J17">
        <v>1</v>
      </c>
    </row>
    <row r="18" spans="1:10" x14ac:dyDescent="0.25">
      <c r="A18" t="s">
        <v>536</v>
      </c>
      <c r="B18" t="s">
        <v>71</v>
      </c>
      <c r="C18">
        <v>94</v>
      </c>
      <c r="D18" t="s">
        <v>20</v>
      </c>
      <c r="E18">
        <v>6</v>
      </c>
      <c r="F18">
        <v>67.459999999999994</v>
      </c>
      <c r="G18">
        <v>5</v>
      </c>
      <c r="H18" t="s">
        <v>1722</v>
      </c>
      <c r="I18">
        <v>0</v>
      </c>
      <c r="J18">
        <v>1</v>
      </c>
    </row>
    <row r="19" spans="1:10" x14ac:dyDescent="0.25">
      <c r="A19" t="s">
        <v>136</v>
      </c>
      <c r="B19" t="s">
        <v>71</v>
      </c>
      <c r="C19">
        <v>74</v>
      </c>
      <c r="D19" t="s">
        <v>9</v>
      </c>
      <c r="E19">
        <v>208</v>
      </c>
      <c r="F19">
        <v>39.56</v>
      </c>
      <c r="G19">
        <v>0</v>
      </c>
      <c r="H19" t="s">
        <v>1722</v>
      </c>
      <c r="I19">
        <v>0</v>
      </c>
      <c r="J19">
        <v>1</v>
      </c>
    </row>
    <row r="20" spans="1:10" x14ac:dyDescent="0.25">
      <c r="A20" t="s">
        <v>70</v>
      </c>
      <c r="B20" t="s">
        <v>71</v>
      </c>
      <c r="C20">
        <v>6</v>
      </c>
      <c r="D20" t="s">
        <v>9</v>
      </c>
      <c r="E20">
        <v>207</v>
      </c>
      <c r="F20">
        <v>61.55</v>
      </c>
      <c r="G20">
        <v>0</v>
      </c>
      <c r="H20" t="s">
        <v>1722</v>
      </c>
      <c r="I20">
        <v>0</v>
      </c>
      <c r="J20">
        <v>1</v>
      </c>
    </row>
    <row r="21" spans="1:10" x14ac:dyDescent="0.25">
      <c r="A21" t="s">
        <v>703</v>
      </c>
      <c r="B21" t="s">
        <v>71</v>
      </c>
      <c r="C21">
        <v>28</v>
      </c>
      <c r="D21" t="s">
        <v>9</v>
      </c>
      <c r="E21">
        <v>343</v>
      </c>
      <c r="F21">
        <v>64.34</v>
      </c>
      <c r="G21">
        <v>5</v>
      </c>
      <c r="H21" t="s">
        <v>1721</v>
      </c>
      <c r="I21">
        <v>28.953000000000003</v>
      </c>
      <c r="J21">
        <v>1</v>
      </c>
    </row>
    <row r="22" spans="1:10" x14ac:dyDescent="0.25">
      <c r="A22" t="s">
        <v>288</v>
      </c>
      <c r="B22" t="s">
        <v>71</v>
      </c>
      <c r="C22">
        <v>48</v>
      </c>
      <c r="D22" t="s">
        <v>9</v>
      </c>
      <c r="E22">
        <v>416</v>
      </c>
      <c r="F22">
        <v>81.260000000000005</v>
      </c>
      <c r="G22">
        <v>5</v>
      </c>
      <c r="H22" t="s">
        <v>1721</v>
      </c>
      <c r="I22">
        <v>36.567</v>
      </c>
      <c r="J22">
        <v>1</v>
      </c>
    </row>
    <row r="23" spans="1:10" x14ac:dyDescent="0.25">
      <c r="A23" t="s">
        <v>279</v>
      </c>
      <c r="B23" t="s">
        <v>71</v>
      </c>
      <c r="C23">
        <v>108</v>
      </c>
      <c r="D23" t="s">
        <v>12</v>
      </c>
      <c r="E23">
        <v>48</v>
      </c>
      <c r="F23">
        <v>86.22</v>
      </c>
      <c r="G23">
        <v>3</v>
      </c>
      <c r="H23" t="s">
        <v>1723</v>
      </c>
      <c r="I23">
        <v>8.6219999999999999</v>
      </c>
      <c r="J23">
        <v>1</v>
      </c>
    </row>
    <row r="24" spans="1:10" x14ac:dyDescent="0.25">
      <c r="A24" t="s">
        <v>179</v>
      </c>
      <c r="B24" t="s">
        <v>71</v>
      </c>
      <c r="C24">
        <v>43</v>
      </c>
      <c r="D24" t="s">
        <v>17</v>
      </c>
      <c r="E24">
        <v>181</v>
      </c>
      <c r="F24">
        <v>72.39</v>
      </c>
      <c r="G24">
        <v>2</v>
      </c>
      <c r="H24" t="s">
        <v>1722</v>
      </c>
      <c r="I24">
        <v>0</v>
      </c>
      <c r="J24">
        <v>1</v>
      </c>
    </row>
    <row r="25" spans="1:10" x14ac:dyDescent="0.25">
      <c r="A25" t="s">
        <v>485</v>
      </c>
      <c r="B25" t="s">
        <v>71</v>
      </c>
      <c r="C25">
        <v>47</v>
      </c>
      <c r="D25" t="s">
        <v>12</v>
      </c>
      <c r="E25">
        <v>107</v>
      </c>
      <c r="F25">
        <v>35.380000000000003</v>
      </c>
      <c r="G25">
        <v>1</v>
      </c>
      <c r="H25" t="s">
        <v>1723</v>
      </c>
      <c r="I25">
        <v>3.5380000000000003</v>
      </c>
      <c r="J25">
        <v>1</v>
      </c>
    </row>
    <row r="26" spans="1:10" x14ac:dyDescent="0.25">
      <c r="A26" t="s">
        <v>547</v>
      </c>
      <c r="B26" t="s">
        <v>71</v>
      </c>
      <c r="C26">
        <v>23</v>
      </c>
      <c r="D26" t="s">
        <v>17</v>
      </c>
      <c r="E26">
        <v>325</v>
      </c>
      <c r="F26">
        <v>65.489999999999995</v>
      </c>
      <c r="G26">
        <v>1</v>
      </c>
      <c r="H26" t="s">
        <v>1721</v>
      </c>
      <c r="I26">
        <v>29.470499999999998</v>
      </c>
      <c r="J26">
        <v>1</v>
      </c>
    </row>
    <row r="27" spans="1:10" x14ac:dyDescent="0.25">
      <c r="A27" t="s">
        <v>542</v>
      </c>
      <c r="B27" t="s">
        <v>71</v>
      </c>
      <c r="C27">
        <v>74</v>
      </c>
      <c r="D27" t="s">
        <v>17</v>
      </c>
      <c r="E27">
        <v>388</v>
      </c>
      <c r="F27">
        <v>10.89</v>
      </c>
      <c r="G27">
        <v>4</v>
      </c>
      <c r="H27" t="s">
        <v>1721</v>
      </c>
      <c r="I27">
        <v>4.9005000000000001</v>
      </c>
      <c r="J27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selection sqref="A1:L40"/>
    </sheetView>
  </sheetViews>
  <sheetFormatPr baseColWidth="10" defaultRowHeight="15" x14ac:dyDescent="0.25"/>
  <cols>
    <col min="2" max="2" width="20.28515625" customWidth="1"/>
    <col min="3" max="3" width="19.7109375" customWidth="1"/>
    <col min="4" max="4" width="19" customWidth="1"/>
    <col min="5" max="5" width="15.42578125" customWidth="1"/>
    <col min="7" max="7" width="12" customWidth="1"/>
    <col min="8" max="8" width="14" customWidth="1"/>
    <col min="9" max="9" width="16.42578125" customWidth="1"/>
    <col min="10" max="10" width="13.42578125" customWidth="1"/>
    <col min="11" max="11" width="13.140625" customWidth="1"/>
    <col min="12" max="12" width="22.5703125" customWidth="1"/>
  </cols>
  <sheetData>
    <row r="1" spans="1:12" x14ac:dyDescent="0.25">
      <c r="A1" t="s">
        <v>788</v>
      </c>
      <c r="B1" t="s">
        <v>787</v>
      </c>
      <c r="C1" t="s">
        <v>789</v>
      </c>
      <c r="D1" t="s">
        <v>790</v>
      </c>
      <c r="E1" t="s">
        <v>1548</v>
      </c>
      <c r="F1" t="s">
        <v>1549</v>
      </c>
      <c r="G1" t="s">
        <v>1550</v>
      </c>
      <c r="H1" t="s">
        <v>1551</v>
      </c>
      <c r="I1" t="s">
        <v>1552</v>
      </c>
      <c r="J1" t="s">
        <v>1708</v>
      </c>
      <c r="K1" t="s">
        <v>1709</v>
      </c>
      <c r="L1" t="s">
        <v>1710</v>
      </c>
    </row>
    <row r="2" spans="1:12" x14ac:dyDescent="0.25">
      <c r="A2" t="s">
        <v>1477</v>
      </c>
      <c r="B2" s="23">
        <v>45205.830555555556</v>
      </c>
      <c r="C2">
        <v>52</v>
      </c>
      <c r="D2" t="s">
        <v>794</v>
      </c>
      <c r="E2" t="s">
        <v>124</v>
      </c>
      <c r="F2">
        <v>-2.2199559999999998</v>
      </c>
      <c r="G2">
        <v>22.614449</v>
      </c>
      <c r="H2" t="s">
        <v>1557</v>
      </c>
      <c r="I2" t="s">
        <v>1564</v>
      </c>
      <c r="J2" t="s">
        <v>1724</v>
      </c>
      <c r="K2">
        <v>1</v>
      </c>
      <c r="L2">
        <v>52</v>
      </c>
    </row>
    <row r="3" spans="1:12" x14ac:dyDescent="0.25">
      <c r="A3" t="s">
        <v>1233</v>
      </c>
      <c r="B3" s="23">
        <v>45210.689583333333</v>
      </c>
      <c r="C3">
        <v>16</v>
      </c>
      <c r="D3" t="s">
        <v>794</v>
      </c>
      <c r="E3" t="s">
        <v>124</v>
      </c>
      <c r="F3">
        <v>-4.869434</v>
      </c>
      <c r="G3">
        <v>22.326522000000001</v>
      </c>
      <c r="H3" t="s">
        <v>1553</v>
      </c>
      <c r="I3" t="s">
        <v>1554</v>
      </c>
      <c r="J3" t="s">
        <v>1724</v>
      </c>
      <c r="K3">
        <v>2</v>
      </c>
      <c r="L3">
        <v>92</v>
      </c>
    </row>
    <row r="4" spans="1:12" x14ac:dyDescent="0.25">
      <c r="A4" t="s">
        <v>1233</v>
      </c>
      <c r="B4" s="23">
        <v>45204.986111111109</v>
      </c>
      <c r="C4">
        <v>76</v>
      </c>
      <c r="D4" t="s">
        <v>800</v>
      </c>
      <c r="E4" t="s">
        <v>124</v>
      </c>
      <c r="F4">
        <v>-4.869434</v>
      </c>
      <c r="G4">
        <v>22.326522000000001</v>
      </c>
      <c r="H4" t="s">
        <v>1553</v>
      </c>
      <c r="I4" t="s">
        <v>1554</v>
      </c>
      <c r="J4" t="s">
        <v>1724</v>
      </c>
      <c r="K4">
        <v>2</v>
      </c>
      <c r="L4">
        <v>92</v>
      </c>
    </row>
    <row r="5" spans="1:12" x14ac:dyDescent="0.25">
      <c r="A5" t="s">
        <v>1108</v>
      </c>
      <c r="B5" s="23">
        <v>45216.693749999999</v>
      </c>
      <c r="C5">
        <v>24</v>
      </c>
      <c r="D5" t="s">
        <v>792</v>
      </c>
      <c r="E5" t="s">
        <v>124</v>
      </c>
      <c r="F5">
        <v>-12.100756000000001</v>
      </c>
      <c r="G5">
        <v>21.938649999999999</v>
      </c>
      <c r="H5" t="s">
        <v>1555</v>
      </c>
      <c r="I5" t="s">
        <v>1556</v>
      </c>
      <c r="J5" t="s">
        <v>1724</v>
      </c>
      <c r="K5">
        <v>2</v>
      </c>
      <c r="L5">
        <v>100</v>
      </c>
    </row>
    <row r="6" spans="1:12" x14ac:dyDescent="0.25">
      <c r="A6" t="s">
        <v>1108</v>
      </c>
      <c r="B6" s="23">
        <v>45206.6875</v>
      </c>
      <c r="C6">
        <v>76</v>
      </c>
      <c r="D6" t="s">
        <v>792</v>
      </c>
      <c r="E6" t="s">
        <v>124</v>
      </c>
      <c r="F6">
        <v>-12.100756000000001</v>
      </c>
      <c r="G6">
        <v>21.938649999999999</v>
      </c>
      <c r="H6" t="s">
        <v>1555</v>
      </c>
      <c r="I6" t="s">
        <v>1556</v>
      </c>
      <c r="J6" t="s">
        <v>1724</v>
      </c>
      <c r="K6">
        <v>2</v>
      </c>
      <c r="L6">
        <v>100</v>
      </c>
    </row>
    <row r="7" spans="1:12" x14ac:dyDescent="0.25">
      <c r="A7" t="s">
        <v>1409</v>
      </c>
      <c r="B7" s="23">
        <v>45221.647916666669</v>
      </c>
      <c r="C7">
        <v>67</v>
      </c>
      <c r="D7" t="s">
        <v>794</v>
      </c>
      <c r="E7" t="s">
        <v>124</v>
      </c>
      <c r="F7">
        <v>-11.924048000000001</v>
      </c>
      <c r="G7">
        <v>24.177174999999998</v>
      </c>
      <c r="H7" t="s">
        <v>1557</v>
      </c>
      <c r="I7" t="s">
        <v>1564</v>
      </c>
      <c r="J7" t="s">
        <v>1724</v>
      </c>
      <c r="K7">
        <v>1</v>
      </c>
      <c r="L7">
        <v>67</v>
      </c>
    </row>
    <row r="8" spans="1:12" x14ac:dyDescent="0.25">
      <c r="A8" t="s">
        <v>1284</v>
      </c>
      <c r="B8" s="23">
        <v>45211.722916666666</v>
      </c>
      <c r="C8">
        <v>28</v>
      </c>
      <c r="D8" t="s">
        <v>794</v>
      </c>
      <c r="E8" t="s">
        <v>124</v>
      </c>
      <c r="F8">
        <v>-6.9624990000000002</v>
      </c>
      <c r="G8">
        <v>20.759834999999999</v>
      </c>
      <c r="H8" t="s">
        <v>1555</v>
      </c>
      <c r="I8" t="s">
        <v>1556</v>
      </c>
      <c r="J8" t="s">
        <v>1724</v>
      </c>
      <c r="K8">
        <v>1</v>
      </c>
      <c r="L8">
        <v>28</v>
      </c>
    </row>
    <row r="9" spans="1:12" x14ac:dyDescent="0.25">
      <c r="A9" t="s">
        <v>1359</v>
      </c>
      <c r="B9" s="23">
        <v>45229.620833333334</v>
      </c>
      <c r="C9">
        <v>74</v>
      </c>
      <c r="D9" t="s">
        <v>792</v>
      </c>
      <c r="E9" t="s">
        <v>124</v>
      </c>
      <c r="F9">
        <v>-12.488033</v>
      </c>
      <c r="G9">
        <v>16.139648000000001</v>
      </c>
      <c r="H9" t="s">
        <v>1555</v>
      </c>
      <c r="I9" t="s">
        <v>1556</v>
      </c>
      <c r="J9" t="s">
        <v>1724</v>
      </c>
      <c r="K9">
        <v>1</v>
      </c>
      <c r="L9">
        <v>74</v>
      </c>
    </row>
    <row r="10" spans="1:12" x14ac:dyDescent="0.25">
      <c r="A10" t="s">
        <v>1332</v>
      </c>
      <c r="B10" s="23">
        <v>45211.888888888891</v>
      </c>
      <c r="C10">
        <v>87</v>
      </c>
      <c r="D10" t="s">
        <v>800</v>
      </c>
      <c r="E10" t="s">
        <v>124</v>
      </c>
      <c r="F10">
        <v>-7.1483749999999997</v>
      </c>
      <c r="G10">
        <v>26.014271000000001</v>
      </c>
      <c r="H10" t="s">
        <v>1553</v>
      </c>
      <c r="I10" t="s">
        <v>1556</v>
      </c>
      <c r="J10" t="s">
        <v>1724</v>
      </c>
      <c r="K10">
        <v>3</v>
      </c>
      <c r="L10">
        <v>291</v>
      </c>
    </row>
    <row r="11" spans="1:12" x14ac:dyDescent="0.25">
      <c r="A11" t="s">
        <v>1332</v>
      </c>
      <c r="B11" s="23">
        <v>45219.527083333334</v>
      </c>
      <c r="C11">
        <v>95</v>
      </c>
      <c r="D11" t="s">
        <v>794</v>
      </c>
      <c r="E11" t="s">
        <v>124</v>
      </c>
      <c r="F11">
        <v>-7.1483749999999997</v>
      </c>
      <c r="G11">
        <v>26.014271000000001</v>
      </c>
      <c r="H11" t="s">
        <v>1553</v>
      </c>
      <c r="I11" t="s">
        <v>1556</v>
      </c>
      <c r="J11" t="s">
        <v>1724</v>
      </c>
      <c r="K11">
        <v>3</v>
      </c>
      <c r="L11">
        <v>291</v>
      </c>
    </row>
    <row r="12" spans="1:12" x14ac:dyDescent="0.25">
      <c r="A12" t="s">
        <v>1332</v>
      </c>
      <c r="B12" s="23">
        <v>45202.529166666667</v>
      </c>
      <c r="C12">
        <v>109</v>
      </c>
      <c r="D12" t="s">
        <v>800</v>
      </c>
      <c r="E12" t="s">
        <v>124</v>
      </c>
      <c r="F12">
        <v>-7.1483749999999997</v>
      </c>
      <c r="G12">
        <v>26.014271000000001</v>
      </c>
      <c r="H12" t="s">
        <v>1553</v>
      </c>
      <c r="I12" t="s">
        <v>1556</v>
      </c>
      <c r="J12" t="s">
        <v>1724</v>
      </c>
      <c r="K12">
        <v>3</v>
      </c>
      <c r="L12">
        <v>291</v>
      </c>
    </row>
    <row r="13" spans="1:12" x14ac:dyDescent="0.25">
      <c r="A13" t="s">
        <v>1417</v>
      </c>
      <c r="B13" s="23">
        <v>45217.755555555559</v>
      </c>
      <c r="C13">
        <v>100</v>
      </c>
      <c r="D13" t="s">
        <v>794</v>
      </c>
      <c r="E13" t="s">
        <v>124</v>
      </c>
      <c r="F13">
        <v>-3.003879</v>
      </c>
      <c r="G13">
        <v>23.633893</v>
      </c>
      <c r="H13" t="s">
        <v>1553</v>
      </c>
      <c r="I13" t="s">
        <v>1554</v>
      </c>
      <c r="J13" t="s">
        <v>1724</v>
      </c>
      <c r="K13">
        <v>1</v>
      </c>
      <c r="L13">
        <v>100</v>
      </c>
    </row>
    <row r="14" spans="1:12" x14ac:dyDescent="0.25">
      <c r="A14" t="s">
        <v>1133</v>
      </c>
      <c r="B14" s="23">
        <v>45228.57708333333</v>
      </c>
      <c r="C14">
        <v>80</v>
      </c>
      <c r="D14" t="s">
        <v>792</v>
      </c>
      <c r="E14" t="s">
        <v>124</v>
      </c>
      <c r="F14">
        <v>-1.8045979999999999</v>
      </c>
      <c r="G14">
        <v>12.511096999999999</v>
      </c>
      <c r="H14" t="s">
        <v>1557</v>
      </c>
      <c r="I14" t="s">
        <v>1556</v>
      </c>
      <c r="J14" t="s">
        <v>1724</v>
      </c>
      <c r="K14">
        <v>4</v>
      </c>
      <c r="L14">
        <v>211</v>
      </c>
    </row>
    <row r="15" spans="1:12" x14ac:dyDescent="0.25">
      <c r="A15" t="s">
        <v>1133</v>
      </c>
      <c r="B15" s="23">
        <v>45217.627083333333</v>
      </c>
      <c r="C15">
        <v>33</v>
      </c>
      <c r="D15" t="s">
        <v>794</v>
      </c>
      <c r="E15" t="s">
        <v>124</v>
      </c>
      <c r="F15">
        <v>-1.8045979999999999</v>
      </c>
      <c r="G15">
        <v>12.511096999999999</v>
      </c>
      <c r="H15" t="s">
        <v>1557</v>
      </c>
      <c r="I15" t="s">
        <v>1556</v>
      </c>
      <c r="J15" t="s">
        <v>1724</v>
      </c>
      <c r="K15">
        <v>4</v>
      </c>
      <c r="L15">
        <v>211</v>
      </c>
    </row>
    <row r="16" spans="1:12" x14ac:dyDescent="0.25">
      <c r="A16" t="s">
        <v>1133</v>
      </c>
      <c r="B16" s="23">
        <v>45212.599305555559</v>
      </c>
      <c r="C16">
        <v>58</v>
      </c>
      <c r="D16" t="s">
        <v>800</v>
      </c>
      <c r="E16" t="s">
        <v>124</v>
      </c>
      <c r="F16">
        <v>-1.8045979999999999</v>
      </c>
      <c r="G16">
        <v>12.511096999999999</v>
      </c>
      <c r="H16" t="s">
        <v>1557</v>
      </c>
      <c r="I16" t="s">
        <v>1556</v>
      </c>
      <c r="J16" t="s">
        <v>1724</v>
      </c>
      <c r="K16">
        <v>4</v>
      </c>
      <c r="L16">
        <v>211</v>
      </c>
    </row>
    <row r="17" spans="1:12" x14ac:dyDescent="0.25">
      <c r="A17" t="s">
        <v>1133</v>
      </c>
      <c r="B17" s="23">
        <v>45218.270138888889</v>
      </c>
      <c r="C17">
        <v>40</v>
      </c>
      <c r="D17" t="s">
        <v>800</v>
      </c>
      <c r="E17" t="s">
        <v>124</v>
      </c>
      <c r="F17">
        <v>-1.8045979999999999</v>
      </c>
      <c r="G17">
        <v>12.511096999999999</v>
      </c>
      <c r="H17" t="s">
        <v>1557</v>
      </c>
      <c r="I17" t="s">
        <v>1556</v>
      </c>
      <c r="J17" t="s">
        <v>1724</v>
      </c>
      <c r="K17">
        <v>4</v>
      </c>
      <c r="L17">
        <v>211</v>
      </c>
    </row>
    <row r="18" spans="1:12" x14ac:dyDescent="0.25">
      <c r="A18" t="s">
        <v>1324</v>
      </c>
      <c r="B18" s="23">
        <v>45206.563888888886</v>
      </c>
      <c r="C18">
        <v>37</v>
      </c>
      <c r="D18" t="s">
        <v>794</v>
      </c>
      <c r="E18" t="s">
        <v>124</v>
      </c>
      <c r="F18">
        <v>0.20866199999999999</v>
      </c>
      <c r="G18">
        <v>18.556439000000001</v>
      </c>
      <c r="H18" t="s">
        <v>1555</v>
      </c>
      <c r="I18" t="s">
        <v>1564</v>
      </c>
      <c r="J18" t="s">
        <v>1724</v>
      </c>
      <c r="K18">
        <v>1</v>
      </c>
      <c r="L18">
        <v>37</v>
      </c>
    </row>
    <row r="19" spans="1:12" x14ac:dyDescent="0.25">
      <c r="A19" t="s">
        <v>1254</v>
      </c>
      <c r="B19" s="23">
        <v>45205.474305555559</v>
      </c>
      <c r="C19">
        <v>25</v>
      </c>
      <c r="D19" t="s">
        <v>794</v>
      </c>
      <c r="E19" t="s">
        <v>124</v>
      </c>
      <c r="F19">
        <v>-1.013558</v>
      </c>
      <c r="G19">
        <v>17.346937</v>
      </c>
      <c r="H19" t="s">
        <v>1553</v>
      </c>
      <c r="I19" t="s">
        <v>1556</v>
      </c>
      <c r="J19" t="s">
        <v>1724</v>
      </c>
      <c r="K19">
        <v>1</v>
      </c>
      <c r="L19">
        <v>25</v>
      </c>
    </row>
    <row r="20" spans="1:12" x14ac:dyDescent="0.25">
      <c r="A20" t="s">
        <v>1125</v>
      </c>
      <c r="B20" s="23">
        <v>45230.323611111111</v>
      </c>
      <c r="C20">
        <v>105</v>
      </c>
      <c r="D20" t="s">
        <v>794</v>
      </c>
      <c r="E20" t="s">
        <v>124</v>
      </c>
      <c r="F20">
        <v>-4.4351269999999996</v>
      </c>
      <c r="G20">
        <v>24.825467</v>
      </c>
      <c r="H20" t="s">
        <v>1555</v>
      </c>
      <c r="I20" t="s">
        <v>1556</v>
      </c>
      <c r="J20" t="s">
        <v>1724</v>
      </c>
      <c r="K20">
        <v>2</v>
      </c>
      <c r="L20">
        <v>169</v>
      </c>
    </row>
    <row r="21" spans="1:12" x14ac:dyDescent="0.25">
      <c r="A21" t="s">
        <v>1125</v>
      </c>
      <c r="B21" s="23">
        <v>45228.511805555558</v>
      </c>
      <c r="C21">
        <v>64</v>
      </c>
      <c r="D21" t="s">
        <v>800</v>
      </c>
      <c r="E21" t="s">
        <v>124</v>
      </c>
      <c r="F21">
        <v>-4.4351269999999996</v>
      </c>
      <c r="G21">
        <v>24.825467</v>
      </c>
      <c r="H21" t="s">
        <v>1555</v>
      </c>
      <c r="I21" t="s">
        <v>1556</v>
      </c>
      <c r="J21" t="s">
        <v>1724</v>
      </c>
      <c r="K21">
        <v>2</v>
      </c>
      <c r="L21">
        <v>169</v>
      </c>
    </row>
    <row r="22" spans="1:12" x14ac:dyDescent="0.25">
      <c r="A22" t="s">
        <v>1462</v>
      </c>
      <c r="B22" s="23">
        <v>45222.479166666664</v>
      </c>
      <c r="C22">
        <v>112</v>
      </c>
      <c r="D22" t="s">
        <v>800</v>
      </c>
      <c r="E22" t="s">
        <v>124</v>
      </c>
      <c r="F22">
        <v>-8.8118569999999998</v>
      </c>
      <c r="G22">
        <v>14.465711000000001</v>
      </c>
      <c r="H22" t="s">
        <v>1553</v>
      </c>
      <c r="I22" t="s">
        <v>1564</v>
      </c>
      <c r="J22" t="s">
        <v>1724</v>
      </c>
      <c r="K22">
        <v>1</v>
      </c>
      <c r="L22">
        <v>112</v>
      </c>
    </row>
    <row r="23" spans="1:12" x14ac:dyDescent="0.25">
      <c r="A23" t="s">
        <v>941</v>
      </c>
      <c r="B23" s="23">
        <v>45228.240972222222</v>
      </c>
      <c r="C23">
        <v>26</v>
      </c>
      <c r="D23" t="s">
        <v>792</v>
      </c>
      <c r="E23" t="s">
        <v>124</v>
      </c>
      <c r="F23">
        <v>-2.5254650000000001</v>
      </c>
      <c r="G23">
        <v>21.338113</v>
      </c>
      <c r="H23" t="s">
        <v>1553</v>
      </c>
      <c r="I23" t="s">
        <v>1564</v>
      </c>
      <c r="J23" t="s">
        <v>1724</v>
      </c>
      <c r="K23">
        <v>1</v>
      </c>
      <c r="L23">
        <v>26</v>
      </c>
    </row>
    <row r="24" spans="1:12" x14ac:dyDescent="0.25">
      <c r="A24" t="s">
        <v>839</v>
      </c>
      <c r="B24" s="23">
        <v>45202.804166666669</v>
      </c>
      <c r="C24">
        <v>115</v>
      </c>
      <c r="D24" t="s">
        <v>800</v>
      </c>
      <c r="E24" t="s">
        <v>124</v>
      </c>
      <c r="F24">
        <v>1.2391989999999999</v>
      </c>
      <c r="G24">
        <v>15.386718999999999</v>
      </c>
      <c r="H24" t="s">
        <v>1553</v>
      </c>
      <c r="I24" t="s">
        <v>1558</v>
      </c>
      <c r="J24" t="s">
        <v>1724</v>
      </c>
      <c r="K24">
        <v>9</v>
      </c>
      <c r="L24">
        <v>494</v>
      </c>
    </row>
    <row r="25" spans="1:12" x14ac:dyDescent="0.25">
      <c r="A25" t="s">
        <v>839</v>
      </c>
      <c r="B25" s="23">
        <v>45207.987500000003</v>
      </c>
      <c r="C25">
        <v>21</v>
      </c>
      <c r="D25" t="s">
        <v>792</v>
      </c>
      <c r="E25" t="s">
        <v>124</v>
      </c>
      <c r="F25">
        <v>1.2391989999999999</v>
      </c>
      <c r="G25">
        <v>15.386718999999999</v>
      </c>
      <c r="H25" t="s">
        <v>1553</v>
      </c>
      <c r="I25" t="s">
        <v>1558</v>
      </c>
      <c r="J25" t="s">
        <v>1724</v>
      </c>
      <c r="K25">
        <v>9</v>
      </c>
      <c r="L25">
        <v>494</v>
      </c>
    </row>
    <row r="26" spans="1:12" x14ac:dyDescent="0.25">
      <c r="A26" t="s">
        <v>839</v>
      </c>
      <c r="B26" s="23">
        <v>45202.04791666667</v>
      </c>
      <c r="C26">
        <v>9</v>
      </c>
      <c r="D26" t="s">
        <v>794</v>
      </c>
      <c r="E26" t="s">
        <v>124</v>
      </c>
      <c r="F26">
        <v>1.2391989999999999</v>
      </c>
      <c r="G26">
        <v>15.386718999999999</v>
      </c>
      <c r="H26" t="s">
        <v>1553</v>
      </c>
      <c r="I26" t="s">
        <v>1558</v>
      </c>
      <c r="J26" t="s">
        <v>1724</v>
      </c>
      <c r="K26">
        <v>9</v>
      </c>
      <c r="L26">
        <v>494</v>
      </c>
    </row>
    <row r="27" spans="1:12" x14ac:dyDescent="0.25">
      <c r="A27" t="s">
        <v>839</v>
      </c>
      <c r="B27" s="23">
        <v>45208.594444444447</v>
      </c>
      <c r="C27">
        <v>7</v>
      </c>
      <c r="D27" t="s">
        <v>794</v>
      </c>
      <c r="E27" t="s">
        <v>124</v>
      </c>
      <c r="F27">
        <v>1.2391989999999999</v>
      </c>
      <c r="G27">
        <v>15.386718999999999</v>
      </c>
      <c r="H27" t="s">
        <v>1553</v>
      </c>
      <c r="I27" t="s">
        <v>1558</v>
      </c>
      <c r="J27" t="s">
        <v>1724</v>
      </c>
      <c r="K27">
        <v>9</v>
      </c>
      <c r="L27">
        <v>494</v>
      </c>
    </row>
    <row r="28" spans="1:12" x14ac:dyDescent="0.25">
      <c r="A28" t="s">
        <v>839</v>
      </c>
      <c r="B28" s="23">
        <v>45204.297222222223</v>
      </c>
      <c r="C28">
        <v>61</v>
      </c>
      <c r="D28" t="s">
        <v>792</v>
      </c>
      <c r="E28" t="s">
        <v>124</v>
      </c>
      <c r="F28">
        <v>1.2391989999999999</v>
      </c>
      <c r="G28">
        <v>15.386718999999999</v>
      </c>
      <c r="H28" t="s">
        <v>1553</v>
      </c>
      <c r="I28" t="s">
        <v>1558</v>
      </c>
      <c r="J28" t="s">
        <v>1724</v>
      </c>
      <c r="K28">
        <v>9</v>
      </c>
      <c r="L28">
        <v>494</v>
      </c>
    </row>
    <row r="29" spans="1:12" x14ac:dyDescent="0.25">
      <c r="A29" t="s">
        <v>839</v>
      </c>
      <c r="B29" s="23">
        <v>45224.688194444447</v>
      </c>
      <c r="C29">
        <v>120</v>
      </c>
      <c r="D29" t="s">
        <v>800</v>
      </c>
      <c r="E29" t="s">
        <v>124</v>
      </c>
      <c r="F29">
        <v>1.2391989999999999</v>
      </c>
      <c r="G29">
        <v>15.386718999999999</v>
      </c>
      <c r="H29" t="s">
        <v>1553</v>
      </c>
      <c r="I29" t="s">
        <v>1558</v>
      </c>
      <c r="J29" t="s">
        <v>1724</v>
      </c>
      <c r="K29">
        <v>9</v>
      </c>
      <c r="L29">
        <v>494</v>
      </c>
    </row>
    <row r="30" spans="1:12" x14ac:dyDescent="0.25">
      <c r="A30" t="s">
        <v>839</v>
      </c>
      <c r="B30" s="23">
        <v>45221.095833333333</v>
      </c>
      <c r="C30">
        <v>33</v>
      </c>
      <c r="D30" t="s">
        <v>800</v>
      </c>
      <c r="E30" t="s">
        <v>124</v>
      </c>
      <c r="F30">
        <v>1.2391989999999999</v>
      </c>
      <c r="G30">
        <v>15.386718999999999</v>
      </c>
      <c r="H30" t="s">
        <v>1553</v>
      </c>
      <c r="I30" t="s">
        <v>1558</v>
      </c>
      <c r="J30" t="s">
        <v>1724</v>
      </c>
      <c r="K30">
        <v>9</v>
      </c>
      <c r="L30">
        <v>494</v>
      </c>
    </row>
    <row r="31" spans="1:12" x14ac:dyDescent="0.25">
      <c r="A31" t="s">
        <v>839</v>
      </c>
      <c r="B31" s="23">
        <v>45229.443749999999</v>
      </c>
      <c r="C31">
        <v>86</v>
      </c>
      <c r="D31" t="s">
        <v>792</v>
      </c>
      <c r="E31" t="s">
        <v>124</v>
      </c>
      <c r="F31">
        <v>1.2391989999999999</v>
      </c>
      <c r="G31">
        <v>15.386718999999999</v>
      </c>
      <c r="H31" t="s">
        <v>1553</v>
      </c>
      <c r="I31" t="s">
        <v>1558</v>
      </c>
      <c r="J31" t="s">
        <v>1724</v>
      </c>
      <c r="K31">
        <v>9</v>
      </c>
      <c r="L31">
        <v>494</v>
      </c>
    </row>
    <row r="32" spans="1:12" x14ac:dyDescent="0.25">
      <c r="A32" t="s">
        <v>839</v>
      </c>
      <c r="B32" s="23">
        <v>45218.515972222223</v>
      </c>
      <c r="C32">
        <v>42</v>
      </c>
      <c r="D32" t="s">
        <v>794</v>
      </c>
      <c r="E32" t="s">
        <v>124</v>
      </c>
      <c r="F32">
        <v>1.2391989999999999</v>
      </c>
      <c r="G32">
        <v>15.386718999999999</v>
      </c>
      <c r="H32" t="s">
        <v>1553</v>
      </c>
      <c r="I32" t="s">
        <v>1558</v>
      </c>
      <c r="J32" t="s">
        <v>1724</v>
      </c>
      <c r="K32">
        <v>9</v>
      </c>
      <c r="L32">
        <v>494</v>
      </c>
    </row>
    <row r="33" spans="1:12" x14ac:dyDescent="0.25">
      <c r="A33" t="s">
        <v>964</v>
      </c>
      <c r="B33" s="23">
        <v>45211.477083333331</v>
      </c>
      <c r="C33">
        <v>23</v>
      </c>
      <c r="D33" t="s">
        <v>792</v>
      </c>
      <c r="E33" t="s">
        <v>124</v>
      </c>
      <c r="F33">
        <v>-7.8417870000000001</v>
      </c>
      <c r="G33">
        <v>14.730712</v>
      </c>
      <c r="H33" t="s">
        <v>1553</v>
      </c>
      <c r="I33" t="s">
        <v>1564</v>
      </c>
      <c r="J33" t="s">
        <v>1724</v>
      </c>
      <c r="K33">
        <v>3</v>
      </c>
      <c r="L33">
        <v>195</v>
      </c>
    </row>
    <row r="34" spans="1:12" x14ac:dyDescent="0.25">
      <c r="A34" t="s">
        <v>964</v>
      </c>
      <c r="B34" s="23">
        <v>45220.206944444442</v>
      </c>
      <c r="C34">
        <v>102</v>
      </c>
      <c r="D34" t="s">
        <v>792</v>
      </c>
      <c r="E34" t="s">
        <v>124</v>
      </c>
      <c r="F34">
        <v>-7.8417870000000001</v>
      </c>
      <c r="G34">
        <v>14.730712</v>
      </c>
      <c r="H34" t="s">
        <v>1553</v>
      </c>
      <c r="I34" t="s">
        <v>1564</v>
      </c>
      <c r="J34" t="s">
        <v>1724</v>
      </c>
      <c r="K34">
        <v>3</v>
      </c>
      <c r="L34">
        <v>195</v>
      </c>
    </row>
    <row r="35" spans="1:12" x14ac:dyDescent="0.25">
      <c r="A35" t="s">
        <v>964</v>
      </c>
      <c r="B35" s="23">
        <v>45218.479166666664</v>
      </c>
      <c r="C35">
        <v>70</v>
      </c>
      <c r="D35" t="s">
        <v>800</v>
      </c>
      <c r="E35" t="s">
        <v>124</v>
      </c>
      <c r="F35">
        <v>-7.8417870000000001</v>
      </c>
      <c r="G35">
        <v>14.730712</v>
      </c>
      <c r="H35" t="s">
        <v>1553</v>
      </c>
      <c r="I35" t="s">
        <v>1564</v>
      </c>
      <c r="J35" t="s">
        <v>1724</v>
      </c>
      <c r="K35">
        <v>3</v>
      </c>
      <c r="L35">
        <v>195</v>
      </c>
    </row>
    <row r="36" spans="1:12" x14ac:dyDescent="0.25">
      <c r="A36" t="s">
        <v>830</v>
      </c>
      <c r="B36" s="23">
        <v>45223.794444444444</v>
      </c>
      <c r="C36">
        <v>97</v>
      </c>
      <c r="D36" t="s">
        <v>794</v>
      </c>
      <c r="E36" t="s">
        <v>124</v>
      </c>
      <c r="F36">
        <v>1.0134879999999999</v>
      </c>
      <c r="G36">
        <v>20.363515</v>
      </c>
      <c r="H36" t="s">
        <v>1555</v>
      </c>
      <c r="I36" t="s">
        <v>1564</v>
      </c>
      <c r="J36" t="s">
        <v>1724</v>
      </c>
      <c r="K36">
        <v>5</v>
      </c>
      <c r="L36">
        <v>312</v>
      </c>
    </row>
    <row r="37" spans="1:12" x14ac:dyDescent="0.25">
      <c r="A37" t="s">
        <v>830</v>
      </c>
      <c r="B37" s="23">
        <v>45203.447916666664</v>
      </c>
      <c r="C37">
        <v>5</v>
      </c>
      <c r="D37" t="s">
        <v>792</v>
      </c>
      <c r="E37" t="s">
        <v>124</v>
      </c>
      <c r="F37">
        <v>1.0134879999999999</v>
      </c>
      <c r="G37">
        <v>20.363515</v>
      </c>
      <c r="H37" t="s">
        <v>1555</v>
      </c>
      <c r="I37" t="s">
        <v>1564</v>
      </c>
      <c r="J37" t="s">
        <v>1724</v>
      </c>
      <c r="K37">
        <v>5</v>
      </c>
      <c r="L37">
        <v>312</v>
      </c>
    </row>
    <row r="38" spans="1:12" x14ac:dyDescent="0.25">
      <c r="A38" t="s">
        <v>830</v>
      </c>
      <c r="B38" s="23">
        <v>45218.732638888891</v>
      </c>
      <c r="C38">
        <v>57</v>
      </c>
      <c r="D38" t="s">
        <v>792</v>
      </c>
      <c r="E38" t="s">
        <v>124</v>
      </c>
      <c r="F38">
        <v>1.0134879999999999</v>
      </c>
      <c r="G38">
        <v>20.363515</v>
      </c>
      <c r="H38" t="s">
        <v>1555</v>
      </c>
      <c r="I38" t="s">
        <v>1564</v>
      </c>
      <c r="J38" t="s">
        <v>1724</v>
      </c>
      <c r="K38">
        <v>5</v>
      </c>
      <c r="L38">
        <v>312</v>
      </c>
    </row>
    <row r="39" spans="1:12" x14ac:dyDescent="0.25">
      <c r="A39" t="s">
        <v>830</v>
      </c>
      <c r="B39" s="23">
        <v>45202.5</v>
      </c>
      <c r="C39">
        <v>93</v>
      </c>
      <c r="D39" t="s">
        <v>794</v>
      </c>
      <c r="E39" t="s">
        <v>124</v>
      </c>
      <c r="F39">
        <v>1.0134879999999999</v>
      </c>
      <c r="G39">
        <v>20.363515</v>
      </c>
      <c r="H39" t="s">
        <v>1555</v>
      </c>
      <c r="I39" t="s">
        <v>1564</v>
      </c>
      <c r="J39" t="s">
        <v>1724</v>
      </c>
      <c r="K39">
        <v>5</v>
      </c>
      <c r="L39">
        <v>312</v>
      </c>
    </row>
    <row r="40" spans="1:12" x14ac:dyDescent="0.25">
      <c r="A40" t="s">
        <v>830</v>
      </c>
      <c r="B40" s="23">
        <v>45226.07708333333</v>
      </c>
      <c r="C40">
        <v>60</v>
      </c>
      <c r="D40" t="s">
        <v>794</v>
      </c>
      <c r="E40" t="s">
        <v>124</v>
      </c>
      <c r="F40">
        <v>1.0134879999999999</v>
      </c>
      <c r="G40">
        <v>20.363515</v>
      </c>
      <c r="H40" t="s">
        <v>1555</v>
      </c>
      <c r="I40" t="s">
        <v>1564</v>
      </c>
      <c r="J40" t="s">
        <v>1724</v>
      </c>
      <c r="K40">
        <v>5</v>
      </c>
      <c r="L40">
        <v>312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1"/>
  <sheetViews>
    <sheetView tabSelected="1" topLeftCell="B1" workbookViewId="0">
      <selection activeCell="E5" sqref="E5:E7"/>
    </sheetView>
  </sheetViews>
  <sheetFormatPr baseColWidth="10" defaultRowHeight="15" x14ac:dyDescent="0.25"/>
  <cols>
    <col min="1" max="1" width="33.7109375" bestFit="1" customWidth="1"/>
    <col min="2" max="2" width="6" customWidth="1"/>
    <col min="3" max="4" width="6" bestFit="1" customWidth="1"/>
    <col min="5" max="6" width="13.85546875" bestFit="1" customWidth="1"/>
    <col min="8" max="8" width="13.7109375" customWidth="1"/>
    <col min="9" max="9" width="24.5703125" bestFit="1" customWidth="1"/>
    <col min="10" max="10" width="28.7109375" bestFit="1" customWidth="1"/>
    <col min="12" max="12" width="14.28515625" customWidth="1"/>
    <col min="13" max="13" width="25.140625" customWidth="1"/>
  </cols>
  <sheetData>
    <row r="3" spans="1:13" ht="15.75" x14ac:dyDescent="0.25">
      <c r="A3" s="18" t="s">
        <v>1715</v>
      </c>
      <c r="B3" s="25"/>
      <c r="C3" s="18"/>
      <c r="D3" s="19"/>
      <c r="E3" s="20"/>
      <c r="H3" s="14"/>
      <c r="I3" s="15" t="s">
        <v>1716</v>
      </c>
      <c r="J3" s="16" t="s">
        <v>1717</v>
      </c>
      <c r="L3" s="26"/>
      <c r="M3" s="27" t="s">
        <v>1719</v>
      </c>
    </row>
    <row r="4" spans="1:13" ht="15.75" x14ac:dyDescent="0.25">
      <c r="A4" s="24"/>
      <c r="B4" s="21" t="s">
        <v>1557</v>
      </c>
      <c r="C4" s="21" t="s">
        <v>1555</v>
      </c>
      <c r="D4" s="22" t="s">
        <v>1553</v>
      </c>
      <c r="E4" s="17" t="s">
        <v>1714</v>
      </c>
      <c r="H4" s="12" t="s">
        <v>38</v>
      </c>
      <c r="I4" s="13">
        <v>30</v>
      </c>
      <c r="J4" s="13">
        <v>593.06650000000002</v>
      </c>
      <c r="L4" s="12" t="s">
        <v>29</v>
      </c>
      <c r="M4" s="13">
        <v>5.916666666666667</v>
      </c>
    </row>
    <row r="5" spans="1:13" ht="15.75" x14ac:dyDescent="0.25">
      <c r="A5" s="10" t="s">
        <v>19</v>
      </c>
      <c r="B5" s="11">
        <v>11511</v>
      </c>
      <c r="C5" s="11">
        <v>410</v>
      </c>
      <c r="D5" s="11">
        <v>5123</v>
      </c>
      <c r="E5" s="11">
        <v>17044</v>
      </c>
      <c r="H5" s="12" t="s">
        <v>128</v>
      </c>
      <c r="I5" s="13">
        <v>34</v>
      </c>
      <c r="J5" s="13">
        <v>580.17000000000007</v>
      </c>
      <c r="L5" s="12" t="s">
        <v>86</v>
      </c>
      <c r="M5" s="13">
        <v>5.666666666666667</v>
      </c>
    </row>
    <row r="6" spans="1:13" ht="15.75" x14ac:dyDescent="0.25">
      <c r="A6" s="10" t="s">
        <v>29</v>
      </c>
      <c r="B6" s="11">
        <v>4330</v>
      </c>
      <c r="C6" s="11">
        <v>935</v>
      </c>
      <c r="D6" s="11">
        <v>11414</v>
      </c>
      <c r="E6" s="11">
        <v>16679</v>
      </c>
      <c r="H6" s="12" t="s">
        <v>31</v>
      </c>
      <c r="I6" s="13">
        <v>27</v>
      </c>
      <c r="J6" s="13">
        <v>550.49800000000005</v>
      </c>
      <c r="L6" s="12" t="s">
        <v>42</v>
      </c>
      <c r="M6" s="13">
        <v>5.64</v>
      </c>
    </row>
    <row r="7" spans="1:13" ht="15.75" x14ac:dyDescent="0.25">
      <c r="A7" s="10" t="s">
        <v>60</v>
      </c>
      <c r="B7" s="11">
        <v>921</v>
      </c>
      <c r="C7" s="11">
        <v>4988</v>
      </c>
      <c r="D7" s="11">
        <v>9816</v>
      </c>
      <c r="E7" s="11">
        <v>15725</v>
      </c>
      <c r="H7" s="12" t="s">
        <v>24</v>
      </c>
      <c r="I7" s="13">
        <v>33</v>
      </c>
      <c r="J7" s="13">
        <v>550.21050000000002</v>
      </c>
      <c r="L7" s="12" t="s">
        <v>58</v>
      </c>
      <c r="M7" s="13">
        <v>5.0555555555555554</v>
      </c>
    </row>
    <row r="8" spans="1:13" ht="15.75" x14ac:dyDescent="0.25">
      <c r="A8" s="10" t="s">
        <v>128</v>
      </c>
      <c r="B8" s="11">
        <v>5714</v>
      </c>
      <c r="C8" s="11">
        <v>1919</v>
      </c>
      <c r="D8" s="11">
        <v>7095</v>
      </c>
      <c r="E8" s="11">
        <v>14728</v>
      </c>
      <c r="H8" s="12" t="s">
        <v>22</v>
      </c>
      <c r="I8" s="13">
        <v>38</v>
      </c>
      <c r="J8" s="13">
        <v>514.03199999999993</v>
      </c>
      <c r="L8" s="12" t="s">
        <v>19</v>
      </c>
      <c r="M8" s="13">
        <v>4.7358490566037732</v>
      </c>
    </row>
    <row r="9" spans="1:13" ht="15.75" x14ac:dyDescent="0.25">
      <c r="A9" s="10" t="s">
        <v>86</v>
      </c>
      <c r="B9" s="11">
        <v>3460</v>
      </c>
      <c r="C9" s="11">
        <v>3230</v>
      </c>
      <c r="D9" s="11">
        <v>6839</v>
      </c>
      <c r="E9" s="11">
        <v>13529</v>
      </c>
      <c r="H9" s="12" t="s">
        <v>8</v>
      </c>
      <c r="I9" s="13">
        <v>37</v>
      </c>
      <c r="J9" s="13">
        <v>481.226</v>
      </c>
      <c r="L9" s="12" t="s">
        <v>1718</v>
      </c>
      <c r="M9" s="13">
        <v>4.6124260355029589</v>
      </c>
    </row>
    <row r="10" spans="1:13" ht="15.75" x14ac:dyDescent="0.25">
      <c r="A10" s="10" t="s">
        <v>24</v>
      </c>
      <c r="B10" s="11">
        <v>2020</v>
      </c>
      <c r="C10" s="11">
        <v>7465</v>
      </c>
      <c r="D10" s="11">
        <v>2590</v>
      </c>
      <c r="E10" s="11">
        <v>12075</v>
      </c>
      <c r="H10" s="12" t="s">
        <v>16</v>
      </c>
      <c r="I10" s="13">
        <v>33</v>
      </c>
      <c r="J10" s="13">
        <v>459.34749999999997</v>
      </c>
      <c r="L10" s="12" t="s">
        <v>8</v>
      </c>
      <c r="M10" s="13">
        <v>4.5625</v>
      </c>
    </row>
    <row r="11" spans="1:13" ht="15.75" x14ac:dyDescent="0.25">
      <c r="A11" s="10" t="s">
        <v>76</v>
      </c>
      <c r="B11" s="11"/>
      <c r="C11" s="11">
        <v>9358</v>
      </c>
      <c r="D11" s="11">
        <v>2007</v>
      </c>
      <c r="E11" s="11">
        <v>11365</v>
      </c>
      <c r="H11" s="12" t="s">
        <v>86</v>
      </c>
      <c r="I11" s="13">
        <v>28</v>
      </c>
      <c r="J11" s="13">
        <v>427.56</v>
      </c>
      <c r="L11" s="12" t="s">
        <v>76</v>
      </c>
      <c r="M11" s="13">
        <v>4.3658536585365857</v>
      </c>
    </row>
    <row r="12" spans="1:13" ht="15.75" x14ac:dyDescent="0.25">
      <c r="A12" s="10" t="s">
        <v>58</v>
      </c>
      <c r="B12" s="11">
        <v>5374</v>
      </c>
      <c r="C12" s="11">
        <v>1804</v>
      </c>
      <c r="D12" s="11">
        <v>4088</v>
      </c>
      <c r="E12" s="11">
        <v>11266</v>
      </c>
      <c r="H12" s="12" t="s">
        <v>49</v>
      </c>
      <c r="I12" s="13">
        <v>39</v>
      </c>
      <c r="J12" s="13">
        <v>427.16899999999998</v>
      </c>
      <c r="L12" s="12" t="s">
        <v>24</v>
      </c>
      <c r="M12" s="13">
        <v>4.3658536585365857</v>
      </c>
    </row>
    <row r="13" spans="1:13" ht="15.75" x14ac:dyDescent="0.25">
      <c r="A13" s="10" t="s">
        <v>71</v>
      </c>
      <c r="B13" s="11">
        <v>2701</v>
      </c>
      <c r="C13" s="11">
        <v>4277</v>
      </c>
      <c r="D13" s="11">
        <v>2974</v>
      </c>
      <c r="E13" s="11">
        <v>9952</v>
      </c>
      <c r="H13" s="12" t="s">
        <v>27</v>
      </c>
      <c r="I13" s="13">
        <v>27</v>
      </c>
      <c r="J13" s="13">
        <v>416.90150000000006</v>
      </c>
      <c r="L13" s="12" t="s">
        <v>60</v>
      </c>
      <c r="M13" s="13">
        <v>4.3600000000000003</v>
      </c>
    </row>
    <row r="14" spans="1:13" ht="15.75" x14ac:dyDescent="0.25">
      <c r="A14" s="10" t="s">
        <v>124</v>
      </c>
      <c r="B14" s="11">
        <v>963</v>
      </c>
      <c r="C14" s="11">
        <v>2237</v>
      </c>
      <c r="D14" s="11">
        <v>6351</v>
      </c>
      <c r="E14" s="11">
        <v>9551</v>
      </c>
      <c r="H14" s="12" t="s">
        <v>29</v>
      </c>
      <c r="I14" s="13">
        <v>32</v>
      </c>
      <c r="J14" s="13">
        <v>416.2285</v>
      </c>
      <c r="L14" s="12" t="s">
        <v>124</v>
      </c>
      <c r="M14" s="13">
        <v>4.1282051282051286</v>
      </c>
    </row>
    <row r="15" spans="1:13" ht="15.75" x14ac:dyDescent="0.25">
      <c r="A15" s="10" t="s">
        <v>8</v>
      </c>
      <c r="B15" s="11">
        <v>4087</v>
      </c>
      <c r="C15" s="11">
        <v>2844</v>
      </c>
      <c r="D15" s="11">
        <v>2574</v>
      </c>
      <c r="E15" s="11">
        <v>9505</v>
      </c>
      <c r="H15" s="12" t="s">
        <v>42</v>
      </c>
      <c r="I15" s="13">
        <v>33</v>
      </c>
      <c r="J15" s="13">
        <v>406.17150000000004</v>
      </c>
      <c r="L15" s="12" t="s">
        <v>31</v>
      </c>
      <c r="M15" s="13">
        <v>4.117647058823529</v>
      </c>
    </row>
    <row r="16" spans="1:13" ht="15.75" x14ac:dyDescent="0.25">
      <c r="A16" s="10" t="s">
        <v>35</v>
      </c>
      <c r="B16" s="11">
        <v>1605</v>
      </c>
      <c r="C16" s="11">
        <v>5011</v>
      </c>
      <c r="D16" s="11">
        <v>2884</v>
      </c>
      <c r="E16" s="11">
        <v>9500</v>
      </c>
      <c r="H16" s="12" t="s">
        <v>35</v>
      </c>
      <c r="I16" s="13">
        <v>30</v>
      </c>
      <c r="J16" s="13">
        <v>372.54699999999997</v>
      </c>
      <c r="L16" s="12" t="s">
        <v>27</v>
      </c>
      <c r="M16" s="13">
        <v>4.0666666666666664</v>
      </c>
    </row>
    <row r="17" spans="1:13" ht="15.75" x14ac:dyDescent="0.25">
      <c r="A17" s="10" t="s">
        <v>22</v>
      </c>
      <c r="B17" s="11">
        <v>4479</v>
      </c>
      <c r="C17" s="11">
        <v>2106</v>
      </c>
      <c r="D17" s="11">
        <v>1727</v>
      </c>
      <c r="E17" s="11">
        <v>8312</v>
      </c>
      <c r="H17" s="12" t="s">
        <v>11</v>
      </c>
      <c r="I17" s="13">
        <v>27</v>
      </c>
      <c r="J17" s="13">
        <v>370.26900000000001</v>
      </c>
      <c r="L17" s="12" t="s">
        <v>11</v>
      </c>
      <c r="M17" s="13">
        <v>4</v>
      </c>
    </row>
    <row r="18" spans="1:13" ht="15.75" x14ac:dyDescent="0.25">
      <c r="A18" s="10" t="s">
        <v>27</v>
      </c>
      <c r="B18" s="11">
        <v>674</v>
      </c>
      <c r="C18" s="11">
        <v>2462</v>
      </c>
      <c r="D18" s="11">
        <v>4279</v>
      </c>
      <c r="E18" s="11">
        <v>7415</v>
      </c>
      <c r="H18" s="12" t="s">
        <v>55</v>
      </c>
      <c r="I18" s="13">
        <v>30</v>
      </c>
      <c r="J18" s="13">
        <v>369.82500000000005</v>
      </c>
      <c r="L18" s="12" t="s">
        <v>128</v>
      </c>
      <c r="M18" s="13">
        <v>3.9206349206349205</v>
      </c>
    </row>
    <row r="19" spans="1:13" ht="15.75" x14ac:dyDescent="0.25">
      <c r="A19" s="10" t="s">
        <v>134</v>
      </c>
      <c r="B19" s="11">
        <v>932</v>
      </c>
      <c r="C19" s="11">
        <v>5725</v>
      </c>
      <c r="D19" s="11">
        <v>628</v>
      </c>
      <c r="E19" s="11">
        <v>7285</v>
      </c>
      <c r="H19" s="12" t="s">
        <v>76</v>
      </c>
      <c r="I19" s="13">
        <v>26</v>
      </c>
      <c r="J19" s="13">
        <v>363.57750000000004</v>
      </c>
      <c r="L19" s="12" t="s">
        <v>71</v>
      </c>
      <c r="M19" s="13">
        <v>3.85</v>
      </c>
    </row>
    <row r="20" spans="1:13" ht="15.75" x14ac:dyDescent="0.25">
      <c r="A20" s="10" t="s">
        <v>31</v>
      </c>
      <c r="B20" s="11">
        <v>3652</v>
      </c>
      <c r="C20" s="11">
        <v>1001</v>
      </c>
      <c r="D20" s="11">
        <v>2512</v>
      </c>
      <c r="E20" s="11">
        <v>7165</v>
      </c>
      <c r="H20" s="12" t="s">
        <v>58</v>
      </c>
      <c r="I20" s="13">
        <v>24</v>
      </c>
      <c r="J20" s="13">
        <v>362.51350000000002</v>
      </c>
      <c r="L20" s="12" t="s">
        <v>16</v>
      </c>
      <c r="M20" s="13">
        <v>3.7272727272727271</v>
      </c>
    </row>
    <row r="21" spans="1:13" ht="15.75" x14ac:dyDescent="0.25">
      <c r="A21" s="10" t="s">
        <v>11</v>
      </c>
      <c r="B21" s="11">
        <v>500</v>
      </c>
      <c r="C21" s="11">
        <v>5622</v>
      </c>
      <c r="D21" s="11">
        <v>1040</v>
      </c>
      <c r="E21" s="11">
        <v>7162</v>
      </c>
      <c r="H21" s="12" t="s">
        <v>33</v>
      </c>
      <c r="I21" s="13">
        <v>32</v>
      </c>
      <c r="J21" s="13">
        <v>308.84649999999993</v>
      </c>
      <c r="L21" s="12" t="s">
        <v>35</v>
      </c>
      <c r="M21" s="13">
        <v>3.6</v>
      </c>
    </row>
    <row r="22" spans="1:13" ht="15.75" x14ac:dyDescent="0.25">
      <c r="A22" s="10" t="s">
        <v>16</v>
      </c>
      <c r="B22" s="11">
        <v>1031</v>
      </c>
      <c r="C22" s="11">
        <v>5592</v>
      </c>
      <c r="D22" s="11">
        <v>393</v>
      </c>
      <c r="E22" s="11">
        <v>7016</v>
      </c>
      <c r="H22" s="12" t="s">
        <v>14</v>
      </c>
      <c r="I22" s="13">
        <v>30</v>
      </c>
      <c r="J22" s="13">
        <v>303.44150000000002</v>
      </c>
      <c r="L22" s="12" t="s">
        <v>14</v>
      </c>
      <c r="M22" s="13">
        <v>3.5454545454545454</v>
      </c>
    </row>
    <row r="23" spans="1:13" ht="15.75" x14ac:dyDescent="0.25">
      <c r="A23" s="10" t="s">
        <v>42</v>
      </c>
      <c r="B23" s="11">
        <v>139</v>
      </c>
      <c r="C23" s="11">
        <v>6491</v>
      </c>
      <c r="D23" s="11">
        <v>178</v>
      </c>
      <c r="E23" s="11">
        <v>6808</v>
      </c>
      <c r="H23" s="12" t="s">
        <v>71</v>
      </c>
      <c r="I23" s="13">
        <v>26</v>
      </c>
      <c r="J23" s="13">
        <v>298.14150000000006</v>
      </c>
      <c r="L23" s="12" t="s">
        <v>62</v>
      </c>
      <c r="M23" s="13">
        <v>3.5333333333333332</v>
      </c>
    </row>
    <row r="24" spans="1:13" ht="15.75" x14ac:dyDescent="0.25">
      <c r="A24" s="10" t="s">
        <v>62</v>
      </c>
      <c r="B24" s="11">
        <v>1587</v>
      </c>
      <c r="C24" s="11">
        <v>315</v>
      </c>
      <c r="D24" s="11">
        <v>4429</v>
      </c>
      <c r="E24" s="11">
        <v>6331</v>
      </c>
      <c r="H24" s="12" t="s">
        <v>62</v>
      </c>
      <c r="I24" s="13">
        <v>26</v>
      </c>
      <c r="J24" s="13">
        <v>288.14749999999998</v>
      </c>
      <c r="L24" s="12" t="s">
        <v>33</v>
      </c>
      <c r="M24" s="13">
        <v>3.3333333333333335</v>
      </c>
    </row>
    <row r="25" spans="1:13" ht="15.75" x14ac:dyDescent="0.25">
      <c r="A25" s="10" t="s">
        <v>14</v>
      </c>
      <c r="B25" s="11">
        <v>3570</v>
      </c>
      <c r="C25" s="11">
        <v>539</v>
      </c>
      <c r="D25" s="11">
        <v>1400</v>
      </c>
      <c r="E25" s="11">
        <v>5509</v>
      </c>
      <c r="H25" s="12" t="s">
        <v>65</v>
      </c>
      <c r="I25" s="13">
        <v>24</v>
      </c>
      <c r="J25" s="13">
        <v>255.23249999999996</v>
      </c>
      <c r="L25" s="12" t="s">
        <v>134</v>
      </c>
      <c r="M25" s="13">
        <v>3.263157894736842</v>
      </c>
    </row>
    <row r="26" spans="1:13" ht="15.75" x14ac:dyDescent="0.25">
      <c r="A26" s="10" t="s">
        <v>49</v>
      </c>
      <c r="B26" s="11">
        <v>1787</v>
      </c>
      <c r="C26" s="11">
        <v>3340</v>
      </c>
      <c r="D26" s="11">
        <v>220</v>
      </c>
      <c r="E26" s="11">
        <v>5347</v>
      </c>
      <c r="H26" s="12" t="s">
        <v>60</v>
      </c>
      <c r="I26" s="13">
        <v>23</v>
      </c>
      <c r="J26" s="13">
        <v>249.05250000000001</v>
      </c>
      <c r="L26" s="12" t="s">
        <v>38</v>
      </c>
      <c r="M26" s="13">
        <v>3.24</v>
      </c>
    </row>
    <row r="27" spans="1:13" ht="15.75" x14ac:dyDescent="0.25">
      <c r="A27" s="10" t="s">
        <v>33</v>
      </c>
      <c r="B27" s="11">
        <v>2540</v>
      </c>
      <c r="C27" s="11">
        <v>1601</v>
      </c>
      <c r="D27" s="11">
        <v>961</v>
      </c>
      <c r="E27" s="11">
        <v>5102</v>
      </c>
      <c r="H27" s="12" t="s">
        <v>19</v>
      </c>
      <c r="I27" s="13">
        <v>26</v>
      </c>
      <c r="J27" s="13">
        <v>243.81349999999998</v>
      </c>
      <c r="L27" s="12" t="s">
        <v>22</v>
      </c>
      <c r="M27" s="13">
        <v>3.1142857142857143</v>
      </c>
    </row>
    <row r="28" spans="1:13" ht="15.75" x14ac:dyDescent="0.25">
      <c r="A28" s="10" t="s">
        <v>38</v>
      </c>
      <c r="B28" s="11">
        <v>417</v>
      </c>
      <c r="C28" s="11">
        <v>2142</v>
      </c>
      <c r="D28" s="11">
        <v>1872</v>
      </c>
      <c r="E28" s="11">
        <v>4431</v>
      </c>
      <c r="H28" s="12" t="s">
        <v>124</v>
      </c>
      <c r="I28" s="13">
        <v>15</v>
      </c>
      <c r="J28" s="13">
        <v>187.70750000000004</v>
      </c>
      <c r="L28" s="12" t="s">
        <v>49</v>
      </c>
      <c r="M28" s="13">
        <v>2.5483870967741935</v>
      </c>
    </row>
    <row r="29" spans="1:13" ht="15.75" x14ac:dyDescent="0.25">
      <c r="A29" s="10" t="s">
        <v>65</v>
      </c>
      <c r="B29" s="11">
        <v>1384</v>
      </c>
      <c r="C29" s="11">
        <v>615</v>
      </c>
      <c r="D29" s="11">
        <v>532</v>
      </c>
      <c r="E29" s="11">
        <v>2531</v>
      </c>
      <c r="H29" s="12" t="s">
        <v>134</v>
      </c>
      <c r="I29" s="13">
        <v>20</v>
      </c>
      <c r="J29" s="13">
        <v>140.9145</v>
      </c>
      <c r="L29" s="12" t="s">
        <v>55</v>
      </c>
      <c r="M29" s="13">
        <v>2.375</v>
      </c>
    </row>
    <row r="30" spans="1:13" ht="15.75" x14ac:dyDescent="0.25">
      <c r="A30" s="10" t="s">
        <v>55</v>
      </c>
      <c r="B30" s="11">
        <v>249</v>
      </c>
      <c r="C30" s="11">
        <v>424</v>
      </c>
      <c r="D30" s="11">
        <v>1419</v>
      </c>
      <c r="E30" s="11">
        <v>2092</v>
      </c>
      <c r="H30" s="12" t="s">
        <v>1714</v>
      </c>
      <c r="I30" s="13">
        <v>750</v>
      </c>
      <c r="J30" s="13">
        <v>9936.6105000000007</v>
      </c>
      <c r="L30" s="12" t="s">
        <v>65</v>
      </c>
      <c r="M30" s="13">
        <v>2</v>
      </c>
    </row>
    <row r="31" spans="1:13" ht="15.75" x14ac:dyDescent="0.25">
      <c r="A31" s="10" t="s">
        <v>1714</v>
      </c>
      <c r="B31" s="11">
        <v>65627</v>
      </c>
      <c r="C31" s="11">
        <v>82453</v>
      </c>
      <c r="D31" s="11">
        <v>85345</v>
      </c>
      <c r="E31" s="11">
        <v>233425</v>
      </c>
      <c r="L31" s="12" t="s">
        <v>1714</v>
      </c>
      <c r="M31" s="13">
        <v>4.3718879668049793</v>
      </c>
    </row>
  </sheetData>
  <conditionalFormatting pivot="1" sqref="J4:J6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{98403AF6-BFC9-4909-912B-70F865DF440C}</x14:id>
        </ext>
      </extLst>
    </cfRule>
  </conditionalFormatting>
  <conditionalFormatting pivot="1" sqref="M4:M6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{1A651745-E093-4D20-B807-FBE9D17E3FA1}</x14:id>
        </ext>
      </extLst>
    </cfRule>
  </conditionalFormatting>
  <conditionalFormatting pivot="1" sqref="E5:E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{EB29F3D7-1845-4B6B-BFE5-D9B594D54E4F}</x14:id>
        </ext>
      </extLst>
    </cfRule>
  </conditionalFormatting>
  <pageMargins left="0.7" right="0.7" top="0.75" bottom="0.75" header="0.3" footer="0.3"/>
  <pageSetup paperSize="9" orientation="portrait"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98403AF6-BFC9-4909-912B-70F865DF44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J4:J6</xm:sqref>
        </x14:conditionalFormatting>
        <x14:conditionalFormatting xmlns:xm="http://schemas.microsoft.com/office/excel/2006/main" pivot="1">
          <x14:cfRule type="dataBar" id="{1A651745-E093-4D20-B807-FBE9D17E3F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M4:M6</xm:sqref>
        </x14:conditionalFormatting>
        <x14:conditionalFormatting xmlns:xm="http://schemas.microsoft.com/office/excel/2006/main" pivot="1">
          <x14:cfRule type="dataBar" id="{EB29F3D7-1845-4B6B-BFE5-D9B594D54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E5:E7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50"/>
  <sheetViews>
    <sheetView topLeftCell="E2" workbookViewId="0">
      <selection activeCell="J9" sqref="J9"/>
    </sheetView>
  </sheetViews>
  <sheetFormatPr baseColWidth="10" defaultRowHeight="15" x14ac:dyDescent="0.25"/>
  <cols>
    <col min="1" max="1" width="12.140625" bestFit="1" customWidth="1"/>
    <col min="2" max="2" width="24.5703125" style="5" bestFit="1" customWidth="1"/>
    <col min="3" max="3" width="23.85546875" bestFit="1" customWidth="1"/>
    <col min="4" max="4" width="23.42578125" bestFit="1" customWidth="1"/>
    <col min="5" max="5" width="19.140625" bestFit="1" customWidth="1"/>
    <col min="6" max="6" width="13.7109375" bestFit="1" customWidth="1"/>
    <col min="7" max="7" width="15.42578125" bestFit="1" customWidth="1"/>
    <col min="8" max="8" width="17.42578125" bestFit="1" customWidth="1"/>
    <col min="9" max="9" width="20" bestFit="1" customWidth="1"/>
    <col min="10" max="10" width="17.85546875" bestFit="1" customWidth="1"/>
    <col min="11" max="11" width="16.5703125" bestFit="1" customWidth="1"/>
    <col min="12" max="12" width="27.140625" bestFit="1" customWidth="1"/>
  </cols>
  <sheetData>
    <row r="1" spans="1:12" ht="15.75" x14ac:dyDescent="0.25">
      <c r="A1" s="6" t="s">
        <v>788</v>
      </c>
      <c r="B1" s="7" t="s">
        <v>787</v>
      </c>
      <c r="C1" s="6" t="s">
        <v>789</v>
      </c>
      <c r="D1" s="6" t="s">
        <v>790</v>
      </c>
      <c r="E1" s="8" t="s">
        <v>1548</v>
      </c>
      <c r="F1" s="8" t="s">
        <v>1549</v>
      </c>
      <c r="G1" s="8" t="s">
        <v>1550</v>
      </c>
      <c r="H1" s="8" t="s">
        <v>1551</v>
      </c>
      <c r="I1" s="8" t="s">
        <v>1552</v>
      </c>
      <c r="J1" s="8" t="s">
        <v>1708</v>
      </c>
      <c r="K1" s="8" t="s">
        <v>1709</v>
      </c>
      <c r="L1" s="8" t="s">
        <v>1710</v>
      </c>
    </row>
    <row r="2" spans="1:12" ht="15.75" x14ac:dyDescent="0.25">
      <c r="A2" s="6" t="s">
        <v>793</v>
      </c>
      <c r="B2" s="7">
        <v>45223.34375</v>
      </c>
      <c r="C2" s="6">
        <v>74</v>
      </c>
      <c r="D2" s="6" t="s">
        <v>794</v>
      </c>
      <c r="E2" s="8" t="str">
        <f>IFERROR(VLOOKUP(LOG_RESEAU[[#This Row],[Cell_ID]],Registre_Maintenance!A:B,2,FALSE),"Non trouvé")</f>
        <v>Nord-Ubangi</v>
      </c>
      <c r="F2" s="8">
        <f>IFERROR(VLOOKUP(LOG_RESEAU[[#This Row],[Cell_ID]],Registre_Maintenance!A:C,3,FALSE),"Non trouvé")</f>
        <v>-8.1437910000000002</v>
      </c>
      <c r="G2" s="8">
        <f>IFERROR(VLOOKUP(LOG_RESEAU[[#This Row],[Cell_ID]],Registre_Maintenance!A:D,4,FALSE),"Non trouvé")</f>
        <v>28.946161</v>
      </c>
      <c r="H2" s="6" t="str">
        <f>IFERROR(VLOOKUP(LOG_RESEAU[[#This Row],[Cell_ID]],Registre_Maintenance!A:E,5,FALSE),"Non trouvé")</f>
        <v>4G</v>
      </c>
      <c r="I2" s="6" t="str">
        <f>IFERROR(VLOOKUP(LOG_RESEAU[[#This Row],[Cell_ID]],Registre_Maintenance!A:F,6,FALSE),"Non trouvé")</f>
        <v>ZTE</v>
      </c>
      <c r="J2" s="6" t="str">
        <f t="shared" ref="J2:J65" si="0">IF(ISERROR(SEARCH("Non trouvé",F2)),"OK","Antenne inconnue")</f>
        <v>OK</v>
      </c>
      <c r="K2" s="6">
        <f t="shared" ref="K2:K65" si="1">COUNTIF(A:A,A2)</f>
        <v>5</v>
      </c>
      <c r="L2" s="6">
        <f t="shared" ref="L2:L65" si="2">SUMIF(A:A,A2,C:C)</f>
        <v>252</v>
      </c>
    </row>
    <row r="3" spans="1:12" ht="15.75" x14ac:dyDescent="0.25">
      <c r="A3" s="6" t="s">
        <v>793</v>
      </c>
      <c r="B3" s="7">
        <v>45220.642361111109</v>
      </c>
      <c r="C3" s="6">
        <v>42</v>
      </c>
      <c r="D3" s="6" t="s">
        <v>800</v>
      </c>
      <c r="E3" s="8" t="str">
        <f>IFERROR(VLOOKUP(LOG_RESEAU[[#This Row],[Cell_ID]],Registre_Maintenance!A:B,2,FALSE),"Non trouvé")</f>
        <v>Nord-Ubangi</v>
      </c>
      <c r="F3" s="8">
        <f>IFERROR(VLOOKUP(LOG_RESEAU[[#This Row],[Cell_ID]],Registre_Maintenance!A:C,3,FALSE),"Non trouvé")</f>
        <v>-8.1437910000000002</v>
      </c>
      <c r="G3" s="8">
        <f>IFERROR(VLOOKUP(LOG_RESEAU[[#This Row],[Cell_ID]],Registre_Maintenance!A:D,4,FALSE),"Non trouvé")</f>
        <v>28.946161</v>
      </c>
      <c r="H3" s="6" t="str">
        <f>IFERROR(VLOOKUP(LOG_RESEAU[[#This Row],[Cell_ID]],Registre_Maintenance!A:E,5,FALSE),"Non trouvé")</f>
        <v>4G</v>
      </c>
      <c r="I3" s="6" t="str">
        <f>IFERROR(VLOOKUP(LOG_RESEAU[[#This Row],[Cell_ID]],Registre_Maintenance!A:F,6,FALSE),"Non trouvé")</f>
        <v>ZTE</v>
      </c>
      <c r="J3" s="6" t="str">
        <f t="shared" si="0"/>
        <v>OK</v>
      </c>
      <c r="K3" s="6">
        <f t="shared" si="1"/>
        <v>5</v>
      </c>
      <c r="L3" s="6">
        <f t="shared" si="2"/>
        <v>252</v>
      </c>
    </row>
    <row r="4" spans="1:12" ht="15.75" x14ac:dyDescent="0.25">
      <c r="A4" s="6" t="s">
        <v>793</v>
      </c>
      <c r="B4" s="7">
        <v>45211.279166666667</v>
      </c>
      <c r="C4" s="6">
        <v>75</v>
      </c>
      <c r="D4" s="6" t="s">
        <v>794</v>
      </c>
      <c r="E4" s="8" t="str">
        <f>IFERROR(VLOOKUP(LOG_RESEAU[[#This Row],[Cell_ID]],Registre_Maintenance!A:B,2,FALSE),"Non trouvé")</f>
        <v>Nord-Ubangi</v>
      </c>
      <c r="F4" s="8">
        <f>IFERROR(VLOOKUP(LOG_RESEAU[[#This Row],[Cell_ID]],Registre_Maintenance!A:C,3,FALSE),"Non trouvé")</f>
        <v>-8.1437910000000002</v>
      </c>
      <c r="G4" s="8">
        <f>IFERROR(VLOOKUP(LOG_RESEAU[[#This Row],[Cell_ID]],Registre_Maintenance!A:D,4,FALSE),"Non trouvé")</f>
        <v>28.946161</v>
      </c>
      <c r="H4" s="6" t="str">
        <f>IFERROR(VLOOKUP(LOG_RESEAU[[#This Row],[Cell_ID]],Registre_Maintenance!A:E,5,FALSE),"Non trouvé")</f>
        <v>4G</v>
      </c>
      <c r="I4" s="6" t="str">
        <f>IFERROR(VLOOKUP(LOG_RESEAU[[#This Row],[Cell_ID]],Registre_Maintenance!A:F,6,FALSE),"Non trouvé")</f>
        <v>ZTE</v>
      </c>
      <c r="J4" s="6" t="str">
        <f t="shared" si="0"/>
        <v>OK</v>
      </c>
      <c r="K4" s="6">
        <f t="shared" si="1"/>
        <v>5</v>
      </c>
      <c r="L4" s="6">
        <f t="shared" si="2"/>
        <v>252</v>
      </c>
    </row>
    <row r="5" spans="1:12" ht="15.75" x14ac:dyDescent="0.25">
      <c r="A5" s="6" t="s">
        <v>793</v>
      </c>
      <c r="B5" s="7">
        <v>45205.013888888891</v>
      </c>
      <c r="C5" s="6">
        <v>35</v>
      </c>
      <c r="D5" s="6" t="s">
        <v>800</v>
      </c>
      <c r="E5" s="8" t="str">
        <f>IFERROR(VLOOKUP(LOG_RESEAU[[#This Row],[Cell_ID]],Registre_Maintenance!A:B,2,FALSE),"Non trouvé")</f>
        <v>Nord-Ubangi</v>
      </c>
      <c r="F5" s="8">
        <f>IFERROR(VLOOKUP(LOG_RESEAU[[#This Row],[Cell_ID]],Registre_Maintenance!A:C,3,FALSE),"Non trouvé")</f>
        <v>-8.1437910000000002</v>
      </c>
      <c r="G5" s="8">
        <f>IFERROR(VLOOKUP(LOG_RESEAU[[#This Row],[Cell_ID]],Registre_Maintenance!A:D,4,FALSE),"Non trouvé")</f>
        <v>28.946161</v>
      </c>
      <c r="H5" s="6" t="str">
        <f>IFERROR(VLOOKUP(LOG_RESEAU[[#This Row],[Cell_ID]],Registre_Maintenance!A:E,5,FALSE),"Non trouvé")</f>
        <v>4G</v>
      </c>
      <c r="I5" s="6" t="str">
        <f>IFERROR(VLOOKUP(LOG_RESEAU[[#This Row],[Cell_ID]],Registre_Maintenance!A:F,6,FALSE),"Non trouvé")</f>
        <v>ZTE</v>
      </c>
      <c r="J5" s="6" t="str">
        <f t="shared" si="0"/>
        <v>OK</v>
      </c>
      <c r="K5" s="6">
        <f t="shared" si="1"/>
        <v>5</v>
      </c>
      <c r="L5" s="6">
        <f t="shared" si="2"/>
        <v>252</v>
      </c>
    </row>
    <row r="6" spans="1:12" ht="15.75" x14ac:dyDescent="0.25">
      <c r="A6" s="6" t="s">
        <v>793</v>
      </c>
      <c r="B6" s="7">
        <v>45203.517361111109</v>
      </c>
      <c r="C6" s="6">
        <v>26</v>
      </c>
      <c r="D6" s="6" t="s">
        <v>794</v>
      </c>
      <c r="E6" s="8" t="str">
        <f>IFERROR(VLOOKUP(LOG_RESEAU[[#This Row],[Cell_ID]],Registre_Maintenance!A:B,2,FALSE),"Non trouvé")</f>
        <v>Nord-Ubangi</v>
      </c>
      <c r="F6" s="8">
        <f>IFERROR(VLOOKUP(LOG_RESEAU[[#This Row],[Cell_ID]],Registre_Maintenance!A:C,3,FALSE),"Non trouvé")</f>
        <v>-8.1437910000000002</v>
      </c>
      <c r="G6" s="8">
        <f>IFERROR(VLOOKUP(LOG_RESEAU[[#This Row],[Cell_ID]],Registre_Maintenance!A:D,4,FALSE),"Non trouvé")</f>
        <v>28.946161</v>
      </c>
      <c r="H6" s="6" t="str">
        <f>IFERROR(VLOOKUP(LOG_RESEAU[[#This Row],[Cell_ID]],Registre_Maintenance!A:E,5,FALSE),"Non trouvé")</f>
        <v>4G</v>
      </c>
      <c r="I6" s="6" t="str">
        <f>IFERROR(VLOOKUP(LOG_RESEAU[[#This Row],[Cell_ID]],Registre_Maintenance!A:F,6,FALSE),"Non trouvé")</f>
        <v>ZTE</v>
      </c>
      <c r="J6" s="6" t="str">
        <f t="shared" si="0"/>
        <v>OK</v>
      </c>
      <c r="K6" s="6">
        <f t="shared" si="1"/>
        <v>5</v>
      </c>
      <c r="L6" s="6">
        <f t="shared" si="2"/>
        <v>252</v>
      </c>
    </row>
    <row r="7" spans="1:12" ht="15.75" x14ac:dyDescent="0.25">
      <c r="A7" s="6" t="s">
        <v>945</v>
      </c>
      <c r="B7" s="7">
        <v>45200.76666666667</v>
      </c>
      <c r="C7" s="6">
        <v>78</v>
      </c>
      <c r="D7" s="6" t="s">
        <v>794</v>
      </c>
      <c r="E7" s="8" t="str">
        <f>IFERROR(VLOOKUP(LOG_RESEAU[[#This Row],[Cell_ID]],Registre_Maintenance!A:B,2,FALSE),"Non trouvé")</f>
        <v>Mai-Ndombe</v>
      </c>
      <c r="F7" s="8">
        <f>IFERROR(VLOOKUP(LOG_RESEAU[[#This Row],[Cell_ID]],Registre_Maintenance!A:C,3,FALSE),"Non trouvé")</f>
        <v>-10.442425</v>
      </c>
      <c r="G7" s="8">
        <f>IFERROR(VLOOKUP(LOG_RESEAU[[#This Row],[Cell_ID]],Registre_Maintenance!A:D,4,FALSE),"Non trouvé")</f>
        <v>23.243632000000002</v>
      </c>
      <c r="H7" s="6" t="str">
        <f>IFERROR(VLOOKUP(LOG_RESEAU[[#This Row],[Cell_ID]],Registre_Maintenance!A:E,5,FALSE),"Non trouvé")</f>
        <v>4G</v>
      </c>
      <c r="I7" s="6" t="str">
        <f>IFERROR(VLOOKUP(LOG_RESEAU[[#This Row],[Cell_ID]],Registre_Maintenance!A:F,6,FALSE),"Non trouvé")</f>
        <v>Nokia</v>
      </c>
      <c r="J7" s="6" t="str">
        <f t="shared" si="0"/>
        <v>OK</v>
      </c>
      <c r="K7" s="6">
        <f t="shared" si="1"/>
        <v>6</v>
      </c>
      <c r="L7" s="6">
        <f t="shared" si="2"/>
        <v>356</v>
      </c>
    </row>
    <row r="8" spans="1:12" ht="15.75" x14ac:dyDescent="0.25">
      <c r="A8" s="6" t="s">
        <v>945</v>
      </c>
      <c r="B8" s="7">
        <v>45226.104166666657</v>
      </c>
      <c r="C8" s="6">
        <v>56</v>
      </c>
      <c r="D8" s="6" t="s">
        <v>794</v>
      </c>
      <c r="E8" s="8" t="str">
        <f>IFERROR(VLOOKUP(LOG_RESEAU[[#This Row],[Cell_ID]],Registre_Maintenance!A:B,2,FALSE),"Non trouvé")</f>
        <v>Mai-Ndombe</v>
      </c>
      <c r="F8" s="8">
        <f>IFERROR(VLOOKUP(LOG_RESEAU[[#This Row],[Cell_ID]],Registre_Maintenance!A:C,3,FALSE),"Non trouvé")</f>
        <v>-10.442425</v>
      </c>
      <c r="G8" s="8">
        <f>IFERROR(VLOOKUP(LOG_RESEAU[[#This Row],[Cell_ID]],Registre_Maintenance!A:D,4,FALSE),"Non trouvé")</f>
        <v>23.243632000000002</v>
      </c>
      <c r="H8" s="6" t="str">
        <f>IFERROR(VLOOKUP(LOG_RESEAU[[#This Row],[Cell_ID]],Registre_Maintenance!A:E,5,FALSE),"Non trouvé")</f>
        <v>4G</v>
      </c>
      <c r="I8" s="6" t="str">
        <f>IFERROR(VLOOKUP(LOG_RESEAU[[#This Row],[Cell_ID]],Registre_Maintenance!A:F,6,FALSE),"Non trouvé")</f>
        <v>Nokia</v>
      </c>
      <c r="J8" s="6" t="str">
        <f t="shared" si="0"/>
        <v>OK</v>
      </c>
      <c r="K8" s="6">
        <f t="shared" si="1"/>
        <v>6</v>
      </c>
      <c r="L8" s="6">
        <f t="shared" si="2"/>
        <v>356</v>
      </c>
    </row>
    <row r="9" spans="1:12" ht="15.75" x14ac:dyDescent="0.25">
      <c r="A9" s="6" t="s">
        <v>945</v>
      </c>
      <c r="B9" s="7">
        <v>45230.15347222222</v>
      </c>
      <c r="C9" s="6">
        <v>43</v>
      </c>
      <c r="D9" s="6" t="s">
        <v>800</v>
      </c>
      <c r="E9" s="8" t="str">
        <f>IFERROR(VLOOKUP(LOG_RESEAU[[#This Row],[Cell_ID]],Registre_Maintenance!A:B,2,FALSE),"Non trouvé")</f>
        <v>Mai-Ndombe</v>
      </c>
      <c r="F9" s="8">
        <f>IFERROR(VLOOKUP(LOG_RESEAU[[#This Row],[Cell_ID]],Registre_Maintenance!A:C,3,FALSE),"Non trouvé")</f>
        <v>-10.442425</v>
      </c>
      <c r="G9" s="8">
        <f>IFERROR(VLOOKUP(LOG_RESEAU[[#This Row],[Cell_ID]],Registre_Maintenance!A:D,4,FALSE),"Non trouvé")</f>
        <v>23.243632000000002</v>
      </c>
      <c r="H9" s="6" t="str">
        <f>IFERROR(VLOOKUP(LOG_RESEAU[[#This Row],[Cell_ID]],Registre_Maintenance!A:E,5,FALSE),"Non trouvé")</f>
        <v>4G</v>
      </c>
      <c r="I9" s="6" t="str">
        <f>IFERROR(VLOOKUP(LOG_RESEAU[[#This Row],[Cell_ID]],Registre_Maintenance!A:F,6,FALSE),"Non trouvé")</f>
        <v>Nokia</v>
      </c>
      <c r="J9" s="6" t="str">
        <f t="shared" si="0"/>
        <v>OK</v>
      </c>
      <c r="K9" s="6">
        <f t="shared" si="1"/>
        <v>6</v>
      </c>
      <c r="L9" s="6">
        <f t="shared" si="2"/>
        <v>356</v>
      </c>
    </row>
    <row r="10" spans="1:12" ht="15.75" x14ac:dyDescent="0.25">
      <c r="A10" s="6" t="s">
        <v>945</v>
      </c>
      <c r="B10" s="7">
        <v>45207.525000000001</v>
      </c>
      <c r="C10" s="6">
        <v>104</v>
      </c>
      <c r="D10" s="6" t="s">
        <v>794</v>
      </c>
      <c r="E10" s="8" t="str">
        <f>IFERROR(VLOOKUP(LOG_RESEAU[[#This Row],[Cell_ID]],Registre_Maintenance!A:B,2,FALSE),"Non trouvé")</f>
        <v>Mai-Ndombe</v>
      </c>
      <c r="F10" s="8">
        <f>IFERROR(VLOOKUP(LOG_RESEAU[[#This Row],[Cell_ID]],Registre_Maintenance!A:C,3,FALSE),"Non trouvé")</f>
        <v>-10.442425</v>
      </c>
      <c r="G10" s="8">
        <f>IFERROR(VLOOKUP(LOG_RESEAU[[#This Row],[Cell_ID]],Registre_Maintenance!A:D,4,FALSE),"Non trouvé")</f>
        <v>23.243632000000002</v>
      </c>
      <c r="H10" s="6" t="str">
        <f>IFERROR(VLOOKUP(LOG_RESEAU[[#This Row],[Cell_ID]],Registre_Maintenance!A:E,5,FALSE),"Non trouvé")</f>
        <v>4G</v>
      </c>
      <c r="I10" s="6" t="str">
        <f>IFERROR(VLOOKUP(LOG_RESEAU[[#This Row],[Cell_ID]],Registre_Maintenance!A:F,6,FALSE),"Non trouvé")</f>
        <v>Nokia</v>
      </c>
      <c r="J10" s="6" t="str">
        <f t="shared" si="0"/>
        <v>OK</v>
      </c>
      <c r="K10" s="6">
        <f t="shared" si="1"/>
        <v>6</v>
      </c>
      <c r="L10" s="6">
        <f t="shared" si="2"/>
        <v>356</v>
      </c>
    </row>
    <row r="11" spans="1:12" ht="15.75" x14ac:dyDescent="0.25">
      <c r="A11" s="6" t="s">
        <v>945</v>
      </c>
      <c r="B11" s="7">
        <v>45204.29583333333</v>
      </c>
      <c r="C11" s="6">
        <v>48</v>
      </c>
      <c r="D11" s="6" t="s">
        <v>792</v>
      </c>
      <c r="E11" s="8" t="str">
        <f>IFERROR(VLOOKUP(LOG_RESEAU[[#This Row],[Cell_ID]],Registre_Maintenance!A:B,2,FALSE),"Non trouvé")</f>
        <v>Mai-Ndombe</v>
      </c>
      <c r="F11" s="8">
        <f>IFERROR(VLOOKUP(LOG_RESEAU[[#This Row],[Cell_ID]],Registre_Maintenance!A:C,3,FALSE),"Non trouvé")</f>
        <v>-10.442425</v>
      </c>
      <c r="G11" s="8">
        <f>IFERROR(VLOOKUP(LOG_RESEAU[[#This Row],[Cell_ID]],Registre_Maintenance!A:D,4,FALSE),"Non trouvé")</f>
        <v>23.243632000000002</v>
      </c>
      <c r="H11" s="6" t="str">
        <f>IFERROR(VLOOKUP(LOG_RESEAU[[#This Row],[Cell_ID]],Registre_Maintenance!A:E,5,FALSE),"Non trouvé")</f>
        <v>4G</v>
      </c>
      <c r="I11" s="6" t="str">
        <f>IFERROR(VLOOKUP(LOG_RESEAU[[#This Row],[Cell_ID]],Registre_Maintenance!A:F,6,FALSE),"Non trouvé")</f>
        <v>Nokia</v>
      </c>
      <c r="J11" s="6" t="str">
        <f t="shared" si="0"/>
        <v>OK</v>
      </c>
      <c r="K11" s="6">
        <f t="shared" si="1"/>
        <v>6</v>
      </c>
      <c r="L11" s="6">
        <f t="shared" si="2"/>
        <v>356</v>
      </c>
    </row>
    <row r="12" spans="1:12" ht="15.75" x14ac:dyDescent="0.25">
      <c r="A12" s="6" t="s">
        <v>945</v>
      </c>
      <c r="B12" s="7">
        <v>45224.568055555559</v>
      </c>
      <c r="C12" s="6">
        <v>27</v>
      </c>
      <c r="D12" s="6" t="s">
        <v>794</v>
      </c>
      <c r="E12" s="8" t="str">
        <f>IFERROR(VLOOKUP(LOG_RESEAU[[#This Row],[Cell_ID]],Registre_Maintenance!A:B,2,FALSE),"Non trouvé")</f>
        <v>Mai-Ndombe</v>
      </c>
      <c r="F12" s="8">
        <f>IFERROR(VLOOKUP(LOG_RESEAU[[#This Row],[Cell_ID]],Registre_Maintenance!A:C,3,FALSE),"Non trouvé")</f>
        <v>-10.442425</v>
      </c>
      <c r="G12" s="8">
        <f>IFERROR(VLOOKUP(LOG_RESEAU[[#This Row],[Cell_ID]],Registre_Maintenance!A:D,4,FALSE),"Non trouvé")</f>
        <v>23.243632000000002</v>
      </c>
      <c r="H12" s="6" t="str">
        <f>IFERROR(VLOOKUP(LOG_RESEAU[[#This Row],[Cell_ID]],Registre_Maintenance!A:E,5,FALSE),"Non trouvé")</f>
        <v>4G</v>
      </c>
      <c r="I12" s="6" t="str">
        <f>IFERROR(VLOOKUP(LOG_RESEAU[[#This Row],[Cell_ID]],Registre_Maintenance!A:F,6,FALSE),"Non trouvé")</f>
        <v>Nokia</v>
      </c>
      <c r="J12" s="6" t="str">
        <f t="shared" si="0"/>
        <v>OK</v>
      </c>
      <c r="K12" s="6">
        <f t="shared" si="1"/>
        <v>6</v>
      </c>
      <c r="L12" s="6">
        <f t="shared" si="2"/>
        <v>356</v>
      </c>
    </row>
    <row r="13" spans="1:12" ht="15.75" x14ac:dyDescent="0.25">
      <c r="A13" s="6" t="s">
        <v>947</v>
      </c>
      <c r="B13" s="7">
        <v>45200.51458333333</v>
      </c>
      <c r="C13" s="6">
        <v>86</v>
      </c>
      <c r="D13" s="6" t="s">
        <v>792</v>
      </c>
      <c r="E13" s="8" t="str">
        <f>IFERROR(VLOOKUP(LOG_RESEAU[[#This Row],[Cell_ID]],Registre_Maintenance!A:B,2,FALSE),"Non trouvé")</f>
        <v>Non trouvé</v>
      </c>
      <c r="F13" s="8" t="str">
        <f>IFERROR(VLOOKUP(LOG_RESEAU[[#This Row],[Cell_ID]],Registre_Maintenance!A:C,3,FALSE),"Non trouvé")</f>
        <v>Non trouvé</v>
      </c>
      <c r="G13" s="8" t="str">
        <f>IFERROR(VLOOKUP(LOG_RESEAU[[#This Row],[Cell_ID]],Registre_Maintenance!A:D,4,FALSE),"Non trouvé")</f>
        <v>Non trouvé</v>
      </c>
      <c r="H13" s="6" t="str">
        <f>IFERROR(VLOOKUP(LOG_RESEAU[[#This Row],[Cell_ID]],Registre_Maintenance!A:E,5,FALSE),"Non trouvé")</f>
        <v>Non trouvé</v>
      </c>
      <c r="I13" s="6" t="str">
        <f>IFERROR(VLOOKUP(LOG_RESEAU[[#This Row],[Cell_ID]],Registre_Maintenance!A:F,6,FALSE),"Non trouvé")</f>
        <v>Non trouvé</v>
      </c>
      <c r="J13" s="6" t="str">
        <f t="shared" si="0"/>
        <v>Antenne inconnue</v>
      </c>
      <c r="K13" s="6">
        <f t="shared" si="1"/>
        <v>4</v>
      </c>
      <c r="L13" s="6">
        <f t="shared" si="2"/>
        <v>266</v>
      </c>
    </row>
    <row r="14" spans="1:12" ht="15.75" x14ac:dyDescent="0.25">
      <c r="A14" s="6" t="s">
        <v>947</v>
      </c>
      <c r="B14" s="7">
        <v>45215.864583333343</v>
      </c>
      <c r="C14" s="6">
        <v>45</v>
      </c>
      <c r="D14" s="6" t="s">
        <v>792</v>
      </c>
      <c r="E14" s="8" t="str">
        <f>IFERROR(VLOOKUP(LOG_RESEAU[[#This Row],[Cell_ID]],Registre_Maintenance!A:B,2,FALSE),"Non trouvé")</f>
        <v>Non trouvé</v>
      </c>
      <c r="F14" s="8" t="str">
        <f>IFERROR(VLOOKUP(LOG_RESEAU[[#This Row],[Cell_ID]],Registre_Maintenance!A:C,3,FALSE),"Non trouvé")</f>
        <v>Non trouvé</v>
      </c>
      <c r="G14" s="8" t="str">
        <f>IFERROR(VLOOKUP(LOG_RESEAU[[#This Row],[Cell_ID]],Registre_Maintenance!A:D,4,FALSE),"Non trouvé")</f>
        <v>Non trouvé</v>
      </c>
      <c r="H14" s="6" t="str">
        <f>IFERROR(VLOOKUP(LOG_RESEAU[[#This Row],[Cell_ID]],Registre_Maintenance!A:E,5,FALSE),"Non trouvé")</f>
        <v>Non trouvé</v>
      </c>
      <c r="I14" s="6" t="str">
        <f>IFERROR(VLOOKUP(LOG_RESEAU[[#This Row],[Cell_ID]],Registre_Maintenance!A:F,6,FALSE),"Non trouvé")</f>
        <v>Non trouvé</v>
      </c>
      <c r="J14" s="6" t="str">
        <f t="shared" si="0"/>
        <v>Antenne inconnue</v>
      </c>
      <c r="K14" s="6">
        <f t="shared" si="1"/>
        <v>4</v>
      </c>
      <c r="L14" s="6">
        <f t="shared" si="2"/>
        <v>266</v>
      </c>
    </row>
    <row r="15" spans="1:12" ht="15.75" x14ac:dyDescent="0.25">
      <c r="A15" s="6" t="s">
        <v>947</v>
      </c>
      <c r="B15" s="7">
        <v>45220.87222222222</v>
      </c>
      <c r="C15" s="6">
        <v>34</v>
      </c>
      <c r="D15" s="6" t="s">
        <v>794</v>
      </c>
      <c r="E15" s="8" t="str">
        <f>IFERROR(VLOOKUP(LOG_RESEAU[[#This Row],[Cell_ID]],Registre_Maintenance!A:B,2,FALSE),"Non trouvé")</f>
        <v>Non trouvé</v>
      </c>
      <c r="F15" s="8" t="str">
        <f>IFERROR(VLOOKUP(LOG_RESEAU[[#This Row],[Cell_ID]],Registre_Maintenance!A:C,3,FALSE),"Non trouvé")</f>
        <v>Non trouvé</v>
      </c>
      <c r="G15" s="8" t="str">
        <f>IFERROR(VLOOKUP(LOG_RESEAU[[#This Row],[Cell_ID]],Registre_Maintenance!A:D,4,FALSE),"Non trouvé")</f>
        <v>Non trouvé</v>
      </c>
      <c r="H15" s="6" t="str">
        <f>IFERROR(VLOOKUP(LOG_RESEAU[[#This Row],[Cell_ID]],Registre_Maintenance!A:E,5,FALSE),"Non trouvé")</f>
        <v>Non trouvé</v>
      </c>
      <c r="I15" s="6" t="str">
        <f>IFERROR(VLOOKUP(LOG_RESEAU[[#This Row],[Cell_ID]],Registre_Maintenance!A:F,6,FALSE),"Non trouvé")</f>
        <v>Non trouvé</v>
      </c>
      <c r="J15" s="6" t="str">
        <f t="shared" si="0"/>
        <v>Antenne inconnue</v>
      </c>
      <c r="K15" s="6">
        <f t="shared" si="1"/>
        <v>4</v>
      </c>
      <c r="L15" s="6">
        <f t="shared" si="2"/>
        <v>266</v>
      </c>
    </row>
    <row r="16" spans="1:12" ht="15.75" x14ac:dyDescent="0.25">
      <c r="A16" s="6" t="s">
        <v>947</v>
      </c>
      <c r="B16" s="7">
        <v>45212.689583333333</v>
      </c>
      <c r="C16" s="6">
        <v>101</v>
      </c>
      <c r="D16" s="6" t="s">
        <v>794</v>
      </c>
      <c r="E16" s="8" t="str">
        <f>IFERROR(VLOOKUP(LOG_RESEAU[[#This Row],[Cell_ID]],Registre_Maintenance!A:B,2,FALSE),"Non trouvé")</f>
        <v>Non trouvé</v>
      </c>
      <c r="F16" s="8" t="str">
        <f>IFERROR(VLOOKUP(LOG_RESEAU[[#This Row],[Cell_ID]],Registre_Maintenance!A:C,3,FALSE),"Non trouvé")</f>
        <v>Non trouvé</v>
      </c>
      <c r="G16" s="8" t="str">
        <f>IFERROR(VLOOKUP(LOG_RESEAU[[#This Row],[Cell_ID]],Registre_Maintenance!A:D,4,FALSE),"Non trouvé")</f>
        <v>Non trouvé</v>
      </c>
      <c r="H16" s="6" t="str">
        <f>IFERROR(VLOOKUP(LOG_RESEAU[[#This Row],[Cell_ID]],Registre_Maintenance!A:E,5,FALSE),"Non trouvé")</f>
        <v>Non trouvé</v>
      </c>
      <c r="I16" s="6" t="str">
        <f>IFERROR(VLOOKUP(LOG_RESEAU[[#This Row],[Cell_ID]],Registre_Maintenance!A:F,6,FALSE),"Non trouvé")</f>
        <v>Non trouvé</v>
      </c>
      <c r="J16" s="6" t="str">
        <f t="shared" si="0"/>
        <v>Antenne inconnue</v>
      </c>
      <c r="K16" s="6">
        <f t="shared" si="1"/>
        <v>4</v>
      </c>
      <c r="L16" s="6">
        <f t="shared" si="2"/>
        <v>266</v>
      </c>
    </row>
    <row r="17" spans="1:12" ht="15.75" x14ac:dyDescent="0.25">
      <c r="A17" s="6" t="s">
        <v>913</v>
      </c>
      <c r="B17" s="7">
        <v>45205.24722222222</v>
      </c>
      <c r="C17" s="6">
        <v>21</v>
      </c>
      <c r="D17" s="6" t="s">
        <v>794</v>
      </c>
      <c r="E17" s="8" t="str">
        <f>IFERROR(VLOOKUP(LOG_RESEAU[[#This Row],[Cell_ID]],Registre_Maintenance!A:B,2,FALSE),"Non trouvé")</f>
        <v>Non trouvé</v>
      </c>
      <c r="F17" s="8" t="str">
        <f>IFERROR(VLOOKUP(LOG_RESEAU[[#This Row],[Cell_ID]],Registre_Maintenance!A:C,3,FALSE),"Non trouvé")</f>
        <v>Non trouvé</v>
      </c>
      <c r="G17" s="8" t="str">
        <f>IFERROR(VLOOKUP(LOG_RESEAU[[#This Row],[Cell_ID]],Registre_Maintenance!A:D,4,FALSE),"Non trouvé")</f>
        <v>Non trouvé</v>
      </c>
      <c r="H17" s="6" t="str">
        <f>IFERROR(VLOOKUP(LOG_RESEAU[[#This Row],[Cell_ID]],Registre_Maintenance!A:E,5,FALSE),"Non trouvé")</f>
        <v>Non trouvé</v>
      </c>
      <c r="I17" s="6" t="str">
        <f>IFERROR(VLOOKUP(LOG_RESEAU[[#This Row],[Cell_ID]],Registre_Maintenance!A:F,6,FALSE),"Non trouvé")</f>
        <v>Non trouvé</v>
      </c>
      <c r="J17" s="6" t="str">
        <f t="shared" si="0"/>
        <v>Antenne inconnue</v>
      </c>
      <c r="K17" s="6">
        <f t="shared" si="1"/>
        <v>6</v>
      </c>
      <c r="L17" s="6">
        <f t="shared" si="2"/>
        <v>360</v>
      </c>
    </row>
    <row r="18" spans="1:12" ht="15.75" x14ac:dyDescent="0.25">
      <c r="A18" s="6" t="s">
        <v>913</v>
      </c>
      <c r="B18" s="7">
        <v>45230.834722222222</v>
      </c>
      <c r="C18" s="6">
        <v>93</v>
      </c>
      <c r="D18" s="6" t="s">
        <v>800</v>
      </c>
      <c r="E18" s="8" t="str">
        <f>IFERROR(VLOOKUP(LOG_RESEAU[[#This Row],[Cell_ID]],Registre_Maintenance!A:B,2,FALSE),"Non trouvé")</f>
        <v>Non trouvé</v>
      </c>
      <c r="F18" s="8" t="str">
        <f>IFERROR(VLOOKUP(LOG_RESEAU[[#This Row],[Cell_ID]],Registre_Maintenance!A:C,3,FALSE),"Non trouvé")</f>
        <v>Non trouvé</v>
      </c>
      <c r="G18" s="8" t="str">
        <f>IFERROR(VLOOKUP(LOG_RESEAU[[#This Row],[Cell_ID]],Registre_Maintenance!A:D,4,FALSE),"Non trouvé")</f>
        <v>Non trouvé</v>
      </c>
      <c r="H18" s="6" t="str">
        <f>IFERROR(VLOOKUP(LOG_RESEAU[[#This Row],[Cell_ID]],Registre_Maintenance!A:E,5,FALSE),"Non trouvé")</f>
        <v>Non trouvé</v>
      </c>
      <c r="I18" s="6" t="str">
        <f>IFERROR(VLOOKUP(LOG_RESEAU[[#This Row],[Cell_ID]],Registre_Maintenance!A:F,6,FALSE),"Non trouvé")</f>
        <v>Non trouvé</v>
      </c>
      <c r="J18" s="6" t="str">
        <f t="shared" si="0"/>
        <v>Antenne inconnue</v>
      </c>
      <c r="K18" s="6">
        <f t="shared" si="1"/>
        <v>6</v>
      </c>
      <c r="L18" s="6">
        <f t="shared" si="2"/>
        <v>360</v>
      </c>
    </row>
    <row r="19" spans="1:12" ht="15.75" x14ac:dyDescent="0.25">
      <c r="A19" s="6" t="s">
        <v>913</v>
      </c>
      <c r="B19" s="7">
        <v>45215.047222222223</v>
      </c>
      <c r="C19" s="6">
        <v>85</v>
      </c>
      <c r="D19" s="6" t="s">
        <v>792</v>
      </c>
      <c r="E19" s="8" t="str">
        <f>IFERROR(VLOOKUP(LOG_RESEAU[[#This Row],[Cell_ID]],Registre_Maintenance!A:B,2,FALSE),"Non trouvé")</f>
        <v>Non trouvé</v>
      </c>
      <c r="F19" s="8" t="str">
        <f>IFERROR(VLOOKUP(LOG_RESEAU[[#This Row],[Cell_ID]],Registre_Maintenance!A:C,3,FALSE),"Non trouvé")</f>
        <v>Non trouvé</v>
      </c>
      <c r="G19" s="8" t="str">
        <f>IFERROR(VLOOKUP(LOG_RESEAU[[#This Row],[Cell_ID]],Registre_Maintenance!A:D,4,FALSE),"Non trouvé")</f>
        <v>Non trouvé</v>
      </c>
      <c r="H19" s="6" t="str">
        <f>IFERROR(VLOOKUP(LOG_RESEAU[[#This Row],[Cell_ID]],Registre_Maintenance!A:E,5,FALSE),"Non trouvé")</f>
        <v>Non trouvé</v>
      </c>
      <c r="I19" s="6" t="str">
        <f>IFERROR(VLOOKUP(LOG_RESEAU[[#This Row],[Cell_ID]],Registre_Maintenance!A:F,6,FALSE),"Non trouvé")</f>
        <v>Non trouvé</v>
      </c>
      <c r="J19" s="6" t="str">
        <f t="shared" si="0"/>
        <v>Antenne inconnue</v>
      </c>
      <c r="K19" s="6">
        <f t="shared" si="1"/>
        <v>6</v>
      </c>
      <c r="L19" s="6">
        <f t="shared" si="2"/>
        <v>360</v>
      </c>
    </row>
    <row r="20" spans="1:12" ht="15.75" x14ac:dyDescent="0.25">
      <c r="A20" s="6" t="s">
        <v>913</v>
      </c>
      <c r="B20" s="7">
        <v>45208.301388888889</v>
      </c>
      <c r="C20" s="6">
        <v>38</v>
      </c>
      <c r="D20" s="6" t="s">
        <v>794</v>
      </c>
      <c r="E20" s="8" t="str">
        <f>IFERROR(VLOOKUP(LOG_RESEAU[[#This Row],[Cell_ID]],Registre_Maintenance!A:B,2,FALSE),"Non trouvé")</f>
        <v>Non trouvé</v>
      </c>
      <c r="F20" s="8" t="str">
        <f>IFERROR(VLOOKUP(LOG_RESEAU[[#This Row],[Cell_ID]],Registre_Maintenance!A:C,3,FALSE),"Non trouvé")</f>
        <v>Non trouvé</v>
      </c>
      <c r="G20" s="8" t="str">
        <f>IFERROR(VLOOKUP(LOG_RESEAU[[#This Row],[Cell_ID]],Registre_Maintenance!A:D,4,FALSE),"Non trouvé")</f>
        <v>Non trouvé</v>
      </c>
      <c r="H20" s="6" t="str">
        <f>IFERROR(VLOOKUP(LOG_RESEAU[[#This Row],[Cell_ID]],Registre_Maintenance!A:E,5,FALSE),"Non trouvé")</f>
        <v>Non trouvé</v>
      </c>
      <c r="I20" s="6" t="str">
        <f>IFERROR(VLOOKUP(LOG_RESEAU[[#This Row],[Cell_ID]],Registre_Maintenance!A:F,6,FALSE),"Non trouvé")</f>
        <v>Non trouvé</v>
      </c>
      <c r="J20" s="6" t="str">
        <f t="shared" si="0"/>
        <v>Antenne inconnue</v>
      </c>
      <c r="K20" s="6">
        <f t="shared" si="1"/>
        <v>6</v>
      </c>
      <c r="L20" s="6">
        <f t="shared" si="2"/>
        <v>360</v>
      </c>
    </row>
    <row r="21" spans="1:12" ht="15.75" x14ac:dyDescent="0.25">
      <c r="A21" s="6" t="s">
        <v>913</v>
      </c>
      <c r="B21" s="7">
        <v>45226.003472222219</v>
      </c>
      <c r="C21" s="6">
        <v>111</v>
      </c>
      <c r="D21" s="6" t="s">
        <v>794</v>
      </c>
      <c r="E21" s="8" t="str">
        <f>IFERROR(VLOOKUP(LOG_RESEAU[[#This Row],[Cell_ID]],Registre_Maintenance!A:B,2,FALSE),"Non trouvé")</f>
        <v>Non trouvé</v>
      </c>
      <c r="F21" s="8" t="str">
        <f>IFERROR(VLOOKUP(LOG_RESEAU[[#This Row],[Cell_ID]],Registre_Maintenance!A:C,3,FALSE),"Non trouvé")</f>
        <v>Non trouvé</v>
      </c>
      <c r="G21" s="8" t="str">
        <f>IFERROR(VLOOKUP(LOG_RESEAU[[#This Row],[Cell_ID]],Registre_Maintenance!A:D,4,FALSE),"Non trouvé")</f>
        <v>Non trouvé</v>
      </c>
      <c r="H21" s="6" t="str">
        <f>IFERROR(VLOOKUP(LOG_RESEAU[[#This Row],[Cell_ID]],Registre_Maintenance!A:E,5,FALSE),"Non trouvé")</f>
        <v>Non trouvé</v>
      </c>
      <c r="I21" s="6" t="str">
        <f>IFERROR(VLOOKUP(LOG_RESEAU[[#This Row],[Cell_ID]],Registre_Maintenance!A:F,6,FALSE),"Non trouvé")</f>
        <v>Non trouvé</v>
      </c>
      <c r="J21" s="6" t="str">
        <f t="shared" si="0"/>
        <v>Antenne inconnue</v>
      </c>
      <c r="K21" s="6">
        <f t="shared" si="1"/>
        <v>6</v>
      </c>
      <c r="L21" s="6">
        <f t="shared" si="2"/>
        <v>360</v>
      </c>
    </row>
    <row r="22" spans="1:12" ht="15.75" x14ac:dyDescent="0.25">
      <c r="A22" s="6" t="s">
        <v>913</v>
      </c>
      <c r="B22" s="7">
        <v>45216.950694444437</v>
      </c>
      <c r="C22" s="6">
        <v>12</v>
      </c>
      <c r="D22" s="6" t="s">
        <v>794</v>
      </c>
      <c r="E22" s="8" t="str">
        <f>IFERROR(VLOOKUP(LOG_RESEAU[[#This Row],[Cell_ID]],Registre_Maintenance!A:B,2,FALSE),"Non trouvé")</f>
        <v>Non trouvé</v>
      </c>
      <c r="F22" s="8" t="str">
        <f>IFERROR(VLOOKUP(LOG_RESEAU[[#This Row],[Cell_ID]],Registre_Maintenance!A:C,3,FALSE),"Non trouvé")</f>
        <v>Non trouvé</v>
      </c>
      <c r="G22" s="8" t="str">
        <f>IFERROR(VLOOKUP(LOG_RESEAU[[#This Row],[Cell_ID]],Registre_Maintenance!A:D,4,FALSE),"Non trouvé")</f>
        <v>Non trouvé</v>
      </c>
      <c r="H22" s="6" t="str">
        <f>IFERROR(VLOOKUP(LOG_RESEAU[[#This Row],[Cell_ID]],Registre_Maintenance!A:E,5,FALSE),"Non trouvé")</f>
        <v>Non trouvé</v>
      </c>
      <c r="I22" s="6" t="str">
        <f>IFERROR(VLOOKUP(LOG_RESEAU[[#This Row],[Cell_ID]],Registre_Maintenance!A:F,6,FALSE),"Non trouvé")</f>
        <v>Non trouvé</v>
      </c>
      <c r="J22" s="6" t="str">
        <f t="shared" si="0"/>
        <v>Antenne inconnue</v>
      </c>
      <c r="K22" s="6">
        <f t="shared" si="1"/>
        <v>6</v>
      </c>
      <c r="L22" s="6">
        <f t="shared" si="2"/>
        <v>360</v>
      </c>
    </row>
    <row r="23" spans="1:12" ht="15.75" x14ac:dyDescent="0.25">
      <c r="A23" s="6" t="s">
        <v>852</v>
      </c>
      <c r="B23" s="7">
        <v>45220.693055555559</v>
      </c>
      <c r="C23" s="6">
        <v>12</v>
      </c>
      <c r="D23" s="6" t="s">
        <v>800</v>
      </c>
      <c r="E23" s="8" t="str">
        <f>IFERROR(VLOOKUP(LOG_RESEAU[[#This Row],[Cell_ID]],Registre_Maintenance!A:B,2,FALSE),"Non trouvé")</f>
        <v>Equateur</v>
      </c>
      <c r="F23" s="8">
        <f>IFERROR(VLOOKUP(LOG_RESEAU[[#This Row],[Cell_ID]],Registre_Maintenance!A:C,3,FALSE),"Non trouvé")</f>
        <v>-3.544581</v>
      </c>
      <c r="G23" s="8">
        <f>IFERROR(VLOOKUP(LOG_RESEAU[[#This Row],[Cell_ID]],Registre_Maintenance!A:D,4,FALSE),"Non trouvé")</f>
        <v>14.776605</v>
      </c>
      <c r="H23" s="6" t="str">
        <f>IFERROR(VLOOKUP(LOG_RESEAU[[#This Row],[Cell_ID]],Registre_Maintenance!A:E,5,FALSE),"Non trouvé")</f>
        <v>4G</v>
      </c>
      <c r="I23" s="6" t="str">
        <f>IFERROR(VLOOKUP(LOG_RESEAU[[#This Row],[Cell_ID]],Registre_Maintenance!A:F,6,FALSE),"Non trouvé")</f>
        <v>Nokia</v>
      </c>
      <c r="J23" s="6" t="str">
        <f t="shared" si="0"/>
        <v>OK</v>
      </c>
      <c r="K23" s="6">
        <f t="shared" si="1"/>
        <v>6</v>
      </c>
      <c r="L23" s="6">
        <f t="shared" si="2"/>
        <v>281</v>
      </c>
    </row>
    <row r="24" spans="1:12" ht="15.75" x14ac:dyDescent="0.25">
      <c r="A24" s="6" t="s">
        <v>852</v>
      </c>
      <c r="B24" s="7">
        <v>45225.776388888888</v>
      </c>
      <c r="C24" s="6">
        <v>43</v>
      </c>
      <c r="D24" s="6" t="s">
        <v>792</v>
      </c>
      <c r="E24" s="8" t="str">
        <f>IFERROR(VLOOKUP(LOG_RESEAU[[#This Row],[Cell_ID]],Registre_Maintenance!A:B,2,FALSE),"Non trouvé")</f>
        <v>Equateur</v>
      </c>
      <c r="F24" s="8">
        <f>IFERROR(VLOOKUP(LOG_RESEAU[[#This Row],[Cell_ID]],Registre_Maintenance!A:C,3,FALSE),"Non trouvé")</f>
        <v>-3.544581</v>
      </c>
      <c r="G24" s="8">
        <f>IFERROR(VLOOKUP(LOG_RESEAU[[#This Row],[Cell_ID]],Registre_Maintenance!A:D,4,FALSE),"Non trouvé")</f>
        <v>14.776605</v>
      </c>
      <c r="H24" s="6" t="str">
        <f>IFERROR(VLOOKUP(LOG_RESEAU[[#This Row],[Cell_ID]],Registre_Maintenance!A:E,5,FALSE),"Non trouvé")</f>
        <v>4G</v>
      </c>
      <c r="I24" s="6" t="str">
        <f>IFERROR(VLOOKUP(LOG_RESEAU[[#This Row],[Cell_ID]],Registre_Maintenance!A:F,6,FALSE),"Non trouvé")</f>
        <v>Nokia</v>
      </c>
      <c r="J24" s="6" t="str">
        <f t="shared" si="0"/>
        <v>OK</v>
      </c>
      <c r="K24" s="6">
        <f t="shared" si="1"/>
        <v>6</v>
      </c>
      <c r="L24" s="6">
        <f t="shared" si="2"/>
        <v>281</v>
      </c>
    </row>
    <row r="25" spans="1:12" ht="15.75" x14ac:dyDescent="0.25">
      <c r="A25" s="6" t="s">
        <v>852</v>
      </c>
      <c r="B25" s="7">
        <v>45224.552777777782</v>
      </c>
      <c r="C25" s="6">
        <v>92</v>
      </c>
      <c r="D25" s="6" t="s">
        <v>794</v>
      </c>
      <c r="E25" s="8" t="str">
        <f>IFERROR(VLOOKUP(LOG_RESEAU[[#This Row],[Cell_ID]],Registre_Maintenance!A:B,2,FALSE),"Non trouvé")</f>
        <v>Equateur</v>
      </c>
      <c r="F25" s="8">
        <f>IFERROR(VLOOKUP(LOG_RESEAU[[#This Row],[Cell_ID]],Registre_Maintenance!A:C,3,FALSE),"Non trouvé")</f>
        <v>-3.544581</v>
      </c>
      <c r="G25" s="8">
        <f>IFERROR(VLOOKUP(LOG_RESEAU[[#This Row],[Cell_ID]],Registre_Maintenance!A:D,4,FALSE),"Non trouvé")</f>
        <v>14.776605</v>
      </c>
      <c r="H25" s="6" t="str">
        <f>IFERROR(VLOOKUP(LOG_RESEAU[[#This Row],[Cell_ID]],Registre_Maintenance!A:E,5,FALSE),"Non trouvé")</f>
        <v>4G</v>
      </c>
      <c r="I25" s="6" t="str">
        <f>IFERROR(VLOOKUP(LOG_RESEAU[[#This Row],[Cell_ID]],Registre_Maintenance!A:F,6,FALSE),"Non trouvé")</f>
        <v>Nokia</v>
      </c>
      <c r="J25" s="6" t="str">
        <f t="shared" si="0"/>
        <v>OK</v>
      </c>
      <c r="K25" s="6">
        <f t="shared" si="1"/>
        <v>6</v>
      </c>
      <c r="L25" s="6">
        <f t="shared" si="2"/>
        <v>281</v>
      </c>
    </row>
    <row r="26" spans="1:12" ht="15.75" x14ac:dyDescent="0.25">
      <c r="A26" s="6" t="s">
        <v>852</v>
      </c>
      <c r="B26" s="7">
        <v>45224.010416666657</v>
      </c>
      <c r="C26" s="6">
        <v>12</v>
      </c>
      <c r="D26" s="6" t="s">
        <v>800</v>
      </c>
      <c r="E26" s="8" t="str">
        <f>IFERROR(VLOOKUP(LOG_RESEAU[[#This Row],[Cell_ID]],Registre_Maintenance!A:B,2,FALSE),"Non trouvé")</f>
        <v>Equateur</v>
      </c>
      <c r="F26" s="8">
        <f>IFERROR(VLOOKUP(LOG_RESEAU[[#This Row],[Cell_ID]],Registre_Maintenance!A:C,3,FALSE),"Non trouvé")</f>
        <v>-3.544581</v>
      </c>
      <c r="G26" s="8">
        <f>IFERROR(VLOOKUP(LOG_RESEAU[[#This Row],[Cell_ID]],Registre_Maintenance!A:D,4,FALSE),"Non trouvé")</f>
        <v>14.776605</v>
      </c>
      <c r="H26" s="6" t="str">
        <f>IFERROR(VLOOKUP(LOG_RESEAU[[#This Row],[Cell_ID]],Registre_Maintenance!A:E,5,FALSE),"Non trouvé")</f>
        <v>4G</v>
      </c>
      <c r="I26" s="6" t="str">
        <f>IFERROR(VLOOKUP(LOG_RESEAU[[#This Row],[Cell_ID]],Registre_Maintenance!A:F,6,FALSE),"Non trouvé")</f>
        <v>Nokia</v>
      </c>
      <c r="J26" s="6" t="str">
        <f t="shared" si="0"/>
        <v>OK</v>
      </c>
      <c r="K26" s="6">
        <f t="shared" si="1"/>
        <v>6</v>
      </c>
      <c r="L26" s="6">
        <f t="shared" si="2"/>
        <v>281</v>
      </c>
    </row>
    <row r="27" spans="1:12" ht="15.75" x14ac:dyDescent="0.25">
      <c r="A27" s="6" t="s">
        <v>852</v>
      </c>
      <c r="B27" s="7">
        <v>45211.234722222223</v>
      </c>
      <c r="C27" s="6">
        <v>31</v>
      </c>
      <c r="D27" s="6" t="s">
        <v>800</v>
      </c>
      <c r="E27" s="8" t="str">
        <f>IFERROR(VLOOKUP(LOG_RESEAU[[#This Row],[Cell_ID]],Registre_Maintenance!A:B,2,FALSE),"Non trouvé")</f>
        <v>Equateur</v>
      </c>
      <c r="F27" s="8">
        <f>IFERROR(VLOOKUP(LOG_RESEAU[[#This Row],[Cell_ID]],Registre_Maintenance!A:C,3,FALSE),"Non trouvé")</f>
        <v>-3.544581</v>
      </c>
      <c r="G27" s="8">
        <f>IFERROR(VLOOKUP(LOG_RESEAU[[#This Row],[Cell_ID]],Registre_Maintenance!A:D,4,FALSE),"Non trouvé")</f>
        <v>14.776605</v>
      </c>
      <c r="H27" s="6" t="str">
        <f>IFERROR(VLOOKUP(LOG_RESEAU[[#This Row],[Cell_ID]],Registre_Maintenance!A:E,5,FALSE),"Non trouvé")</f>
        <v>4G</v>
      </c>
      <c r="I27" s="6" t="str">
        <f>IFERROR(VLOOKUP(LOG_RESEAU[[#This Row],[Cell_ID]],Registre_Maintenance!A:F,6,FALSE),"Non trouvé")</f>
        <v>Nokia</v>
      </c>
      <c r="J27" s="6" t="str">
        <f t="shared" si="0"/>
        <v>OK</v>
      </c>
      <c r="K27" s="6">
        <f t="shared" si="1"/>
        <v>6</v>
      </c>
      <c r="L27" s="6">
        <f t="shared" si="2"/>
        <v>281</v>
      </c>
    </row>
    <row r="28" spans="1:12" hidden="1" x14ac:dyDescent="0.25">
      <c r="A28" s="2"/>
      <c r="B28" s="2">
        <v>45201.884722222218</v>
      </c>
      <c r="C28" s="2">
        <v>54</v>
      </c>
      <c r="D28" s="2" t="s">
        <v>794</v>
      </c>
      <c r="E28" s="3" t="str">
        <f>IFERROR(VLOOKUP(LOG_RESEAU[[#This Row],[Cell_ID]],Registre_Maintenance!A:B,2,FALSE),"Non trouvé")</f>
        <v>Non trouvé</v>
      </c>
      <c r="F28" s="3" t="str">
        <f>IFERROR(VLOOKUP(LOG_RESEAU[[#This Row],[Cell_ID]],Registre_Maintenance!A:C,3,FALSE),"Non trouvé")</f>
        <v>Non trouvé</v>
      </c>
      <c r="G28" s="3" t="str">
        <f>IFERROR(VLOOKUP(LOG_RESEAU[[#This Row],[Cell_ID]],Registre_Maintenance!A:D,4,FALSE),"Non trouvé")</f>
        <v>Non trouvé</v>
      </c>
      <c r="H28" s="2" t="str">
        <f>IFERROR(VLOOKUP(LOG_RESEAU[[#This Row],[Cell_ID]],Registre_Maintenance!A:E,5,FALSE),"Non trouvé")</f>
        <v>Non trouvé</v>
      </c>
      <c r="I28" s="2" t="str">
        <f>IFERROR(VLOOKUP(LOG_RESEAU[[#This Row],[Cell_ID]],Registre_Maintenance!A:F,6,FALSE),"Non trouvé")</f>
        <v>Non trouvé</v>
      </c>
      <c r="J28" s="2" t="str">
        <f t="shared" si="0"/>
        <v>Antenne inconnue</v>
      </c>
      <c r="K28" s="2">
        <f t="shared" si="1"/>
        <v>0</v>
      </c>
      <c r="L28" s="2">
        <f t="shared" si="2"/>
        <v>0</v>
      </c>
    </row>
    <row r="29" spans="1:12" ht="15.75" x14ac:dyDescent="0.25">
      <c r="A29" s="6" t="s">
        <v>852</v>
      </c>
      <c r="B29" s="7">
        <v>45230.052777777782</v>
      </c>
      <c r="C29" s="6">
        <v>91</v>
      </c>
      <c r="D29" s="6" t="s">
        <v>792</v>
      </c>
      <c r="E29" s="8" t="str">
        <f>IFERROR(VLOOKUP(LOG_RESEAU[[#This Row],[Cell_ID]],Registre_Maintenance!A:B,2,FALSE),"Non trouvé")</f>
        <v>Equateur</v>
      </c>
      <c r="F29" s="8">
        <f>IFERROR(VLOOKUP(LOG_RESEAU[[#This Row],[Cell_ID]],Registre_Maintenance!A:C,3,FALSE),"Non trouvé")</f>
        <v>-3.544581</v>
      </c>
      <c r="G29" s="8">
        <f>IFERROR(VLOOKUP(LOG_RESEAU[[#This Row],[Cell_ID]],Registre_Maintenance!A:D,4,FALSE),"Non trouvé")</f>
        <v>14.776605</v>
      </c>
      <c r="H29" s="6" t="str">
        <f>IFERROR(VLOOKUP(LOG_RESEAU[[#This Row],[Cell_ID]],Registre_Maintenance!A:E,5,FALSE),"Non trouvé")</f>
        <v>4G</v>
      </c>
      <c r="I29" s="6" t="str">
        <f>IFERROR(VLOOKUP(LOG_RESEAU[[#This Row],[Cell_ID]],Registre_Maintenance!A:F,6,FALSE),"Non trouvé")</f>
        <v>Nokia</v>
      </c>
      <c r="J29" s="6" t="str">
        <f t="shared" si="0"/>
        <v>OK</v>
      </c>
      <c r="K29" s="6">
        <f t="shared" si="1"/>
        <v>6</v>
      </c>
      <c r="L29" s="6">
        <f t="shared" si="2"/>
        <v>281</v>
      </c>
    </row>
    <row r="30" spans="1:12" ht="15.75" x14ac:dyDescent="0.25">
      <c r="A30" s="6" t="s">
        <v>835</v>
      </c>
      <c r="B30" s="7">
        <v>45204.338888888888</v>
      </c>
      <c r="C30" s="6">
        <v>18</v>
      </c>
      <c r="D30" s="6" t="s">
        <v>794</v>
      </c>
      <c r="E30" s="8" t="str">
        <f>IFERROR(VLOOKUP(LOG_RESEAU[[#This Row],[Cell_ID]],Registre_Maintenance!A:B,2,FALSE),"Non trouvé")</f>
        <v>Bas-Uele</v>
      </c>
      <c r="F30" s="8">
        <f>IFERROR(VLOOKUP(LOG_RESEAU[[#This Row],[Cell_ID]],Registre_Maintenance!A:C,3,FALSE),"Non trouvé")</f>
        <v>-2.8532869999999999</v>
      </c>
      <c r="G30" s="8">
        <f>IFERROR(VLOOKUP(LOG_RESEAU[[#This Row],[Cell_ID]],Registre_Maintenance!A:D,4,FALSE),"Non trouvé")</f>
        <v>22.117896000000002</v>
      </c>
      <c r="H30" s="6" t="str">
        <f>IFERROR(VLOOKUP(LOG_RESEAU[[#This Row],[Cell_ID]],Registre_Maintenance!A:E,5,FALSE),"Non trouvé")</f>
        <v>5G</v>
      </c>
      <c r="I30" s="6" t="str">
        <f>IFERROR(VLOOKUP(LOG_RESEAU[[#This Row],[Cell_ID]],Registre_Maintenance!A:F,6,FALSE),"Non trouvé")</f>
        <v>Huawei</v>
      </c>
      <c r="J30" s="6" t="str">
        <f t="shared" si="0"/>
        <v>OK</v>
      </c>
      <c r="K30" s="6">
        <f t="shared" si="1"/>
        <v>3</v>
      </c>
      <c r="L30" s="6">
        <f t="shared" si="2"/>
        <v>132</v>
      </c>
    </row>
    <row r="31" spans="1:12" ht="15.75" x14ac:dyDescent="0.25">
      <c r="A31" s="6" t="s">
        <v>835</v>
      </c>
      <c r="B31" s="7">
        <v>45230.868055555547</v>
      </c>
      <c r="C31" s="6">
        <v>103</v>
      </c>
      <c r="D31" s="6" t="s">
        <v>792</v>
      </c>
      <c r="E31" s="8" t="str">
        <f>IFERROR(VLOOKUP(LOG_RESEAU[[#This Row],[Cell_ID]],Registre_Maintenance!A:B,2,FALSE),"Non trouvé")</f>
        <v>Bas-Uele</v>
      </c>
      <c r="F31" s="8">
        <f>IFERROR(VLOOKUP(LOG_RESEAU[[#This Row],[Cell_ID]],Registre_Maintenance!A:C,3,FALSE),"Non trouvé")</f>
        <v>-2.8532869999999999</v>
      </c>
      <c r="G31" s="8">
        <f>IFERROR(VLOOKUP(LOG_RESEAU[[#This Row],[Cell_ID]],Registre_Maintenance!A:D,4,FALSE),"Non trouvé")</f>
        <v>22.117896000000002</v>
      </c>
      <c r="H31" s="6" t="str">
        <f>IFERROR(VLOOKUP(LOG_RESEAU[[#This Row],[Cell_ID]],Registre_Maintenance!A:E,5,FALSE),"Non trouvé")</f>
        <v>5G</v>
      </c>
      <c r="I31" s="6" t="str">
        <f>IFERROR(VLOOKUP(LOG_RESEAU[[#This Row],[Cell_ID]],Registre_Maintenance!A:F,6,FALSE),"Non trouvé")</f>
        <v>Huawei</v>
      </c>
      <c r="J31" s="6" t="str">
        <f t="shared" si="0"/>
        <v>OK</v>
      </c>
      <c r="K31" s="6">
        <f t="shared" si="1"/>
        <v>3</v>
      </c>
      <c r="L31" s="6">
        <f t="shared" si="2"/>
        <v>132</v>
      </c>
    </row>
    <row r="32" spans="1:12" ht="15.75" x14ac:dyDescent="0.25">
      <c r="A32" s="6" t="s">
        <v>835</v>
      </c>
      <c r="B32" s="7">
        <v>45230.429166666669</v>
      </c>
      <c r="C32" s="6">
        <v>11</v>
      </c>
      <c r="D32" s="6" t="s">
        <v>792</v>
      </c>
      <c r="E32" s="8" t="str">
        <f>IFERROR(VLOOKUP(LOG_RESEAU[[#This Row],[Cell_ID]],Registre_Maintenance!A:B,2,FALSE),"Non trouvé")</f>
        <v>Bas-Uele</v>
      </c>
      <c r="F32" s="8">
        <f>IFERROR(VLOOKUP(LOG_RESEAU[[#This Row],[Cell_ID]],Registre_Maintenance!A:C,3,FALSE),"Non trouvé")</f>
        <v>-2.8532869999999999</v>
      </c>
      <c r="G32" s="8">
        <f>IFERROR(VLOOKUP(LOG_RESEAU[[#This Row],[Cell_ID]],Registre_Maintenance!A:D,4,FALSE),"Non trouvé")</f>
        <v>22.117896000000002</v>
      </c>
      <c r="H32" s="6" t="str">
        <f>IFERROR(VLOOKUP(LOG_RESEAU[[#This Row],[Cell_ID]],Registre_Maintenance!A:E,5,FALSE),"Non trouvé")</f>
        <v>5G</v>
      </c>
      <c r="I32" s="6" t="str">
        <f>IFERROR(VLOOKUP(LOG_RESEAU[[#This Row],[Cell_ID]],Registre_Maintenance!A:F,6,FALSE),"Non trouvé")</f>
        <v>Huawei</v>
      </c>
      <c r="J32" s="6" t="str">
        <f t="shared" si="0"/>
        <v>OK</v>
      </c>
      <c r="K32" s="6">
        <f t="shared" si="1"/>
        <v>3</v>
      </c>
      <c r="L32" s="6">
        <f t="shared" si="2"/>
        <v>132</v>
      </c>
    </row>
    <row r="33" spans="1:12" ht="15.75" x14ac:dyDescent="0.25">
      <c r="A33" s="6" t="s">
        <v>990</v>
      </c>
      <c r="B33" s="7">
        <v>45210.741666666669</v>
      </c>
      <c r="C33" s="6">
        <v>19</v>
      </c>
      <c r="D33" s="6" t="s">
        <v>794</v>
      </c>
      <c r="E33" s="8" t="str">
        <f>IFERROR(VLOOKUP(LOG_RESEAU[[#This Row],[Cell_ID]],Registre_Maintenance!A:B,2,FALSE),"Non trouvé")</f>
        <v>Tshopo</v>
      </c>
      <c r="F33" s="8">
        <f>IFERROR(VLOOKUP(LOG_RESEAU[[#This Row],[Cell_ID]],Registre_Maintenance!A:C,3,FALSE),"Non trouvé")</f>
        <v>4.7777349999999998</v>
      </c>
      <c r="G33" s="8">
        <f>IFERROR(VLOOKUP(LOG_RESEAU[[#This Row],[Cell_ID]],Registre_Maintenance!A:D,4,FALSE),"Non trouvé")</f>
        <v>16.392204</v>
      </c>
      <c r="H33" s="6" t="str">
        <f>IFERROR(VLOOKUP(LOG_RESEAU[[#This Row],[Cell_ID]],Registre_Maintenance!A:E,5,FALSE),"Non trouvé")</f>
        <v>5G</v>
      </c>
      <c r="I33" s="6" t="str">
        <f>IFERROR(VLOOKUP(LOG_RESEAU[[#This Row],[Cell_ID]],Registre_Maintenance!A:F,6,FALSE),"Non trouvé")</f>
        <v>ZTE</v>
      </c>
      <c r="J33" s="6" t="str">
        <f t="shared" si="0"/>
        <v>OK</v>
      </c>
      <c r="K33" s="6">
        <f t="shared" si="1"/>
        <v>4</v>
      </c>
      <c r="L33" s="6">
        <f t="shared" si="2"/>
        <v>250</v>
      </c>
    </row>
    <row r="34" spans="1:12" ht="15.75" x14ac:dyDescent="0.25">
      <c r="A34" s="6" t="s">
        <v>990</v>
      </c>
      <c r="B34" s="7">
        <v>45226.623611111107</v>
      </c>
      <c r="C34" s="6">
        <v>103</v>
      </c>
      <c r="D34" s="6" t="s">
        <v>794</v>
      </c>
      <c r="E34" s="8" t="str">
        <f>IFERROR(VLOOKUP(LOG_RESEAU[[#This Row],[Cell_ID]],Registre_Maintenance!A:B,2,FALSE),"Non trouvé")</f>
        <v>Tshopo</v>
      </c>
      <c r="F34" s="8">
        <f>IFERROR(VLOOKUP(LOG_RESEAU[[#This Row],[Cell_ID]],Registre_Maintenance!A:C,3,FALSE),"Non trouvé")</f>
        <v>4.7777349999999998</v>
      </c>
      <c r="G34" s="8">
        <f>IFERROR(VLOOKUP(LOG_RESEAU[[#This Row],[Cell_ID]],Registre_Maintenance!A:D,4,FALSE),"Non trouvé")</f>
        <v>16.392204</v>
      </c>
      <c r="H34" s="6" t="str">
        <f>IFERROR(VLOOKUP(LOG_RESEAU[[#This Row],[Cell_ID]],Registre_Maintenance!A:E,5,FALSE),"Non trouvé")</f>
        <v>5G</v>
      </c>
      <c r="I34" s="6" t="str">
        <f>IFERROR(VLOOKUP(LOG_RESEAU[[#This Row],[Cell_ID]],Registre_Maintenance!A:F,6,FALSE),"Non trouvé")</f>
        <v>ZTE</v>
      </c>
      <c r="J34" s="6" t="str">
        <f t="shared" si="0"/>
        <v>OK</v>
      </c>
      <c r="K34" s="6">
        <f t="shared" si="1"/>
        <v>4</v>
      </c>
      <c r="L34" s="6">
        <f t="shared" si="2"/>
        <v>250</v>
      </c>
    </row>
    <row r="35" spans="1:12" ht="15.75" x14ac:dyDescent="0.25">
      <c r="A35" s="6" t="s">
        <v>990</v>
      </c>
      <c r="B35" s="7">
        <v>45207.140277777777</v>
      </c>
      <c r="C35" s="6">
        <v>41</v>
      </c>
      <c r="D35" s="6" t="s">
        <v>794</v>
      </c>
      <c r="E35" s="8" t="str">
        <f>IFERROR(VLOOKUP(LOG_RESEAU[[#This Row],[Cell_ID]],Registre_Maintenance!A:B,2,FALSE),"Non trouvé")</f>
        <v>Tshopo</v>
      </c>
      <c r="F35" s="8">
        <f>IFERROR(VLOOKUP(LOG_RESEAU[[#This Row],[Cell_ID]],Registre_Maintenance!A:C,3,FALSE),"Non trouvé")</f>
        <v>4.7777349999999998</v>
      </c>
      <c r="G35" s="8">
        <f>IFERROR(VLOOKUP(LOG_RESEAU[[#This Row],[Cell_ID]],Registre_Maintenance!A:D,4,FALSE),"Non trouvé")</f>
        <v>16.392204</v>
      </c>
      <c r="H35" s="6" t="str">
        <f>IFERROR(VLOOKUP(LOG_RESEAU[[#This Row],[Cell_ID]],Registre_Maintenance!A:E,5,FALSE),"Non trouvé")</f>
        <v>5G</v>
      </c>
      <c r="I35" s="6" t="str">
        <f>IFERROR(VLOOKUP(LOG_RESEAU[[#This Row],[Cell_ID]],Registre_Maintenance!A:F,6,FALSE),"Non trouvé")</f>
        <v>ZTE</v>
      </c>
      <c r="J35" s="6" t="str">
        <f t="shared" si="0"/>
        <v>OK</v>
      </c>
      <c r="K35" s="6">
        <f t="shared" si="1"/>
        <v>4</v>
      </c>
      <c r="L35" s="6">
        <f t="shared" si="2"/>
        <v>250</v>
      </c>
    </row>
    <row r="36" spans="1:12" ht="15.75" x14ac:dyDescent="0.25">
      <c r="A36" s="6" t="s">
        <v>990</v>
      </c>
      <c r="B36" s="7">
        <v>45221.565972222219</v>
      </c>
      <c r="C36" s="6">
        <v>87</v>
      </c>
      <c r="D36" s="6" t="s">
        <v>800</v>
      </c>
      <c r="E36" s="8" t="str">
        <f>IFERROR(VLOOKUP(LOG_RESEAU[[#This Row],[Cell_ID]],Registre_Maintenance!A:B,2,FALSE),"Non trouvé")</f>
        <v>Tshopo</v>
      </c>
      <c r="F36" s="8">
        <f>IFERROR(VLOOKUP(LOG_RESEAU[[#This Row],[Cell_ID]],Registre_Maintenance!A:C,3,FALSE),"Non trouvé")</f>
        <v>4.7777349999999998</v>
      </c>
      <c r="G36" s="8">
        <f>IFERROR(VLOOKUP(LOG_RESEAU[[#This Row],[Cell_ID]],Registre_Maintenance!A:D,4,FALSE),"Non trouvé")</f>
        <v>16.392204</v>
      </c>
      <c r="H36" s="6" t="str">
        <f>IFERROR(VLOOKUP(LOG_RESEAU[[#This Row],[Cell_ID]],Registre_Maintenance!A:E,5,FALSE),"Non trouvé")</f>
        <v>5G</v>
      </c>
      <c r="I36" s="6" t="str">
        <f>IFERROR(VLOOKUP(LOG_RESEAU[[#This Row],[Cell_ID]],Registre_Maintenance!A:F,6,FALSE),"Non trouvé")</f>
        <v>ZTE</v>
      </c>
      <c r="J36" s="6" t="str">
        <f t="shared" si="0"/>
        <v>OK</v>
      </c>
      <c r="K36" s="6">
        <f t="shared" si="1"/>
        <v>4</v>
      </c>
      <c r="L36" s="6">
        <f t="shared" si="2"/>
        <v>250</v>
      </c>
    </row>
    <row r="37" spans="1:12" ht="15.75" x14ac:dyDescent="0.25">
      <c r="A37" s="6" t="s">
        <v>981</v>
      </c>
      <c r="B37" s="7">
        <v>45210.802777777782</v>
      </c>
      <c r="C37" s="6">
        <v>52</v>
      </c>
      <c r="D37" s="6" t="s">
        <v>800</v>
      </c>
      <c r="E37" s="8" t="str">
        <f>IFERROR(VLOOKUP(LOG_RESEAU[[#This Row],[Cell_ID]],Registre_Maintenance!A:B,2,FALSE),"Non trouvé")</f>
        <v>Haut-Lomami</v>
      </c>
      <c r="F37" s="8">
        <f>IFERROR(VLOOKUP(LOG_RESEAU[[#This Row],[Cell_ID]],Registre_Maintenance!A:C,3,FALSE),"Non trouvé")</f>
        <v>-11.89448</v>
      </c>
      <c r="G37" s="8">
        <f>IFERROR(VLOOKUP(LOG_RESEAU[[#This Row],[Cell_ID]],Registre_Maintenance!A:D,4,FALSE),"Non trouvé")</f>
        <v>19.216214999999998</v>
      </c>
      <c r="H37" s="6" t="str">
        <f>IFERROR(VLOOKUP(LOG_RESEAU[[#This Row],[Cell_ID]],Registre_Maintenance!A:E,5,FALSE),"Non trouvé")</f>
        <v>3G</v>
      </c>
      <c r="I37" s="6" t="str">
        <f>IFERROR(VLOOKUP(LOG_RESEAU[[#This Row],[Cell_ID]],Registre_Maintenance!A:F,6,FALSE),"Non trouvé")</f>
        <v>ZTE</v>
      </c>
      <c r="J37" s="6" t="str">
        <f t="shared" si="0"/>
        <v>OK</v>
      </c>
      <c r="K37" s="6">
        <f t="shared" si="1"/>
        <v>4</v>
      </c>
      <c r="L37" s="6">
        <f t="shared" si="2"/>
        <v>203</v>
      </c>
    </row>
    <row r="38" spans="1:12" ht="15.75" x14ac:dyDescent="0.25">
      <c r="A38" s="6" t="s">
        <v>981</v>
      </c>
      <c r="B38" s="7">
        <v>45216.100694444453</v>
      </c>
      <c r="C38" s="6">
        <v>98</v>
      </c>
      <c r="D38" s="6" t="s">
        <v>800</v>
      </c>
      <c r="E38" s="8" t="str">
        <f>IFERROR(VLOOKUP(LOG_RESEAU[[#This Row],[Cell_ID]],Registre_Maintenance!A:B,2,FALSE),"Non trouvé")</f>
        <v>Haut-Lomami</v>
      </c>
      <c r="F38" s="8">
        <f>IFERROR(VLOOKUP(LOG_RESEAU[[#This Row],[Cell_ID]],Registre_Maintenance!A:C,3,FALSE),"Non trouvé")</f>
        <v>-11.89448</v>
      </c>
      <c r="G38" s="8">
        <f>IFERROR(VLOOKUP(LOG_RESEAU[[#This Row],[Cell_ID]],Registre_Maintenance!A:D,4,FALSE),"Non trouvé")</f>
        <v>19.216214999999998</v>
      </c>
      <c r="H38" s="6" t="str">
        <f>IFERROR(VLOOKUP(LOG_RESEAU[[#This Row],[Cell_ID]],Registre_Maintenance!A:E,5,FALSE),"Non trouvé")</f>
        <v>3G</v>
      </c>
      <c r="I38" s="6" t="str">
        <f>IFERROR(VLOOKUP(LOG_RESEAU[[#This Row],[Cell_ID]],Registre_Maintenance!A:F,6,FALSE),"Non trouvé")</f>
        <v>ZTE</v>
      </c>
      <c r="J38" s="6" t="str">
        <f t="shared" si="0"/>
        <v>OK</v>
      </c>
      <c r="K38" s="6">
        <f t="shared" si="1"/>
        <v>4</v>
      </c>
      <c r="L38" s="6">
        <f t="shared" si="2"/>
        <v>203</v>
      </c>
    </row>
    <row r="39" spans="1:12" ht="15.75" x14ac:dyDescent="0.25">
      <c r="A39" s="6" t="s">
        <v>981</v>
      </c>
      <c r="B39" s="7">
        <v>45225.172222222223</v>
      </c>
      <c r="C39" s="6">
        <v>14</v>
      </c>
      <c r="D39" s="6" t="s">
        <v>794</v>
      </c>
      <c r="E39" s="8" t="str">
        <f>IFERROR(VLOOKUP(LOG_RESEAU[[#This Row],[Cell_ID]],Registre_Maintenance!A:B,2,FALSE),"Non trouvé")</f>
        <v>Haut-Lomami</v>
      </c>
      <c r="F39" s="8">
        <f>IFERROR(VLOOKUP(LOG_RESEAU[[#This Row],[Cell_ID]],Registre_Maintenance!A:C,3,FALSE),"Non trouvé")</f>
        <v>-11.89448</v>
      </c>
      <c r="G39" s="8">
        <f>IFERROR(VLOOKUP(LOG_RESEAU[[#This Row],[Cell_ID]],Registre_Maintenance!A:D,4,FALSE),"Non trouvé")</f>
        <v>19.216214999999998</v>
      </c>
      <c r="H39" s="6" t="str">
        <f>IFERROR(VLOOKUP(LOG_RESEAU[[#This Row],[Cell_ID]],Registre_Maintenance!A:E,5,FALSE),"Non trouvé")</f>
        <v>3G</v>
      </c>
      <c r="I39" s="6" t="str">
        <f>IFERROR(VLOOKUP(LOG_RESEAU[[#This Row],[Cell_ID]],Registre_Maintenance!A:F,6,FALSE),"Non trouvé")</f>
        <v>ZTE</v>
      </c>
      <c r="J39" s="6" t="str">
        <f t="shared" si="0"/>
        <v>OK</v>
      </c>
      <c r="K39" s="6">
        <f t="shared" si="1"/>
        <v>4</v>
      </c>
      <c r="L39" s="6">
        <f t="shared" si="2"/>
        <v>203</v>
      </c>
    </row>
    <row r="40" spans="1:12" ht="15.75" x14ac:dyDescent="0.25">
      <c r="A40" s="6" t="s">
        <v>981</v>
      </c>
      <c r="B40" s="7">
        <v>45222.501388888893</v>
      </c>
      <c r="C40" s="6">
        <v>39</v>
      </c>
      <c r="D40" s="6" t="s">
        <v>794</v>
      </c>
      <c r="E40" s="8" t="str">
        <f>IFERROR(VLOOKUP(LOG_RESEAU[[#This Row],[Cell_ID]],Registre_Maintenance!A:B,2,FALSE),"Non trouvé")</f>
        <v>Haut-Lomami</v>
      </c>
      <c r="F40" s="8">
        <f>IFERROR(VLOOKUP(LOG_RESEAU[[#This Row],[Cell_ID]],Registre_Maintenance!A:C,3,FALSE),"Non trouvé")</f>
        <v>-11.89448</v>
      </c>
      <c r="G40" s="8">
        <f>IFERROR(VLOOKUP(LOG_RESEAU[[#This Row],[Cell_ID]],Registre_Maintenance!A:D,4,FALSE),"Non trouvé")</f>
        <v>19.216214999999998</v>
      </c>
      <c r="H40" s="6" t="str">
        <f>IFERROR(VLOOKUP(LOG_RESEAU[[#This Row],[Cell_ID]],Registre_Maintenance!A:E,5,FALSE),"Non trouvé")</f>
        <v>3G</v>
      </c>
      <c r="I40" s="6" t="str">
        <f>IFERROR(VLOOKUP(LOG_RESEAU[[#This Row],[Cell_ID]],Registre_Maintenance!A:F,6,FALSE),"Non trouvé")</f>
        <v>ZTE</v>
      </c>
      <c r="J40" s="6" t="str">
        <f t="shared" si="0"/>
        <v>OK</v>
      </c>
      <c r="K40" s="6">
        <f t="shared" si="1"/>
        <v>4</v>
      </c>
      <c r="L40" s="6">
        <f t="shared" si="2"/>
        <v>203</v>
      </c>
    </row>
    <row r="41" spans="1:12" ht="15.75" x14ac:dyDescent="0.25">
      <c r="A41" s="6" t="s">
        <v>809</v>
      </c>
      <c r="B41" s="7">
        <v>45204.283333333333</v>
      </c>
      <c r="C41" s="6">
        <v>47</v>
      </c>
      <c r="D41" s="6" t="s">
        <v>800</v>
      </c>
      <c r="E41" s="8" t="str">
        <f>IFERROR(VLOOKUP(LOG_RESEAU[[#This Row],[Cell_ID]],Registre_Maintenance!A:B,2,FALSE),"Non trouvé")</f>
        <v>Non trouvé</v>
      </c>
      <c r="F41" s="8" t="str">
        <f>IFERROR(VLOOKUP(LOG_RESEAU[[#This Row],[Cell_ID]],Registre_Maintenance!A:C,3,FALSE),"Non trouvé")</f>
        <v>Non trouvé</v>
      </c>
      <c r="G41" s="8" t="str">
        <f>IFERROR(VLOOKUP(LOG_RESEAU[[#This Row],[Cell_ID]],Registre_Maintenance!A:D,4,FALSE),"Non trouvé")</f>
        <v>Non trouvé</v>
      </c>
      <c r="H41" s="6" t="str">
        <f>IFERROR(VLOOKUP(LOG_RESEAU[[#This Row],[Cell_ID]],Registre_Maintenance!A:E,5,FALSE),"Non trouvé")</f>
        <v>Non trouvé</v>
      </c>
      <c r="I41" s="6" t="str">
        <f>IFERROR(VLOOKUP(LOG_RESEAU[[#This Row],[Cell_ID]],Registre_Maintenance!A:F,6,FALSE),"Non trouvé")</f>
        <v>Non trouvé</v>
      </c>
      <c r="J41" s="6" t="str">
        <f t="shared" si="0"/>
        <v>Antenne inconnue</v>
      </c>
      <c r="K41" s="6">
        <f t="shared" si="1"/>
        <v>8</v>
      </c>
      <c r="L41" s="6">
        <f t="shared" si="2"/>
        <v>591</v>
      </c>
    </row>
    <row r="42" spans="1:12" ht="15.75" x14ac:dyDescent="0.25">
      <c r="A42" s="6" t="s">
        <v>809</v>
      </c>
      <c r="B42" s="7">
        <v>45230.99722222222</v>
      </c>
      <c r="C42" s="6">
        <v>83</v>
      </c>
      <c r="D42" s="6" t="s">
        <v>800</v>
      </c>
      <c r="E42" s="8" t="str">
        <f>IFERROR(VLOOKUP(LOG_RESEAU[[#This Row],[Cell_ID]],Registre_Maintenance!A:B,2,FALSE),"Non trouvé")</f>
        <v>Non trouvé</v>
      </c>
      <c r="F42" s="8" t="str">
        <f>IFERROR(VLOOKUP(LOG_RESEAU[[#This Row],[Cell_ID]],Registre_Maintenance!A:C,3,FALSE),"Non trouvé")</f>
        <v>Non trouvé</v>
      </c>
      <c r="G42" s="8" t="str">
        <f>IFERROR(VLOOKUP(LOG_RESEAU[[#This Row],[Cell_ID]],Registre_Maintenance!A:D,4,FALSE),"Non trouvé")</f>
        <v>Non trouvé</v>
      </c>
      <c r="H42" s="6" t="str">
        <f>IFERROR(VLOOKUP(LOG_RESEAU[[#This Row],[Cell_ID]],Registre_Maintenance!A:E,5,FALSE),"Non trouvé")</f>
        <v>Non trouvé</v>
      </c>
      <c r="I42" s="6" t="str">
        <f>IFERROR(VLOOKUP(LOG_RESEAU[[#This Row],[Cell_ID]],Registre_Maintenance!A:F,6,FALSE),"Non trouvé")</f>
        <v>Non trouvé</v>
      </c>
      <c r="J42" s="6" t="str">
        <f t="shared" si="0"/>
        <v>Antenne inconnue</v>
      </c>
      <c r="K42" s="6">
        <f t="shared" si="1"/>
        <v>8</v>
      </c>
      <c r="L42" s="6">
        <f t="shared" si="2"/>
        <v>591</v>
      </c>
    </row>
    <row r="43" spans="1:12" ht="15.75" x14ac:dyDescent="0.25">
      <c r="A43" s="6" t="s">
        <v>809</v>
      </c>
      <c r="B43" s="7">
        <v>45229.49722222222</v>
      </c>
      <c r="C43" s="6">
        <v>70</v>
      </c>
      <c r="D43" s="6" t="s">
        <v>800</v>
      </c>
      <c r="E43" s="8" t="str">
        <f>IFERROR(VLOOKUP(LOG_RESEAU[[#This Row],[Cell_ID]],Registre_Maintenance!A:B,2,FALSE),"Non trouvé")</f>
        <v>Non trouvé</v>
      </c>
      <c r="F43" s="8" t="str">
        <f>IFERROR(VLOOKUP(LOG_RESEAU[[#This Row],[Cell_ID]],Registre_Maintenance!A:C,3,FALSE),"Non trouvé")</f>
        <v>Non trouvé</v>
      </c>
      <c r="G43" s="8" t="str">
        <f>IFERROR(VLOOKUP(LOG_RESEAU[[#This Row],[Cell_ID]],Registre_Maintenance!A:D,4,FALSE),"Non trouvé")</f>
        <v>Non trouvé</v>
      </c>
      <c r="H43" s="6" t="str">
        <f>IFERROR(VLOOKUP(LOG_RESEAU[[#This Row],[Cell_ID]],Registre_Maintenance!A:E,5,FALSE),"Non trouvé")</f>
        <v>Non trouvé</v>
      </c>
      <c r="I43" s="6" t="str">
        <f>IFERROR(VLOOKUP(LOG_RESEAU[[#This Row],[Cell_ID]],Registre_Maintenance!A:F,6,FALSE),"Non trouvé")</f>
        <v>Non trouvé</v>
      </c>
      <c r="J43" s="6" t="str">
        <f t="shared" si="0"/>
        <v>Antenne inconnue</v>
      </c>
      <c r="K43" s="6">
        <f t="shared" si="1"/>
        <v>8</v>
      </c>
      <c r="L43" s="6">
        <f t="shared" si="2"/>
        <v>591</v>
      </c>
    </row>
    <row r="44" spans="1:12" ht="15.75" x14ac:dyDescent="0.25">
      <c r="A44" s="6" t="s">
        <v>809</v>
      </c>
      <c r="B44" s="7">
        <v>45206.101388888892</v>
      </c>
      <c r="C44" s="6">
        <v>8</v>
      </c>
      <c r="D44" s="6" t="s">
        <v>800</v>
      </c>
      <c r="E44" s="8" t="str">
        <f>IFERROR(VLOOKUP(LOG_RESEAU[[#This Row],[Cell_ID]],Registre_Maintenance!A:B,2,FALSE),"Non trouvé")</f>
        <v>Non trouvé</v>
      </c>
      <c r="F44" s="8" t="str">
        <f>IFERROR(VLOOKUP(LOG_RESEAU[[#This Row],[Cell_ID]],Registre_Maintenance!A:C,3,FALSE),"Non trouvé")</f>
        <v>Non trouvé</v>
      </c>
      <c r="G44" s="8" t="str">
        <f>IFERROR(VLOOKUP(LOG_RESEAU[[#This Row],[Cell_ID]],Registre_Maintenance!A:D,4,FALSE),"Non trouvé")</f>
        <v>Non trouvé</v>
      </c>
      <c r="H44" s="6" t="str">
        <f>IFERROR(VLOOKUP(LOG_RESEAU[[#This Row],[Cell_ID]],Registre_Maintenance!A:E,5,FALSE),"Non trouvé")</f>
        <v>Non trouvé</v>
      </c>
      <c r="I44" s="6" t="str">
        <f>IFERROR(VLOOKUP(LOG_RESEAU[[#This Row],[Cell_ID]],Registre_Maintenance!A:F,6,FALSE),"Non trouvé")</f>
        <v>Non trouvé</v>
      </c>
      <c r="J44" s="6" t="str">
        <f t="shared" si="0"/>
        <v>Antenne inconnue</v>
      </c>
      <c r="K44" s="6">
        <f t="shared" si="1"/>
        <v>8</v>
      </c>
      <c r="L44" s="6">
        <f t="shared" si="2"/>
        <v>591</v>
      </c>
    </row>
    <row r="45" spans="1:12" ht="15.75" x14ac:dyDescent="0.25">
      <c r="A45" s="6" t="s">
        <v>809</v>
      </c>
      <c r="B45" s="7">
        <v>45227.424305555563</v>
      </c>
      <c r="C45" s="6">
        <v>58</v>
      </c>
      <c r="D45" s="6" t="s">
        <v>794</v>
      </c>
      <c r="E45" s="8" t="str">
        <f>IFERROR(VLOOKUP(LOG_RESEAU[[#This Row],[Cell_ID]],Registre_Maintenance!A:B,2,FALSE),"Non trouvé")</f>
        <v>Non trouvé</v>
      </c>
      <c r="F45" s="8" t="str">
        <f>IFERROR(VLOOKUP(LOG_RESEAU[[#This Row],[Cell_ID]],Registre_Maintenance!A:C,3,FALSE),"Non trouvé")</f>
        <v>Non trouvé</v>
      </c>
      <c r="G45" s="8" t="str">
        <f>IFERROR(VLOOKUP(LOG_RESEAU[[#This Row],[Cell_ID]],Registre_Maintenance!A:D,4,FALSE),"Non trouvé")</f>
        <v>Non trouvé</v>
      </c>
      <c r="H45" s="6" t="str">
        <f>IFERROR(VLOOKUP(LOG_RESEAU[[#This Row],[Cell_ID]],Registre_Maintenance!A:E,5,FALSE),"Non trouvé")</f>
        <v>Non trouvé</v>
      </c>
      <c r="I45" s="6" t="str">
        <f>IFERROR(VLOOKUP(LOG_RESEAU[[#This Row],[Cell_ID]],Registre_Maintenance!A:F,6,FALSE),"Non trouvé")</f>
        <v>Non trouvé</v>
      </c>
      <c r="J45" s="6" t="str">
        <f t="shared" si="0"/>
        <v>Antenne inconnue</v>
      </c>
      <c r="K45" s="6">
        <f t="shared" si="1"/>
        <v>8</v>
      </c>
      <c r="L45" s="6">
        <f t="shared" si="2"/>
        <v>591</v>
      </c>
    </row>
    <row r="46" spans="1:12" ht="15.75" x14ac:dyDescent="0.25">
      <c r="A46" s="6" t="s">
        <v>809</v>
      </c>
      <c r="B46" s="7">
        <v>45227.025000000001</v>
      </c>
      <c r="C46" s="6">
        <v>117</v>
      </c>
      <c r="D46" s="6" t="s">
        <v>800</v>
      </c>
      <c r="E46" s="8" t="str">
        <f>IFERROR(VLOOKUP(LOG_RESEAU[[#This Row],[Cell_ID]],Registre_Maintenance!A:B,2,FALSE),"Non trouvé")</f>
        <v>Non trouvé</v>
      </c>
      <c r="F46" s="8" t="str">
        <f>IFERROR(VLOOKUP(LOG_RESEAU[[#This Row],[Cell_ID]],Registre_Maintenance!A:C,3,FALSE),"Non trouvé")</f>
        <v>Non trouvé</v>
      </c>
      <c r="G46" s="8" t="str">
        <f>IFERROR(VLOOKUP(LOG_RESEAU[[#This Row],[Cell_ID]],Registre_Maintenance!A:D,4,FALSE),"Non trouvé")</f>
        <v>Non trouvé</v>
      </c>
      <c r="H46" s="6" t="str">
        <f>IFERROR(VLOOKUP(LOG_RESEAU[[#This Row],[Cell_ID]],Registre_Maintenance!A:E,5,FALSE),"Non trouvé")</f>
        <v>Non trouvé</v>
      </c>
      <c r="I46" s="6" t="str">
        <f>IFERROR(VLOOKUP(LOG_RESEAU[[#This Row],[Cell_ID]],Registre_Maintenance!A:F,6,FALSE),"Non trouvé")</f>
        <v>Non trouvé</v>
      </c>
      <c r="J46" s="6" t="str">
        <f t="shared" si="0"/>
        <v>Antenne inconnue</v>
      </c>
      <c r="K46" s="6">
        <f t="shared" si="1"/>
        <v>8</v>
      </c>
      <c r="L46" s="6">
        <f t="shared" si="2"/>
        <v>591</v>
      </c>
    </row>
    <row r="47" spans="1:12" ht="15.75" x14ac:dyDescent="0.25">
      <c r="A47" s="6" t="s">
        <v>809</v>
      </c>
      <c r="B47" s="7">
        <v>45222.644444444442</v>
      </c>
      <c r="C47" s="6">
        <v>111</v>
      </c>
      <c r="D47" s="6" t="s">
        <v>794</v>
      </c>
      <c r="E47" s="8" t="str">
        <f>IFERROR(VLOOKUP(LOG_RESEAU[[#This Row],[Cell_ID]],Registre_Maintenance!A:B,2,FALSE),"Non trouvé")</f>
        <v>Non trouvé</v>
      </c>
      <c r="F47" s="8" t="str">
        <f>IFERROR(VLOOKUP(LOG_RESEAU[[#This Row],[Cell_ID]],Registre_Maintenance!A:C,3,FALSE),"Non trouvé")</f>
        <v>Non trouvé</v>
      </c>
      <c r="G47" s="8" t="str">
        <f>IFERROR(VLOOKUP(LOG_RESEAU[[#This Row],[Cell_ID]],Registre_Maintenance!A:D,4,FALSE),"Non trouvé")</f>
        <v>Non trouvé</v>
      </c>
      <c r="H47" s="6" t="str">
        <f>IFERROR(VLOOKUP(LOG_RESEAU[[#This Row],[Cell_ID]],Registre_Maintenance!A:E,5,FALSE),"Non trouvé")</f>
        <v>Non trouvé</v>
      </c>
      <c r="I47" s="6" t="str">
        <f>IFERROR(VLOOKUP(LOG_RESEAU[[#This Row],[Cell_ID]],Registre_Maintenance!A:F,6,FALSE),"Non trouvé")</f>
        <v>Non trouvé</v>
      </c>
      <c r="J47" s="6" t="str">
        <f t="shared" si="0"/>
        <v>Antenne inconnue</v>
      </c>
      <c r="K47" s="6">
        <f t="shared" si="1"/>
        <v>8</v>
      </c>
      <c r="L47" s="6">
        <f t="shared" si="2"/>
        <v>591</v>
      </c>
    </row>
    <row r="48" spans="1:12" ht="15.75" x14ac:dyDescent="0.25">
      <c r="A48" s="6" t="s">
        <v>809</v>
      </c>
      <c r="B48" s="7">
        <v>45225.288888888892</v>
      </c>
      <c r="C48" s="6">
        <v>97</v>
      </c>
      <c r="D48" s="6" t="s">
        <v>792</v>
      </c>
      <c r="E48" s="8" t="str">
        <f>IFERROR(VLOOKUP(LOG_RESEAU[[#This Row],[Cell_ID]],Registre_Maintenance!A:B,2,FALSE),"Non trouvé")</f>
        <v>Non trouvé</v>
      </c>
      <c r="F48" s="8" t="str">
        <f>IFERROR(VLOOKUP(LOG_RESEAU[[#This Row],[Cell_ID]],Registre_Maintenance!A:C,3,FALSE),"Non trouvé")</f>
        <v>Non trouvé</v>
      </c>
      <c r="G48" s="8" t="str">
        <f>IFERROR(VLOOKUP(LOG_RESEAU[[#This Row],[Cell_ID]],Registre_Maintenance!A:D,4,FALSE),"Non trouvé")</f>
        <v>Non trouvé</v>
      </c>
      <c r="H48" s="6" t="str">
        <f>IFERROR(VLOOKUP(LOG_RESEAU[[#This Row],[Cell_ID]],Registre_Maintenance!A:E,5,FALSE),"Non trouvé")</f>
        <v>Non trouvé</v>
      </c>
      <c r="I48" s="6" t="str">
        <f>IFERROR(VLOOKUP(LOG_RESEAU[[#This Row],[Cell_ID]],Registre_Maintenance!A:F,6,FALSE),"Non trouvé")</f>
        <v>Non trouvé</v>
      </c>
      <c r="J48" s="6" t="str">
        <f t="shared" si="0"/>
        <v>Antenne inconnue</v>
      </c>
      <c r="K48" s="6">
        <f t="shared" si="1"/>
        <v>8</v>
      </c>
      <c r="L48" s="6">
        <f t="shared" si="2"/>
        <v>591</v>
      </c>
    </row>
    <row r="49" spans="1:12" ht="15.75" x14ac:dyDescent="0.25">
      <c r="A49" s="6" t="s">
        <v>1002</v>
      </c>
      <c r="B49" s="7">
        <v>45227.005555555559</v>
      </c>
      <c r="C49" s="6">
        <v>61</v>
      </c>
      <c r="D49" s="6" t="s">
        <v>792</v>
      </c>
      <c r="E49" s="8" t="str">
        <f>IFERROR(VLOOKUP(LOG_RESEAU[[#This Row],[Cell_ID]],Registre_Maintenance!A:B,2,FALSE),"Non trouvé")</f>
        <v>Haut-Katanga</v>
      </c>
      <c r="F49" s="8">
        <f>IFERROR(VLOOKUP(LOG_RESEAU[[#This Row],[Cell_ID]],Registre_Maintenance!A:C,3,FALSE),"Non trouvé")</f>
        <v>4.4712560000000003</v>
      </c>
      <c r="G49" s="8">
        <f>IFERROR(VLOOKUP(LOG_RESEAU[[#This Row],[Cell_ID]],Registre_Maintenance!A:D,4,FALSE),"Non trouvé")</f>
        <v>27.107028</v>
      </c>
      <c r="H49" s="6" t="str">
        <f>IFERROR(VLOOKUP(LOG_RESEAU[[#This Row],[Cell_ID]],Registre_Maintenance!A:E,5,FALSE),"Non trouvé")</f>
        <v>3G</v>
      </c>
      <c r="I49" s="6" t="str">
        <f>IFERROR(VLOOKUP(LOG_RESEAU[[#This Row],[Cell_ID]],Registre_Maintenance!A:F,6,FALSE),"Non trouvé")</f>
        <v>Ericsson</v>
      </c>
      <c r="J49" s="6" t="str">
        <f t="shared" si="0"/>
        <v>OK</v>
      </c>
      <c r="K49" s="6">
        <f t="shared" si="1"/>
        <v>3</v>
      </c>
      <c r="L49" s="6">
        <f t="shared" si="2"/>
        <v>230</v>
      </c>
    </row>
    <row r="50" spans="1:12" ht="15.75" x14ac:dyDescent="0.25">
      <c r="A50" s="6" t="s">
        <v>1002</v>
      </c>
      <c r="B50" s="7">
        <v>45223.418749999997</v>
      </c>
      <c r="C50" s="6">
        <v>89</v>
      </c>
      <c r="D50" s="6" t="s">
        <v>794</v>
      </c>
      <c r="E50" s="8" t="str">
        <f>IFERROR(VLOOKUP(LOG_RESEAU[[#This Row],[Cell_ID]],Registre_Maintenance!A:B,2,FALSE),"Non trouvé")</f>
        <v>Haut-Katanga</v>
      </c>
      <c r="F50" s="8">
        <f>IFERROR(VLOOKUP(LOG_RESEAU[[#This Row],[Cell_ID]],Registre_Maintenance!A:C,3,FALSE),"Non trouvé")</f>
        <v>4.4712560000000003</v>
      </c>
      <c r="G50" s="8">
        <f>IFERROR(VLOOKUP(LOG_RESEAU[[#This Row],[Cell_ID]],Registre_Maintenance!A:D,4,FALSE),"Non trouvé")</f>
        <v>27.107028</v>
      </c>
      <c r="H50" s="6" t="str">
        <f>IFERROR(VLOOKUP(LOG_RESEAU[[#This Row],[Cell_ID]],Registre_Maintenance!A:E,5,FALSE),"Non trouvé")</f>
        <v>3G</v>
      </c>
      <c r="I50" s="6" t="str">
        <f>IFERROR(VLOOKUP(LOG_RESEAU[[#This Row],[Cell_ID]],Registre_Maintenance!A:F,6,FALSE),"Non trouvé")</f>
        <v>Ericsson</v>
      </c>
      <c r="J50" s="6" t="str">
        <f t="shared" si="0"/>
        <v>OK</v>
      </c>
      <c r="K50" s="6">
        <f t="shared" si="1"/>
        <v>3</v>
      </c>
      <c r="L50" s="6">
        <f t="shared" si="2"/>
        <v>230</v>
      </c>
    </row>
    <row r="51" spans="1:12" ht="15.75" x14ac:dyDescent="0.25">
      <c r="A51" s="6" t="s">
        <v>1002</v>
      </c>
      <c r="B51" s="7">
        <v>45210.835416666669</v>
      </c>
      <c r="C51" s="6">
        <v>80</v>
      </c>
      <c r="D51" s="6" t="s">
        <v>800</v>
      </c>
      <c r="E51" s="8" t="str">
        <f>IFERROR(VLOOKUP(LOG_RESEAU[[#This Row],[Cell_ID]],Registre_Maintenance!A:B,2,FALSE),"Non trouvé")</f>
        <v>Haut-Katanga</v>
      </c>
      <c r="F51" s="8">
        <f>IFERROR(VLOOKUP(LOG_RESEAU[[#This Row],[Cell_ID]],Registre_Maintenance!A:C,3,FALSE),"Non trouvé")</f>
        <v>4.4712560000000003</v>
      </c>
      <c r="G51" s="8">
        <f>IFERROR(VLOOKUP(LOG_RESEAU[[#This Row],[Cell_ID]],Registre_Maintenance!A:D,4,FALSE),"Non trouvé")</f>
        <v>27.107028</v>
      </c>
      <c r="H51" s="6" t="str">
        <f>IFERROR(VLOOKUP(LOG_RESEAU[[#This Row],[Cell_ID]],Registre_Maintenance!A:E,5,FALSE),"Non trouvé")</f>
        <v>3G</v>
      </c>
      <c r="I51" s="6" t="str">
        <f>IFERROR(VLOOKUP(LOG_RESEAU[[#This Row],[Cell_ID]],Registre_Maintenance!A:F,6,FALSE),"Non trouvé")</f>
        <v>Ericsson</v>
      </c>
      <c r="J51" s="6" t="str">
        <f t="shared" si="0"/>
        <v>OK</v>
      </c>
      <c r="K51" s="6">
        <f t="shared" si="1"/>
        <v>3</v>
      </c>
      <c r="L51" s="6">
        <f t="shared" si="2"/>
        <v>230</v>
      </c>
    </row>
    <row r="52" spans="1:12" ht="15.75" x14ac:dyDescent="0.25">
      <c r="A52" s="6" t="s">
        <v>907</v>
      </c>
      <c r="B52" s="7">
        <v>45213.708333333343</v>
      </c>
      <c r="C52" s="6">
        <v>106</v>
      </c>
      <c r="D52" s="6" t="s">
        <v>794</v>
      </c>
      <c r="E52" s="8" t="str">
        <f>IFERROR(VLOOKUP(LOG_RESEAU[[#This Row],[Cell_ID]],Registre_Maintenance!A:B,2,FALSE),"Non trouvé")</f>
        <v>Mai-Ndombe</v>
      </c>
      <c r="F52" s="8">
        <f>IFERROR(VLOOKUP(LOG_RESEAU[[#This Row],[Cell_ID]],Registre_Maintenance!A:C,3,FALSE),"Non trouvé")</f>
        <v>-1.607639</v>
      </c>
      <c r="G52" s="8">
        <f>IFERROR(VLOOKUP(LOG_RESEAU[[#This Row],[Cell_ID]],Registre_Maintenance!A:D,4,FALSE),"Non trouvé")</f>
        <v>17.003636</v>
      </c>
      <c r="H52" s="6" t="str">
        <f>IFERROR(VLOOKUP(LOG_RESEAU[[#This Row],[Cell_ID]],Registre_Maintenance!A:E,5,FALSE),"Non trouvé")</f>
        <v>4G</v>
      </c>
      <c r="I52" s="6" t="str">
        <f>IFERROR(VLOOKUP(LOG_RESEAU[[#This Row],[Cell_ID]],Registre_Maintenance!A:F,6,FALSE),"Non trouvé")</f>
        <v>Ericsson</v>
      </c>
      <c r="J52" s="6" t="str">
        <f t="shared" si="0"/>
        <v>OK</v>
      </c>
      <c r="K52" s="6">
        <f t="shared" si="1"/>
        <v>4</v>
      </c>
      <c r="L52" s="6">
        <f t="shared" si="2"/>
        <v>208</v>
      </c>
    </row>
    <row r="53" spans="1:12" ht="15.75" x14ac:dyDescent="0.25">
      <c r="A53" s="6" t="s">
        <v>907</v>
      </c>
      <c r="B53" s="7">
        <v>45223.263888888891</v>
      </c>
      <c r="C53" s="6">
        <v>7</v>
      </c>
      <c r="D53" s="6" t="s">
        <v>794</v>
      </c>
      <c r="E53" s="8" t="str">
        <f>IFERROR(VLOOKUP(LOG_RESEAU[[#This Row],[Cell_ID]],Registre_Maintenance!A:B,2,FALSE),"Non trouvé")</f>
        <v>Mai-Ndombe</v>
      </c>
      <c r="F53" s="8">
        <f>IFERROR(VLOOKUP(LOG_RESEAU[[#This Row],[Cell_ID]],Registre_Maintenance!A:C,3,FALSE),"Non trouvé")</f>
        <v>-1.607639</v>
      </c>
      <c r="G53" s="8">
        <f>IFERROR(VLOOKUP(LOG_RESEAU[[#This Row],[Cell_ID]],Registre_Maintenance!A:D,4,FALSE),"Non trouvé")</f>
        <v>17.003636</v>
      </c>
      <c r="H53" s="6" t="str">
        <f>IFERROR(VLOOKUP(LOG_RESEAU[[#This Row],[Cell_ID]],Registre_Maintenance!A:E,5,FALSE),"Non trouvé")</f>
        <v>4G</v>
      </c>
      <c r="I53" s="6" t="str">
        <f>IFERROR(VLOOKUP(LOG_RESEAU[[#This Row],[Cell_ID]],Registre_Maintenance!A:F,6,FALSE),"Non trouvé")</f>
        <v>Ericsson</v>
      </c>
      <c r="J53" s="6" t="str">
        <f t="shared" si="0"/>
        <v>OK</v>
      </c>
      <c r="K53" s="6">
        <f t="shared" si="1"/>
        <v>4</v>
      </c>
      <c r="L53" s="6">
        <f t="shared" si="2"/>
        <v>208</v>
      </c>
    </row>
    <row r="54" spans="1:12" ht="15.75" x14ac:dyDescent="0.25">
      <c r="A54" s="6" t="s">
        <v>907</v>
      </c>
      <c r="B54" s="7">
        <v>45208.959027777782</v>
      </c>
      <c r="C54" s="6">
        <v>12</v>
      </c>
      <c r="D54" s="6" t="s">
        <v>792</v>
      </c>
      <c r="E54" s="8" t="str">
        <f>IFERROR(VLOOKUP(LOG_RESEAU[[#This Row],[Cell_ID]],Registre_Maintenance!A:B,2,FALSE),"Non trouvé")</f>
        <v>Mai-Ndombe</v>
      </c>
      <c r="F54" s="8">
        <f>IFERROR(VLOOKUP(LOG_RESEAU[[#This Row],[Cell_ID]],Registre_Maintenance!A:C,3,FALSE),"Non trouvé")</f>
        <v>-1.607639</v>
      </c>
      <c r="G54" s="8">
        <f>IFERROR(VLOOKUP(LOG_RESEAU[[#This Row],[Cell_ID]],Registre_Maintenance!A:D,4,FALSE),"Non trouvé")</f>
        <v>17.003636</v>
      </c>
      <c r="H54" s="6" t="str">
        <f>IFERROR(VLOOKUP(LOG_RESEAU[[#This Row],[Cell_ID]],Registre_Maintenance!A:E,5,FALSE),"Non trouvé")</f>
        <v>4G</v>
      </c>
      <c r="I54" s="6" t="str">
        <f>IFERROR(VLOOKUP(LOG_RESEAU[[#This Row],[Cell_ID]],Registre_Maintenance!A:F,6,FALSE),"Non trouvé")</f>
        <v>Ericsson</v>
      </c>
      <c r="J54" s="6" t="str">
        <f t="shared" si="0"/>
        <v>OK</v>
      </c>
      <c r="K54" s="6">
        <f t="shared" si="1"/>
        <v>4</v>
      </c>
      <c r="L54" s="6">
        <f t="shared" si="2"/>
        <v>208</v>
      </c>
    </row>
    <row r="55" spans="1:12" ht="15.75" x14ac:dyDescent="0.25">
      <c r="A55" s="6" t="s">
        <v>907</v>
      </c>
      <c r="B55" s="7">
        <v>45202.852083333331</v>
      </c>
      <c r="C55" s="6">
        <v>83</v>
      </c>
      <c r="D55" s="6" t="s">
        <v>794</v>
      </c>
      <c r="E55" s="8" t="str">
        <f>IFERROR(VLOOKUP(LOG_RESEAU[[#This Row],[Cell_ID]],Registre_Maintenance!A:B,2,FALSE),"Non trouvé")</f>
        <v>Mai-Ndombe</v>
      </c>
      <c r="F55" s="8">
        <f>IFERROR(VLOOKUP(LOG_RESEAU[[#This Row],[Cell_ID]],Registre_Maintenance!A:C,3,FALSE),"Non trouvé")</f>
        <v>-1.607639</v>
      </c>
      <c r="G55" s="8">
        <f>IFERROR(VLOOKUP(LOG_RESEAU[[#This Row],[Cell_ID]],Registre_Maintenance!A:D,4,FALSE),"Non trouvé")</f>
        <v>17.003636</v>
      </c>
      <c r="H55" s="6" t="str">
        <f>IFERROR(VLOOKUP(LOG_RESEAU[[#This Row],[Cell_ID]],Registre_Maintenance!A:E,5,FALSE),"Non trouvé")</f>
        <v>4G</v>
      </c>
      <c r="I55" s="6" t="str">
        <f>IFERROR(VLOOKUP(LOG_RESEAU[[#This Row],[Cell_ID]],Registre_Maintenance!A:F,6,FALSE),"Non trouvé")</f>
        <v>Ericsson</v>
      </c>
      <c r="J55" s="6" t="str">
        <f t="shared" si="0"/>
        <v>OK</v>
      </c>
      <c r="K55" s="6">
        <f t="shared" si="1"/>
        <v>4</v>
      </c>
      <c r="L55" s="6">
        <f t="shared" si="2"/>
        <v>208</v>
      </c>
    </row>
    <row r="56" spans="1:12" ht="15.75" x14ac:dyDescent="0.25">
      <c r="A56" s="6" t="s">
        <v>799</v>
      </c>
      <c r="B56" s="7">
        <v>45200.092361111107</v>
      </c>
      <c r="C56" s="6">
        <v>87</v>
      </c>
      <c r="D56" s="6" t="s">
        <v>800</v>
      </c>
      <c r="E56" s="8" t="str">
        <f>IFERROR(VLOOKUP(LOG_RESEAU[[#This Row],[Cell_ID]],Registre_Maintenance!A:B,2,FALSE),"Non trouvé")</f>
        <v>Non trouvé</v>
      </c>
      <c r="F56" s="8" t="str">
        <f>IFERROR(VLOOKUP(LOG_RESEAU[[#This Row],[Cell_ID]],Registre_Maintenance!A:C,3,FALSE),"Non trouvé")</f>
        <v>Non trouvé</v>
      </c>
      <c r="G56" s="8" t="str">
        <f>IFERROR(VLOOKUP(LOG_RESEAU[[#This Row],[Cell_ID]],Registre_Maintenance!A:D,4,FALSE),"Non trouvé")</f>
        <v>Non trouvé</v>
      </c>
      <c r="H56" s="6" t="str">
        <f>IFERROR(VLOOKUP(LOG_RESEAU[[#This Row],[Cell_ID]],Registre_Maintenance!A:E,5,FALSE),"Non trouvé")</f>
        <v>Non trouvé</v>
      </c>
      <c r="I56" s="6" t="str">
        <f>IFERROR(VLOOKUP(LOG_RESEAU[[#This Row],[Cell_ID]],Registre_Maintenance!A:F,6,FALSE),"Non trouvé")</f>
        <v>Non trouvé</v>
      </c>
      <c r="J56" s="6" t="str">
        <f t="shared" si="0"/>
        <v>Antenne inconnue</v>
      </c>
      <c r="K56" s="6">
        <f t="shared" si="1"/>
        <v>6</v>
      </c>
      <c r="L56" s="6">
        <f t="shared" si="2"/>
        <v>459</v>
      </c>
    </row>
    <row r="57" spans="1:12" ht="15.75" x14ac:dyDescent="0.25">
      <c r="A57" s="6" t="s">
        <v>799</v>
      </c>
      <c r="B57" s="7">
        <v>45208.704861111109</v>
      </c>
      <c r="C57" s="6">
        <v>82</v>
      </c>
      <c r="D57" s="6" t="s">
        <v>792</v>
      </c>
      <c r="E57" s="8" t="str">
        <f>IFERROR(VLOOKUP(LOG_RESEAU[[#This Row],[Cell_ID]],Registre_Maintenance!A:B,2,FALSE),"Non trouvé")</f>
        <v>Non trouvé</v>
      </c>
      <c r="F57" s="8" t="str">
        <f>IFERROR(VLOOKUP(LOG_RESEAU[[#This Row],[Cell_ID]],Registre_Maintenance!A:C,3,FALSE),"Non trouvé")</f>
        <v>Non trouvé</v>
      </c>
      <c r="G57" s="8" t="str">
        <f>IFERROR(VLOOKUP(LOG_RESEAU[[#This Row],[Cell_ID]],Registre_Maintenance!A:D,4,FALSE),"Non trouvé")</f>
        <v>Non trouvé</v>
      </c>
      <c r="H57" s="6" t="str">
        <f>IFERROR(VLOOKUP(LOG_RESEAU[[#This Row],[Cell_ID]],Registre_Maintenance!A:E,5,FALSE),"Non trouvé")</f>
        <v>Non trouvé</v>
      </c>
      <c r="I57" s="6" t="str">
        <f>IFERROR(VLOOKUP(LOG_RESEAU[[#This Row],[Cell_ID]],Registre_Maintenance!A:F,6,FALSE),"Non trouvé")</f>
        <v>Non trouvé</v>
      </c>
      <c r="J57" s="6" t="str">
        <f t="shared" si="0"/>
        <v>Antenne inconnue</v>
      </c>
      <c r="K57" s="6">
        <f t="shared" si="1"/>
        <v>6</v>
      </c>
      <c r="L57" s="6">
        <f t="shared" si="2"/>
        <v>459</v>
      </c>
    </row>
    <row r="58" spans="1:12" ht="15.75" x14ac:dyDescent="0.25">
      <c r="A58" s="6" t="s">
        <v>799</v>
      </c>
      <c r="B58" s="7">
        <v>45221.997916666667</v>
      </c>
      <c r="C58" s="6">
        <v>12</v>
      </c>
      <c r="D58" s="6" t="s">
        <v>792</v>
      </c>
      <c r="E58" s="8" t="str">
        <f>IFERROR(VLOOKUP(LOG_RESEAU[[#This Row],[Cell_ID]],Registre_Maintenance!A:B,2,FALSE),"Non trouvé")</f>
        <v>Non trouvé</v>
      </c>
      <c r="F58" s="8" t="str">
        <f>IFERROR(VLOOKUP(LOG_RESEAU[[#This Row],[Cell_ID]],Registre_Maintenance!A:C,3,FALSE),"Non trouvé")</f>
        <v>Non trouvé</v>
      </c>
      <c r="G58" s="8" t="str">
        <f>IFERROR(VLOOKUP(LOG_RESEAU[[#This Row],[Cell_ID]],Registre_Maintenance!A:D,4,FALSE),"Non trouvé")</f>
        <v>Non trouvé</v>
      </c>
      <c r="H58" s="6" t="str">
        <f>IFERROR(VLOOKUP(LOG_RESEAU[[#This Row],[Cell_ID]],Registre_Maintenance!A:E,5,FALSE),"Non trouvé")</f>
        <v>Non trouvé</v>
      </c>
      <c r="I58" s="6" t="str">
        <f>IFERROR(VLOOKUP(LOG_RESEAU[[#This Row],[Cell_ID]],Registre_Maintenance!A:F,6,FALSE),"Non trouvé")</f>
        <v>Non trouvé</v>
      </c>
      <c r="J58" s="6" t="str">
        <f t="shared" si="0"/>
        <v>Antenne inconnue</v>
      </c>
      <c r="K58" s="6">
        <f t="shared" si="1"/>
        <v>6</v>
      </c>
      <c r="L58" s="6">
        <f t="shared" si="2"/>
        <v>459</v>
      </c>
    </row>
    <row r="59" spans="1:12" ht="15.75" x14ac:dyDescent="0.25">
      <c r="A59" s="6" t="s">
        <v>799</v>
      </c>
      <c r="B59" s="7">
        <v>45206.384722222218</v>
      </c>
      <c r="C59" s="6">
        <v>79</v>
      </c>
      <c r="D59" s="6" t="s">
        <v>792</v>
      </c>
      <c r="E59" s="8" t="str">
        <f>IFERROR(VLOOKUP(LOG_RESEAU[[#This Row],[Cell_ID]],Registre_Maintenance!A:B,2,FALSE),"Non trouvé")</f>
        <v>Non trouvé</v>
      </c>
      <c r="F59" s="8" t="str">
        <f>IFERROR(VLOOKUP(LOG_RESEAU[[#This Row],[Cell_ID]],Registre_Maintenance!A:C,3,FALSE),"Non trouvé")</f>
        <v>Non trouvé</v>
      </c>
      <c r="G59" s="8" t="str">
        <f>IFERROR(VLOOKUP(LOG_RESEAU[[#This Row],[Cell_ID]],Registre_Maintenance!A:D,4,FALSE),"Non trouvé")</f>
        <v>Non trouvé</v>
      </c>
      <c r="H59" s="6" t="str">
        <f>IFERROR(VLOOKUP(LOG_RESEAU[[#This Row],[Cell_ID]],Registre_Maintenance!A:E,5,FALSE),"Non trouvé")</f>
        <v>Non trouvé</v>
      </c>
      <c r="I59" s="6" t="str">
        <f>IFERROR(VLOOKUP(LOG_RESEAU[[#This Row],[Cell_ID]],Registre_Maintenance!A:F,6,FALSE),"Non trouvé")</f>
        <v>Non trouvé</v>
      </c>
      <c r="J59" s="6" t="str">
        <f t="shared" si="0"/>
        <v>Antenne inconnue</v>
      </c>
      <c r="K59" s="6">
        <f t="shared" si="1"/>
        <v>6</v>
      </c>
      <c r="L59" s="6">
        <f t="shared" si="2"/>
        <v>459</v>
      </c>
    </row>
    <row r="60" spans="1:12" ht="15.75" x14ac:dyDescent="0.25">
      <c r="A60" s="6" t="s">
        <v>799</v>
      </c>
      <c r="B60" s="7">
        <v>45222.586111111108</v>
      </c>
      <c r="C60" s="6">
        <v>99</v>
      </c>
      <c r="D60" s="6" t="s">
        <v>792</v>
      </c>
      <c r="E60" s="8" t="str">
        <f>IFERROR(VLOOKUP(LOG_RESEAU[[#This Row],[Cell_ID]],Registre_Maintenance!A:B,2,FALSE),"Non trouvé")</f>
        <v>Non trouvé</v>
      </c>
      <c r="F60" s="8" t="str">
        <f>IFERROR(VLOOKUP(LOG_RESEAU[[#This Row],[Cell_ID]],Registre_Maintenance!A:C,3,FALSE),"Non trouvé")</f>
        <v>Non trouvé</v>
      </c>
      <c r="G60" s="8" t="str">
        <f>IFERROR(VLOOKUP(LOG_RESEAU[[#This Row],[Cell_ID]],Registre_Maintenance!A:D,4,FALSE),"Non trouvé")</f>
        <v>Non trouvé</v>
      </c>
      <c r="H60" s="6" t="str">
        <f>IFERROR(VLOOKUP(LOG_RESEAU[[#This Row],[Cell_ID]],Registre_Maintenance!A:E,5,FALSE),"Non trouvé")</f>
        <v>Non trouvé</v>
      </c>
      <c r="I60" s="6" t="str">
        <f>IFERROR(VLOOKUP(LOG_RESEAU[[#This Row],[Cell_ID]],Registre_Maintenance!A:F,6,FALSE),"Non trouvé")</f>
        <v>Non trouvé</v>
      </c>
      <c r="J60" s="6" t="str">
        <f t="shared" si="0"/>
        <v>Antenne inconnue</v>
      </c>
      <c r="K60" s="6">
        <f t="shared" si="1"/>
        <v>6</v>
      </c>
      <c r="L60" s="6">
        <f t="shared" si="2"/>
        <v>459</v>
      </c>
    </row>
    <row r="61" spans="1:12" ht="15.75" x14ac:dyDescent="0.25">
      <c r="A61" s="6" t="s">
        <v>799</v>
      </c>
      <c r="B61" s="7">
        <v>45224.671527777777</v>
      </c>
      <c r="C61" s="6">
        <v>100</v>
      </c>
      <c r="D61" s="6" t="s">
        <v>800</v>
      </c>
      <c r="E61" s="8" t="str">
        <f>IFERROR(VLOOKUP(LOG_RESEAU[[#This Row],[Cell_ID]],Registre_Maintenance!A:B,2,FALSE),"Non trouvé")</f>
        <v>Non trouvé</v>
      </c>
      <c r="F61" s="8" t="str">
        <f>IFERROR(VLOOKUP(LOG_RESEAU[[#This Row],[Cell_ID]],Registre_Maintenance!A:C,3,FALSE),"Non trouvé")</f>
        <v>Non trouvé</v>
      </c>
      <c r="G61" s="8" t="str">
        <f>IFERROR(VLOOKUP(LOG_RESEAU[[#This Row],[Cell_ID]],Registre_Maintenance!A:D,4,FALSE),"Non trouvé")</f>
        <v>Non trouvé</v>
      </c>
      <c r="H61" s="6" t="str">
        <f>IFERROR(VLOOKUP(LOG_RESEAU[[#This Row],[Cell_ID]],Registre_Maintenance!A:E,5,FALSE),"Non trouvé")</f>
        <v>Non trouvé</v>
      </c>
      <c r="I61" s="6" t="str">
        <f>IFERROR(VLOOKUP(LOG_RESEAU[[#This Row],[Cell_ID]],Registre_Maintenance!A:F,6,FALSE),"Non trouvé")</f>
        <v>Non trouvé</v>
      </c>
      <c r="J61" s="6" t="str">
        <f t="shared" si="0"/>
        <v>Antenne inconnue</v>
      </c>
      <c r="K61" s="6">
        <f t="shared" si="1"/>
        <v>6</v>
      </c>
      <c r="L61" s="6">
        <f t="shared" si="2"/>
        <v>459</v>
      </c>
    </row>
    <row r="62" spans="1:12" ht="15.75" x14ac:dyDescent="0.25">
      <c r="A62" s="6" t="s">
        <v>859</v>
      </c>
      <c r="B62" s="7">
        <v>45202.742361111108</v>
      </c>
      <c r="C62" s="6">
        <v>8</v>
      </c>
      <c r="D62" s="6" t="s">
        <v>800</v>
      </c>
      <c r="E62" s="8" t="str">
        <f>IFERROR(VLOOKUP(LOG_RESEAU[[#This Row],[Cell_ID]],Registre_Maintenance!A:B,2,FALSE),"Non trouvé")</f>
        <v>Non trouvé</v>
      </c>
      <c r="F62" s="8" t="str">
        <f>IFERROR(VLOOKUP(LOG_RESEAU[[#This Row],[Cell_ID]],Registre_Maintenance!A:C,3,FALSE),"Non trouvé")</f>
        <v>Non trouvé</v>
      </c>
      <c r="G62" s="8" t="str">
        <f>IFERROR(VLOOKUP(LOG_RESEAU[[#This Row],[Cell_ID]],Registre_Maintenance!A:D,4,FALSE),"Non trouvé")</f>
        <v>Non trouvé</v>
      </c>
      <c r="H62" s="6" t="str">
        <f>IFERROR(VLOOKUP(LOG_RESEAU[[#This Row],[Cell_ID]],Registre_Maintenance!A:E,5,FALSE),"Non trouvé")</f>
        <v>Non trouvé</v>
      </c>
      <c r="I62" s="6" t="str">
        <f>IFERROR(VLOOKUP(LOG_RESEAU[[#This Row],[Cell_ID]],Registre_Maintenance!A:F,6,FALSE),"Non trouvé")</f>
        <v>Non trouvé</v>
      </c>
      <c r="J62" s="6" t="str">
        <f t="shared" si="0"/>
        <v>Antenne inconnue</v>
      </c>
      <c r="K62" s="6">
        <f t="shared" si="1"/>
        <v>5</v>
      </c>
      <c r="L62" s="6">
        <f t="shared" si="2"/>
        <v>237</v>
      </c>
    </row>
    <row r="63" spans="1:12" ht="15.75" x14ac:dyDescent="0.25">
      <c r="A63" s="6" t="s">
        <v>888</v>
      </c>
      <c r="B63" s="7">
        <v>45229.595833333333</v>
      </c>
      <c r="C63" s="6">
        <v>76</v>
      </c>
      <c r="D63" s="6" t="s">
        <v>800</v>
      </c>
      <c r="E63" s="8" t="str">
        <f>IFERROR(VLOOKUP(LOG_RESEAU[[#This Row],[Cell_ID]],Registre_Maintenance!A:B,2,FALSE),"Non trouvé")</f>
        <v>Non trouvé</v>
      </c>
      <c r="F63" s="8" t="str">
        <f>IFERROR(VLOOKUP(LOG_RESEAU[[#This Row],[Cell_ID]],Registre_Maintenance!A:C,3,FALSE),"Non trouvé")</f>
        <v>Non trouvé</v>
      </c>
      <c r="G63" s="8" t="str">
        <f>IFERROR(VLOOKUP(LOG_RESEAU[[#This Row],[Cell_ID]],Registre_Maintenance!A:D,4,FALSE),"Non trouvé")</f>
        <v>Non trouvé</v>
      </c>
      <c r="H63" s="6" t="str">
        <f>IFERROR(VLOOKUP(LOG_RESEAU[[#This Row],[Cell_ID]],Registre_Maintenance!A:E,5,FALSE),"Non trouvé")</f>
        <v>Non trouvé</v>
      </c>
      <c r="I63" s="6" t="str">
        <f>IFERROR(VLOOKUP(LOG_RESEAU[[#This Row],[Cell_ID]],Registre_Maintenance!A:F,6,FALSE),"Non trouvé")</f>
        <v>Non trouvé</v>
      </c>
      <c r="J63" s="6" t="str">
        <f t="shared" si="0"/>
        <v>Antenne inconnue</v>
      </c>
      <c r="K63" s="6">
        <f t="shared" si="1"/>
        <v>5</v>
      </c>
      <c r="L63" s="6">
        <f t="shared" si="2"/>
        <v>237</v>
      </c>
    </row>
    <row r="64" spans="1:12" ht="15.75" x14ac:dyDescent="0.25">
      <c r="A64" s="6" t="s">
        <v>888</v>
      </c>
      <c r="B64" s="7">
        <v>45206.558333333327</v>
      </c>
      <c r="C64" s="6">
        <v>87</v>
      </c>
      <c r="D64" s="6" t="s">
        <v>794</v>
      </c>
      <c r="E64" s="8" t="str">
        <f>IFERROR(VLOOKUP(LOG_RESEAU[[#This Row],[Cell_ID]],Registre_Maintenance!A:B,2,FALSE),"Non trouvé")</f>
        <v>Non trouvé</v>
      </c>
      <c r="F64" s="8" t="str">
        <f>IFERROR(VLOOKUP(LOG_RESEAU[[#This Row],[Cell_ID]],Registre_Maintenance!A:C,3,FALSE),"Non trouvé")</f>
        <v>Non trouvé</v>
      </c>
      <c r="G64" s="8" t="str">
        <f>IFERROR(VLOOKUP(LOG_RESEAU[[#This Row],[Cell_ID]],Registre_Maintenance!A:D,4,FALSE),"Non trouvé")</f>
        <v>Non trouvé</v>
      </c>
      <c r="H64" s="6" t="str">
        <f>IFERROR(VLOOKUP(LOG_RESEAU[[#This Row],[Cell_ID]],Registre_Maintenance!A:E,5,FALSE),"Non trouvé")</f>
        <v>Non trouvé</v>
      </c>
      <c r="I64" s="6" t="str">
        <f>IFERROR(VLOOKUP(LOG_RESEAU[[#This Row],[Cell_ID]],Registre_Maintenance!A:F,6,FALSE),"Non trouvé")</f>
        <v>Non trouvé</v>
      </c>
      <c r="J64" s="6" t="str">
        <f t="shared" si="0"/>
        <v>Antenne inconnue</v>
      </c>
      <c r="K64" s="6">
        <f t="shared" si="1"/>
        <v>5</v>
      </c>
      <c r="L64" s="6">
        <f t="shared" si="2"/>
        <v>237</v>
      </c>
    </row>
    <row r="65" spans="1:12" ht="15.75" x14ac:dyDescent="0.25">
      <c r="A65" s="6" t="s">
        <v>888</v>
      </c>
      <c r="B65" s="7">
        <v>45222.55972222222</v>
      </c>
      <c r="C65" s="6">
        <v>26</v>
      </c>
      <c r="D65" s="6" t="s">
        <v>792</v>
      </c>
      <c r="E65" s="8" t="str">
        <f>IFERROR(VLOOKUP(LOG_RESEAU[[#This Row],[Cell_ID]],Registre_Maintenance!A:B,2,FALSE),"Non trouvé")</f>
        <v>Non trouvé</v>
      </c>
      <c r="F65" s="8" t="str">
        <f>IFERROR(VLOOKUP(LOG_RESEAU[[#This Row],[Cell_ID]],Registre_Maintenance!A:C,3,FALSE),"Non trouvé")</f>
        <v>Non trouvé</v>
      </c>
      <c r="G65" s="8" t="str">
        <f>IFERROR(VLOOKUP(LOG_RESEAU[[#This Row],[Cell_ID]],Registre_Maintenance!A:D,4,FALSE),"Non trouvé")</f>
        <v>Non trouvé</v>
      </c>
      <c r="H65" s="6" t="str">
        <f>IFERROR(VLOOKUP(LOG_RESEAU[[#This Row],[Cell_ID]],Registre_Maintenance!A:E,5,FALSE),"Non trouvé")</f>
        <v>Non trouvé</v>
      </c>
      <c r="I65" s="6" t="str">
        <f>IFERROR(VLOOKUP(LOG_RESEAU[[#This Row],[Cell_ID]],Registre_Maintenance!A:F,6,FALSE),"Non trouvé")</f>
        <v>Non trouvé</v>
      </c>
      <c r="J65" s="6" t="str">
        <f t="shared" si="0"/>
        <v>Antenne inconnue</v>
      </c>
      <c r="K65" s="6">
        <f t="shared" si="1"/>
        <v>5</v>
      </c>
      <c r="L65" s="6">
        <f t="shared" si="2"/>
        <v>237</v>
      </c>
    </row>
    <row r="66" spans="1:12" ht="15.75" x14ac:dyDescent="0.25">
      <c r="A66" s="6" t="s">
        <v>888</v>
      </c>
      <c r="B66" s="7">
        <v>45213.922222222223</v>
      </c>
      <c r="C66" s="6">
        <v>40</v>
      </c>
      <c r="D66" s="6" t="s">
        <v>794</v>
      </c>
      <c r="E66" s="8" t="str">
        <f>IFERROR(VLOOKUP(LOG_RESEAU[[#This Row],[Cell_ID]],Registre_Maintenance!A:B,2,FALSE),"Non trouvé")</f>
        <v>Non trouvé</v>
      </c>
      <c r="F66" s="8" t="str">
        <f>IFERROR(VLOOKUP(LOG_RESEAU[[#This Row],[Cell_ID]],Registre_Maintenance!A:C,3,FALSE),"Non trouvé")</f>
        <v>Non trouvé</v>
      </c>
      <c r="G66" s="8" t="str">
        <f>IFERROR(VLOOKUP(LOG_RESEAU[[#This Row],[Cell_ID]],Registre_Maintenance!A:D,4,FALSE),"Non trouvé")</f>
        <v>Non trouvé</v>
      </c>
      <c r="H66" s="6" t="str">
        <f>IFERROR(VLOOKUP(LOG_RESEAU[[#This Row],[Cell_ID]],Registre_Maintenance!A:E,5,FALSE),"Non trouvé")</f>
        <v>Non trouvé</v>
      </c>
      <c r="I66" s="6" t="str">
        <f>IFERROR(VLOOKUP(LOG_RESEAU[[#This Row],[Cell_ID]],Registre_Maintenance!A:F,6,FALSE),"Non trouvé")</f>
        <v>Non trouvé</v>
      </c>
      <c r="J66" s="6" t="str">
        <f t="shared" ref="J66:J129" si="3">IF(ISERROR(SEARCH("Non trouvé",F66)),"OK","Antenne inconnue")</f>
        <v>Antenne inconnue</v>
      </c>
      <c r="K66" s="6">
        <f t="shared" ref="K66:K129" si="4">COUNTIF(A:A,A66)</f>
        <v>5</v>
      </c>
      <c r="L66" s="6">
        <f t="shared" ref="L66:L129" si="5">SUMIF(A:A,A66,C:C)</f>
        <v>237</v>
      </c>
    </row>
    <row r="67" spans="1:12" ht="15.75" x14ac:dyDescent="0.25">
      <c r="A67" s="6" t="s">
        <v>903</v>
      </c>
      <c r="B67" s="7">
        <v>45208.045138888891</v>
      </c>
      <c r="C67" s="6">
        <v>106</v>
      </c>
      <c r="D67" s="6" t="s">
        <v>794</v>
      </c>
      <c r="E67" s="8" t="str">
        <f>IFERROR(VLOOKUP(LOG_RESEAU[[#This Row],[Cell_ID]],Registre_Maintenance!A:B,2,FALSE),"Non trouvé")</f>
        <v>Non trouvé</v>
      </c>
      <c r="F67" s="8" t="str">
        <f>IFERROR(VLOOKUP(LOG_RESEAU[[#This Row],[Cell_ID]],Registre_Maintenance!A:C,3,FALSE),"Non trouvé")</f>
        <v>Non trouvé</v>
      </c>
      <c r="G67" s="8" t="str">
        <f>IFERROR(VLOOKUP(LOG_RESEAU[[#This Row],[Cell_ID]],Registre_Maintenance!A:D,4,FALSE),"Non trouvé")</f>
        <v>Non trouvé</v>
      </c>
      <c r="H67" s="6" t="str">
        <f>IFERROR(VLOOKUP(LOG_RESEAU[[#This Row],[Cell_ID]],Registre_Maintenance!A:E,5,FALSE),"Non trouvé")</f>
        <v>Non trouvé</v>
      </c>
      <c r="I67" s="6" t="str">
        <f>IFERROR(VLOOKUP(LOG_RESEAU[[#This Row],[Cell_ID]],Registre_Maintenance!A:F,6,FALSE),"Non trouvé")</f>
        <v>Non trouvé</v>
      </c>
      <c r="J67" s="6" t="str">
        <f t="shared" si="3"/>
        <v>Antenne inconnue</v>
      </c>
      <c r="K67" s="6">
        <f t="shared" si="4"/>
        <v>3</v>
      </c>
      <c r="L67" s="6">
        <f t="shared" si="5"/>
        <v>250</v>
      </c>
    </row>
    <row r="68" spans="1:12" ht="15.75" x14ac:dyDescent="0.25">
      <c r="A68" s="6" t="s">
        <v>978</v>
      </c>
      <c r="B68" s="7">
        <v>45221.268750000003</v>
      </c>
      <c r="C68" s="6">
        <v>69</v>
      </c>
      <c r="D68" s="6" t="s">
        <v>792</v>
      </c>
      <c r="E68" s="8" t="str">
        <f>IFERROR(VLOOKUP(LOG_RESEAU[[#This Row],[Cell_ID]],Registre_Maintenance!A:B,2,FALSE),"Non trouvé")</f>
        <v>Non trouvé</v>
      </c>
      <c r="F68" s="8" t="str">
        <f>IFERROR(VLOOKUP(LOG_RESEAU[[#This Row],[Cell_ID]],Registre_Maintenance!A:C,3,FALSE),"Non trouvé")</f>
        <v>Non trouvé</v>
      </c>
      <c r="G68" s="8" t="str">
        <f>IFERROR(VLOOKUP(LOG_RESEAU[[#This Row],[Cell_ID]],Registre_Maintenance!A:D,4,FALSE),"Non trouvé")</f>
        <v>Non trouvé</v>
      </c>
      <c r="H68" s="6" t="str">
        <f>IFERROR(VLOOKUP(LOG_RESEAU[[#This Row],[Cell_ID]],Registre_Maintenance!A:E,5,FALSE),"Non trouvé")</f>
        <v>Non trouvé</v>
      </c>
      <c r="I68" s="6" t="str">
        <f>IFERROR(VLOOKUP(LOG_RESEAU[[#This Row],[Cell_ID]],Registre_Maintenance!A:F,6,FALSE),"Non trouvé")</f>
        <v>Non trouvé</v>
      </c>
      <c r="J68" s="6" t="str">
        <f t="shared" si="3"/>
        <v>Antenne inconnue</v>
      </c>
      <c r="K68" s="6">
        <f t="shared" si="4"/>
        <v>3</v>
      </c>
      <c r="L68" s="6">
        <f t="shared" si="5"/>
        <v>250</v>
      </c>
    </row>
    <row r="69" spans="1:12" ht="15.75" x14ac:dyDescent="0.25">
      <c r="A69" s="6" t="s">
        <v>903</v>
      </c>
      <c r="B69" s="7">
        <v>45221.769444444442</v>
      </c>
      <c r="C69" s="6">
        <v>75</v>
      </c>
      <c r="D69" s="6" t="s">
        <v>800</v>
      </c>
      <c r="E69" s="8" t="str">
        <f>IFERROR(VLOOKUP(LOG_RESEAU[[#This Row],[Cell_ID]],Registre_Maintenance!A:B,2,FALSE),"Non trouvé")</f>
        <v>Non trouvé</v>
      </c>
      <c r="F69" s="8" t="str">
        <f>IFERROR(VLOOKUP(LOG_RESEAU[[#This Row],[Cell_ID]],Registre_Maintenance!A:C,3,FALSE),"Non trouvé")</f>
        <v>Non trouvé</v>
      </c>
      <c r="G69" s="8" t="str">
        <f>IFERROR(VLOOKUP(LOG_RESEAU[[#This Row],[Cell_ID]],Registre_Maintenance!A:D,4,FALSE),"Non trouvé")</f>
        <v>Non trouvé</v>
      </c>
      <c r="H69" s="6" t="str">
        <f>IFERROR(VLOOKUP(LOG_RESEAU[[#This Row],[Cell_ID]],Registre_Maintenance!A:E,5,FALSE),"Non trouvé")</f>
        <v>Non trouvé</v>
      </c>
      <c r="I69" s="6" t="str">
        <f>IFERROR(VLOOKUP(LOG_RESEAU[[#This Row],[Cell_ID]],Registre_Maintenance!A:F,6,FALSE),"Non trouvé")</f>
        <v>Non trouvé</v>
      </c>
      <c r="J69" s="6" t="str">
        <f t="shared" si="3"/>
        <v>Antenne inconnue</v>
      </c>
      <c r="K69" s="6">
        <f t="shared" si="4"/>
        <v>3</v>
      </c>
      <c r="L69" s="6">
        <f t="shared" si="5"/>
        <v>250</v>
      </c>
    </row>
    <row r="70" spans="1:12" ht="15.75" x14ac:dyDescent="0.25">
      <c r="A70" s="6" t="s">
        <v>865</v>
      </c>
      <c r="B70" s="7">
        <v>45202.417361111111</v>
      </c>
      <c r="C70" s="6">
        <v>104</v>
      </c>
      <c r="D70" s="6" t="s">
        <v>800</v>
      </c>
      <c r="E70" s="8" t="str">
        <f>IFERROR(VLOOKUP(LOG_RESEAU[[#This Row],[Cell_ID]],Registre_Maintenance!A:B,2,FALSE),"Non trouvé")</f>
        <v>Non trouvé</v>
      </c>
      <c r="F70" s="8" t="str">
        <f>IFERROR(VLOOKUP(LOG_RESEAU[[#This Row],[Cell_ID]],Registre_Maintenance!A:C,3,FALSE),"Non trouvé")</f>
        <v>Non trouvé</v>
      </c>
      <c r="G70" s="8" t="str">
        <f>IFERROR(VLOOKUP(LOG_RESEAU[[#This Row],[Cell_ID]],Registre_Maintenance!A:D,4,FALSE),"Non trouvé")</f>
        <v>Non trouvé</v>
      </c>
      <c r="H70" s="6" t="str">
        <f>IFERROR(VLOOKUP(LOG_RESEAU[[#This Row],[Cell_ID]],Registre_Maintenance!A:E,5,FALSE),"Non trouvé")</f>
        <v>Non trouvé</v>
      </c>
      <c r="I70" s="6" t="str">
        <f>IFERROR(VLOOKUP(LOG_RESEAU[[#This Row],[Cell_ID]],Registre_Maintenance!A:F,6,FALSE),"Non trouvé")</f>
        <v>Non trouvé</v>
      </c>
      <c r="J70" s="6" t="str">
        <f t="shared" si="3"/>
        <v>Antenne inconnue</v>
      </c>
      <c r="K70" s="6">
        <f t="shared" si="4"/>
        <v>3</v>
      </c>
      <c r="L70" s="6">
        <f t="shared" si="5"/>
        <v>290</v>
      </c>
    </row>
    <row r="71" spans="1:12" ht="15.75" x14ac:dyDescent="0.25">
      <c r="A71" s="6" t="s">
        <v>865</v>
      </c>
      <c r="B71" s="7">
        <v>45214.457638888889</v>
      </c>
      <c r="C71" s="6">
        <v>108</v>
      </c>
      <c r="D71" s="6" t="s">
        <v>792</v>
      </c>
      <c r="E71" s="8" t="str">
        <f>IFERROR(VLOOKUP(LOG_RESEAU[[#This Row],[Cell_ID]],Registre_Maintenance!A:B,2,FALSE),"Non trouvé")</f>
        <v>Non trouvé</v>
      </c>
      <c r="F71" s="8" t="str">
        <f>IFERROR(VLOOKUP(LOG_RESEAU[[#This Row],[Cell_ID]],Registre_Maintenance!A:C,3,FALSE),"Non trouvé")</f>
        <v>Non trouvé</v>
      </c>
      <c r="G71" s="8" t="str">
        <f>IFERROR(VLOOKUP(LOG_RESEAU[[#This Row],[Cell_ID]],Registre_Maintenance!A:D,4,FALSE),"Non trouvé")</f>
        <v>Non trouvé</v>
      </c>
      <c r="H71" s="6" t="str">
        <f>IFERROR(VLOOKUP(LOG_RESEAU[[#This Row],[Cell_ID]],Registre_Maintenance!A:E,5,FALSE),"Non trouvé")</f>
        <v>Non trouvé</v>
      </c>
      <c r="I71" s="6" t="str">
        <f>IFERROR(VLOOKUP(LOG_RESEAU[[#This Row],[Cell_ID]],Registre_Maintenance!A:F,6,FALSE),"Non trouvé")</f>
        <v>Non trouvé</v>
      </c>
      <c r="J71" s="6" t="str">
        <f t="shared" si="3"/>
        <v>Antenne inconnue</v>
      </c>
      <c r="K71" s="6">
        <f t="shared" si="4"/>
        <v>3</v>
      </c>
      <c r="L71" s="6">
        <f t="shared" si="5"/>
        <v>290</v>
      </c>
    </row>
    <row r="72" spans="1:12" ht="15.75" x14ac:dyDescent="0.25">
      <c r="A72" s="6" t="s">
        <v>865</v>
      </c>
      <c r="B72" s="7">
        <v>45213.649305555547</v>
      </c>
      <c r="C72" s="6">
        <v>78</v>
      </c>
      <c r="D72" s="6" t="s">
        <v>800</v>
      </c>
      <c r="E72" s="8" t="str">
        <f>IFERROR(VLOOKUP(LOG_RESEAU[[#This Row],[Cell_ID]],Registre_Maintenance!A:B,2,FALSE),"Non trouvé")</f>
        <v>Non trouvé</v>
      </c>
      <c r="F72" s="8" t="str">
        <f>IFERROR(VLOOKUP(LOG_RESEAU[[#This Row],[Cell_ID]],Registre_Maintenance!A:C,3,FALSE),"Non trouvé")</f>
        <v>Non trouvé</v>
      </c>
      <c r="G72" s="8" t="str">
        <f>IFERROR(VLOOKUP(LOG_RESEAU[[#This Row],[Cell_ID]],Registre_Maintenance!A:D,4,FALSE),"Non trouvé")</f>
        <v>Non trouvé</v>
      </c>
      <c r="H72" s="6" t="str">
        <f>IFERROR(VLOOKUP(LOG_RESEAU[[#This Row],[Cell_ID]],Registre_Maintenance!A:E,5,FALSE),"Non trouvé")</f>
        <v>Non trouvé</v>
      </c>
      <c r="I72" s="6" t="str">
        <f>IFERROR(VLOOKUP(LOG_RESEAU[[#This Row],[Cell_ID]],Registre_Maintenance!A:F,6,FALSE),"Non trouvé")</f>
        <v>Non trouvé</v>
      </c>
      <c r="J72" s="6" t="str">
        <f t="shared" si="3"/>
        <v>Antenne inconnue</v>
      </c>
      <c r="K72" s="6">
        <f t="shared" si="4"/>
        <v>3</v>
      </c>
      <c r="L72" s="6">
        <f t="shared" si="5"/>
        <v>290</v>
      </c>
    </row>
    <row r="73" spans="1:12" ht="15.75" x14ac:dyDescent="0.25">
      <c r="A73" s="6" t="s">
        <v>806</v>
      </c>
      <c r="B73" s="7">
        <v>45225.033333333333</v>
      </c>
      <c r="C73" s="6">
        <v>11</v>
      </c>
      <c r="D73" s="6" t="s">
        <v>800</v>
      </c>
      <c r="E73" s="8" t="str">
        <f>IFERROR(VLOOKUP(LOG_RESEAU[[#This Row],[Cell_ID]],Registre_Maintenance!A:B,2,FALSE),"Non trouvé")</f>
        <v>Kongo-Central</v>
      </c>
      <c r="F73" s="8">
        <f>IFERROR(VLOOKUP(LOG_RESEAU[[#This Row],[Cell_ID]],Registre_Maintenance!A:C,3,FALSE),"Non trouvé")</f>
        <v>2.9836019999999999</v>
      </c>
      <c r="G73" s="8">
        <f>IFERROR(VLOOKUP(LOG_RESEAU[[#This Row],[Cell_ID]],Registre_Maintenance!A:D,4,FALSE),"Non trouvé")</f>
        <v>21.893065</v>
      </c>
      <c r="H73" s="6" t="str">
        <f>IFERROR(VLOOKUP(LOG_RESEAU[[#This Row],[Cell_ID]],Registre_Maintenance!A:E,5,FALSE),"Non trouvé")</f>
        <v>5G</v>
      </c>
      <c r="I73" s="6" t="str">
        <f>IFERROR(VLOOKUP(LOG_RESEAU[[#This Row],[Cell_ID]],Registre_Maintenance!A:F,6,FALSE),"Non trouvé")</f>
        <v>Nokia</v>
      </c>
      <c r="J73" s="6" t="str">
        <f t="shared" si="3"/>
        <v>OK</v>
      </c>
      <c r="K73" s="6">
        <f t="shared" si="4"/>
        <v>4</v>
      </c>
      <c r="L73" s="6">
        <f t="shared" si="5"/>
        <v>283</v>
      </c>
    </row>
    <row r="74" spans="1:12" ht="15.75" x14ac:dyDescent="0.25">
      <c r="A74" s="6" t="s">
        <v>806</v>
      </c>
      <c r="B74" s="7">
        <v>45205.353472222218</v>
      </c>
      <c r="C74" s="6">
        <v>88</v>
      </c>
      <c r="D74" s="6" t="s">
        <v>792</v>
      </c>
      <c r="E74" s="8" t="str">
        <f>IFERROR(VLOOKUP(LOG_RESEAU[[#This Row],[Cell_ID]],Registre_Maintenance!A:B,2,FALSE),"Non trouvé")</f>
        <v>Kongo-Central</v>
      </c>
      <c r="F74" s="8">
        <f>IFERROR(VLOOKUP(LOG_RESEAU[[#This Row],[Cell_ID]],Registre_Maintenance!A:C,3,FALSE),"Non trouvé")</f>
        <v>2.9836019999999999</v>
      </c>
      <c r="G74" s="8">
        <f>IFERROR(VLOOKUP(LOG_RESEAU[[#This Row],[Cell_ID]],Registre_Maintenance!A:D,4,FALSE),"Non trouvé")</f>
        <v>21.893065</v>
      </c>
      <c r="H74" s="6" t="str">
        <f>IFERROR(VLOOKUP(LOG_RESEAU[[#This Row],[Cell_ID]],Registre_Maintenance!A:E,5,FALSE),"Non trouvé")</f>
        <v>5G</v>
      </c>
      <c r="I74" s="6" t="str">
        <f>IFERROR(VLOOKUP(LOG_RESEAU[[#This Row],[Cell_ID]],Registre_Maintenance!A:F,6,FALSE),"Non trouvé")</f>
        <v>Nokia</v>
      </c>
      <c r="J74" s="6" t="str">
        <f t="shared" si="3"/>
        <v>OK</v>
      </c>
      <c r="K74" s="6">
        <f t="shared" si="4"/>
        <v>4</v>
      </c>
      <c r="L74" s="6">
        <f t="shared" si="5"/>
        <v>283</v>
      </c>
    </row>
    <row r="75" spans="1:12" ht="15.75" x14ac:dyDescent="0.25">
      <c r="A75" s="6" t="s">
        <v>943</v>
      </c>
      <c r="B75" s="7">
        <v>45204.308333333327</v>
      </c>
      <c r="C75" s="6">
        <v>110</v>
      </c>
      <c r="D75" s="6" t="s">
        <v>794</v>
      </c>
      <c r="E75" s="8" t="str">
        <f>IFERROR(VLOOKUP(LOG_RESEAU[[#This Row],[Cell_ID]],Registre_Maintenance!A:B,2,FALSE),"Non trouvé")</f>
        <v>Kongo-Central</v>
      </c>
      <c r="F75" s="8">
        <f>IFERROR(VLOOKUP(LOG_RESEAU[[#This Row],[Cell_ID]],Registre_Maintenance!A:C,3,FALSE),"Non trouvé")</f>
        <v>2.9836019999999999</v>
      </c>
      <c r="G75" s="8">
        <f>IFERROR(VLOOKUP(LOG_RESEAU[[#This Row],[Cell_ID]],Registre_Maintenance!A:D,4,FALSE),"Non trouvé")</f>
        <v>21.893065</v>
      </c>
      <c r="H75" s="6" t="str">
        <f>IFERROR(VLOOKUP(LOG_RESEAU[[#This Row],[Cell_ID]],Registre_Maintenance!A:E,5,FALSE),"Non trouvé")</f>
        <v>5G</v>
      </c>
      <c r="I75" s="6" t="str">
        <f>IFERROR(VLOOKUP(LOG_RESEAU[[#This Row],[Cell_ID]],Registre_Maintenance!A:F,6,FALSE),"Non trouvé")</f>
        <v>Nokia</v>
      </c>
      <c r="J75" s="6" t="str">
        <f t="shared" si="3"/>
        <v>OK</v>
      </c>
      <c r="K75" s="6">
        <f t="shared" si="4"/>
        <v>4</v>
      </c>
      <c r="L75" s="6">
        <f t="shared" si="5"/>
        <v>283</v>
      </c>
    </row>
    <row r="76" spans="1:12" ht="15.75" x14ac:dyDescent="0.25">
      <c r="A76" s="6" t="s">
        <v>806</v>
      </c>
      <c r="B76" s="7">
        <v>45200.525694444441</v>
      </c>
      <c r="C76" s="6">
        <v>74</v>
      </c>
      <c r="D76" s="6" t="s">
        <v>800</v>
      </c>
      <c r="E76" s="8" t="str">
        <f>IFERROR(VLOOKUP(LOG_RESEAU[[#This Row],[Cell_ID]],Registre_Maintenance!A:B,2,FALSE),"Non trouvé")</f>
        <v>Kongo-Central</v>
      </c>
      <c r="F76" s="8">
        <f>IFERROR(VLOOKUP(LOG_RESEAU[[#This Row],[Cell_ID]],Registre_Maintenance!A:C,3,FALSE),"Non trouvé")</f>
        <v>2.9836019999999999</v>
      </c>
      <c r="G76" s="8">
        <f>IFERROR(VLOOKUP(LOG_RESEAU[[#This Row],[Cell_ID]],Registre_Maintenance!A:D,4,FALSE),"Non trouvé")</f>
        <v>21.893065</v>
      </c>
      <c r="H76" s="6" t="str">
        <f>IFERROR(VLOOKUP(LOG_RESEAU[[#This Row],[Cell_ID]],Registre_Maintenance!A:E,5,FALSE),"Non trouvé")</f>
        <v>5G</v>
      </c>
      <c r="I76" s="6" t="str">
        <f>IFERROR(VLOOKUP(LOG_RESEAU[[#This Row],[Cell_ID]],Registre_Maintenance!A:F,6,FALSE),"Non trouvé")</f>
        <v>Nokia</v>
      </c>
      <c r="J76" s="6" t="str">
        <f t="shared" si="3"/>
        <v>OK</v>
      </c>
      <c r="K76" s="6">
        <f t="shared" si="4"/>
        <v>4</v>
      </c>
      <c r="L76" s="6">
        <f t="shared" si="5"/>
        <v>283</v>
      </c>
    </row>
    <row r="77" spans="1:12" ht="15.75" x14ac:dyDescent="0.25">
      <c r="A77" s="6" t="s">
        <v>804</v>
      </c>
      <c r="B77" s="7">
        <v>45217.551388888889</v>
      </c>
      <c r="C77" s="6">
        <v>115</v>
      </c>
      <c r="D77" s="6" t="s">
        <v>800</v>
      </c>
      <c r="E77" s="8" t="str">
        <f>IFERROR(VLOOKUP(LOG_RESEAU[[#This Row],[Cell_ID]],Registre_Maintenance!A:B,2,FALSE),"Non trouvé")</f>
        <v>Sankuru</v>
      </c>
      <c r="F77" s="8">
        <f>IFERROR(VLOOKUP(LOG_RESEAU[[#This Row],[Cell_ID]],Registre_Maintenance!A:C,3,FALSE),"Non trouvé")</f>
        <v>-3.419035</v>
      </c>
      <c r="G77" s="8">
        <f>IFERROR(VLOOKUP(LOG_RESEAU[[#This Row],[Cell_ID]],Registre_Maintenance!A:D,4,FALSE),"Non trouvé")</f>
        <v>29.018315999999999</v>
      </c>
      <c r="H77" s="6" t="str">
        <f>IFERROR(VLOOKUP(LOG_RESEAU[[#This Row],[Cell_ID]],Registre_Maintenance!A:E,5,FALSE),"Non trouvé")</f>
        <v>5G</v>
      </c>
      <c r="I77" s="6" t="str">
        <f>IFERROR(VLOOKUP(LOG_RESEAU[[#This Row],[Cell_ID]],Registre_Maintenance!A:F,6,FALSE),"Non trouvé")</f>
        <v>Ericsson</v>
      </c>
      <c r="J77" s="6" t="str">
        <f t="shared" si="3"/>
        <v>OK</v>
      </c>
      <c r="K77" s="6">
        <f t="shared" si="4"/>
        <v>3</v>
      </c>
      <c r="L77" s="6">
        <f t="shared" si="5"/>
        <v>254</v>
      </c>
    </row>
    <row r="78" spans="1:12" ht="15.75" x14ac:dyDescent="0.25">
      <c r="A78" s="6" t="s">
        <v>804</v>
      </c>
      <c r="B78" s="7">
        <v>45228.001388888893</v>
      </c>
      <c r="C78" s="6">
        <v>112</v>
      </c>
      <c r="D78" s="6" t="s">
        <v>792</v>
      </c>
      <c r="E78" s="8" t="str">
        <f>IFERROR(VLOOKUP(LOG_RESEAU[[#This Row],[Cell_ID]],Registre_Maintenance!A:B,2,FALSE),"Non trouvé")</f>
        <v>Sankuru</v>
      </c>
      <c r="F78" s="8">
        <f>IFERROR(VLOOKUP(LOG_RESEAU[[#This Row],[Cell_ID]],Registre_Maintenance!A:C,3,FALSE),"Non trouvé")</f>
        <v>-3.419035</v>
      </c>
      <c r="G78" s="8">
        <f>IFERROR(VLOOKUP(LOG_RESEAU[[#This Row],[Cell_ID]],Registre_Maintenance!A:D,4,FALSE),"Non trouvé")</f>
        <v>29.018315999999999</v>
      </c>
      <c r="H78" s="6" t="str">
        <f>IFERROR(VLOOKUP(LOG_RESEAU[[#This Row],[Cell_ID]],Registre_Maintenance!A:E,5,FALSE),"Non trouvé")</f>
        <v>5G</v>
      </c>
      <c r="I78" s="6" t="str">
        <f>IFERROR(VLOOKUP(LOG_RESEAU[[#This Row],[Cell_ID]],Registre_Maintenance!A:F,6,FALSE),"Non trouvé")</f>
        <v>Ericsson</v>
      </c>
      <c r="J78" s="6" t="str">
        <f t="shared" si="3"/>
        <v>OK</v>
      </c>
      <c r="K78" s="6">
        <f t="shared" si="4"/>
        <v>3</v>
      </c>
      <c r="L78" s="6">
        <f t="shared" si="5"/>
        <v>254</v>
      </c>
    </row>
    <row r="79" spans="1:12" ht="15.75" x14ac:dyDescent="0.25">
      <c r="A79" s="6" t="s">
        <v>804</v>
      </c>
      <c r="B79" s="7">
        <v>45229.77847222222</v>
      </c>
      <c r="C79" s="6">
        <v>27</v>
      </c>
      <c r="D79" s="6" t="s">
        <v>800</v>
      </c>
      <c r="E79" s="8" t="str">
        <f>IFERROR(VLOOKUP(LOG_RESEAU[[#This Row],[Cell_ID]],Registre_Maintenance!A:B,2,FALSE),"Non trouvé")</f>
        <v>Sankuru</v>
      </c>
      <c r="F79" s="8">
        <f>IFERROR(VLOOKUP(LOG_RESEAU[[#This Row],[Cell_ID]],Registre_Maintenance!A:C,3,FALSE),"Non trouvé")</f>
        <v>-3.419035</v>
      </c>
      <c r="G79" s="8">
        <f>IFERROR(VLOOKUP(LOG_RESEAU[[#This Row],[Cell_ID]],Registre_Maintenance!A:D,4,FALSE),"Non trouvé")</f>
        <v>29.018315999999999</v>
      </c>
      <c r="H79" s="6" t="str">
        <f>IFERROR(VLOOKUP(LOG_RESEAU[[#This Row],[Cell_ID]],Registre_Maintenance!A:E,5,FALSE),"Non trouvé")</f>
        <v>5G</v>
      </c>
      <c r="I79" s="6" t="str">
        <f>IFERROR(VLOOKUP(LOG_RESEAU[[#This Row],[Cell_ID]],Registre_Maintenance!A:F,6,FALSE),"Non trouvé")</f>
        <v>Ericsson</v>
      </c>
      <c r="J79" s="6" t="str">
        <f t="shared" si="3"/>
        <v>OK</v>
      </c>
      <c r="K79" s="6">
        <f t="shared" si="4"/>
        <v>3</v>
      </c>
      <c r="L79" s="6">
        <f t="shared" si="5"/>
        <v>254</v>
      </c>
    </row>
    <row r="80" spans="1:12" ht="15.75" x14ac:dyDescent="0.25">
      <c r="A80" s="6" t="s">
        <v>807</v>
      </c>
      <c r="B80" s="7">
        <v>45225.238888888889</v>
      </c>
      <c r="C80" s="6">
        <v>115</v>
      </c>
      <c r="D80" s="6" t="s">
        <v>792</v>
      </c>
      <c r="E80" s="8" t="str">
        <f>IFERROR(VLOOKUP(LOG_RESEAU[[#This Row],[Cell_ID]],Registre_Maintenance!A:B,2,FALSE),"Non trouvé")</f>
        <v>Non trouvé</v>
      </c>
      <c r="F80" s="8" t="str">
        <f>IFERROR(VLOOKUP(LOG_RESEAU[[#This Row],[Cell_ID]],Registre_Maintenance!A:C,3,FALSE),"Non trouvé")</f>
        <v>Non trouvé</v>
      </c>
      <c r="G80" s="8" t="str">
        <f>IFERROR(VLOOKUP(LOG_RESEAU[[#This Row],[Cell_ID]],Registre_Maintenance!A:D,4,FALSE),"Non trouvé")</f>
        <v>Non trouvé</v>
      </c>
      <c r="H80" s="6" t="str">
        <f>IFERROR(VLOOKUP(LOG_RESEAU[[#This Row],[Cell_ID]],Registre_Maintenance!A:E,5,FALSE),"Non trouvé")</f>
        <v>Non trouvé</v>
      </c>
      <c r="I80" s="6" t="str">
        <f>IFERROR(VLOOKUP(LOG_RESEAU[[#This Row],[Cell_ID]],Registre_Maintenance!A:F,6,FALSE),"Non trouvé")</f>
        <v>Non trouvé</v>
      </c>
      <c r="J80" s="6" t="str">
        <f t="shared" si="3"/>
        <v>Antenne inconnue</v>
      </c>
      <c r="K80" s="6">
        <f t="shared" si="4"/>
        <v>8</v>
      </c>
      <c r="L80" s="6">
        <f t="shared" si="5"/>
        <v>621</v>
      </c>
    </row>
    <row r="81" spans="1:12" ht="15.75" x14ac:dyDescent="0.25">
      <c r="A81" s="6" t="s">
        <v>807</v>
      </c>
      <c r="B81" s="7">
        <v>45230.706944444442</v>
      </c>
      <c r="C81" s="6">
        <v>86</v>
      </c>
      <c r="D81" s="6" t="s">
        <v>794</v>
      </c>
      <c r="E81" s="8" t="str">
        <f>IFERROR(VLOOKUP(LOG_RESEAU[[#This Row],[Cell_ID]],Registre_Maintenance!A:B,2,FALSE),"Non trouvé")</f>
        <v>Non trouvé</v>
      </c>
      <c r="F81" s="8" t="str">
        <f>IFERROR(VLOOKUP(LOG_RESEAU[[#This Row],[Cell_ID]],Registre_Maintenance!A:C,3,FALSE),"Non trouvé")</f>
        <v>Non trouvé</v>
      </c>
      <c r="G81" s="8" t="str">
        <f>IFERROR(VLOOKUP(LOG_RESEAU[[#This Row],[Cell_ID]],Registre_Maintenance!A:D,4,FALSE),"Non trouvé")</f>
        <v>Non trouvé</v>
      </c>
      <c r="H81" s="6" t="str">
        <f>IFERROR(VLOOKUP(LOG_RESEAU[[#This Row],[Cell_ID]],Registre_Maintenance!A:E,5,FALSE),"Non trouvé")</f>
        <v>Non trouvé</v>
      </c>
      <c r="I81" s="6" t="str">
        <f>IFERROR(VLOOKUP(LOG_RESEAU[[#This Row],[Cell_ID]],Registre_Maintenance!A:F,6,FALSE),"Non trouvé")</f>
        <v>Non trouvé</v>
      </c>
      <c r="J81" s="6" t="str">
        <f t="shared" si="3"/>
        <v>Antenne inconnue</v>
      </c>
      <c r="K81" s="6">
        <f t="shared" si="4"/>
        <v>8</v>
      </c>
      <c r="L81" s="6">
        <f t="shared" si="5"/>
        <v>621</v>
      </c>
    </row>
    <row r="82" spans="1:12" ht="15.75" x14ac:dyDescent="0.25">
      <c r="A82" s="6" t="s">
        <v>807</v>
      </c>
      <c r="B82" s="7">
        <v>45225.831250000003</v>
      </c>
      <c r="C82" s="6">
        <v>78</v>
      </c>
      <c r="D82" s="6" t="s">
        <v>794</v>
      </c>
      <c r="E82" s="8" t="str">
        <f>IFERROR(VLOOKUP(LOG_RESEAU[[#This Row],[Cell_ID]],Registre_Maintenance!A:B,2,FALSE),"Non trouvé")</f>
        <v>Non trouvé</v>
      </c>
      <c r="F82" s="8" t="str">
        <f>IFERROR(VLOOKUP(LOG_RESEAU[[#This Row],[Cell_ID]],Registre_Maintenance!A:C,3,FALSE),"Non trouvé")</f>
        <v>Non trouvé</v>
      </c>
      <c r="G82" s="8" t="str">
        <f>IFERROR(VLOOKUP(LOG_RESEAU[[#This Row],[Cell_ID]],Registre_Maintenance!A:D,4,FALSE),"Non trouvé")</f>
        <v>Non trouvé</v>
      </c>
      <c r="H82" s="6" t="str">
        <f>IFERROR(VLOOKUP(LOG_RESEAU[[#This Row],[Cell_ID]],Registre_Maintenance!A:E,5,FALSE),"Non trouvé")</f>
        <v>Non trouvé</v>
      </c>
      <c r="I82" s="6" t="str">
        <f>IFERROR(VLOOKUP(LOG_RESEAU[[#This Row],[Cell_ID]],Registre_Maintenance!A:F,6,FALSE),"Non trouvé")</f>
        <v>Non trouvé</v>
      </c>
      <c r="J82" s="6" t="str">
        <f t="shared" si="3"/>
        <v>Antenne inconnue</v>
      </c>
      <c r="K82" s="6">
        <f t="shared" si="4"/>
        <v>8</v>
      </c>
      <c r="L82" s="6">
        <f t="shared" si="5"/>
        <v>621</v>
      </c>
    </row>
    <row r="83" spans="1:12" ht="15.75" x14ac:dyDescent="0.25">
      <c r="A83" s="6" t="s">
        <v>807</v>
      </c>
      <c r="B83" s="7">
        <v>45230.726388888892</v>
      </c>
      <c r="C83" s="6">
        <v>66</v>
      </c>
      <c r="D83" s="6" t="s">
        <v>792</v>
      </c>
      <c r="E83" s="8" t="str">
        <f>IFERROR(VLOOKUP(LOG_RESEAU[[#This Row],[Cell_ID]],Registre_Maintenance!A:B,2,FALSE),"Non trouvé")</f>
        <v>Non trouvé</v>
      </c>
      <c r="F83" s="8" t="str">
        <f>IFERROR(VLOOKUP(LOG_RESEAU[[#This Row],[Cell_ID]],Registre_Maintenance!A:C,3,FALSE),"Non trouvé")</f>
        <v>Non trouvé</v>
      </c>
      <c r="G83" s="8" t="str">
        <f>IFERROR(VLOOKUP(LOG_RESEAU[[#This Row],[Cell_ID]],Registre_Maintenance!A:D,4,FALSE),"Non trouvé")</f>
        <v>Non trouvé</v>
      </c>
      <c r="H83" s="6" t="str">
        <f>IFERROR(VLOOKUP(LOG_RESEAU[[#This Row],[Cell_ID]],Registre_Maintenance!A:E,5,FALSE),"Non trouvé")</f>
        <v>Non trouvé</v>
      </c>
      <c r="I83" s="6" t="str">
        <f>IFERROR(VLOOKUP(LOG_RESEAU[[#This Row],[Cell_ID]],Registre_Maintenance!A:F,6,FALSE),"Non trouvé")</f>
        <v>Non trouvé</v>
      </c>
      <c r="J83" s="6" t="str">
        <f t="shared" si="3"/>
        <v>Antenne inconnue</v>
      </c>
      <c r="K83" s="6">
        <f t="shared" si="4"/>
        <v>8</v>
      </c>
      <c r="L83" s="6">
        <f t="shared" si="5"/>
        <v>621</v>
      </c>
    </row>
    <row r="84" spans="1:12" ht="15.75" x14ac:dyDescent="0.25">
      <c r="A84" s="6" t="s">
        <v>807</v>
      </c>
      <c r="B84" s="7">
        <v>45215.811111111107</v>
      </c>
      <c r="C84" s="6">
        <v>68</v>
      </c>
      <c r="D84" s="6" t="s">
        <v>794</v>
      </c>
      <c r="E84" s="8" t="str">
        <f>IFERROR(VLOOKUP(LOG_RESEAU[[#This Row],[Cell_ID]],Registre_Maintenance!A:B,2,FALSE),"Non trouvé")</f>
        <v>Non trouvé</v>
      </c>
      <c r="F84" s="8" t="str">
        <f>IFERROR(VLOOKUP(LOG_RESEAU[[#This Row],[Cell_ID]],Registre_Maintenance!A:C,3,FALSE),"Non trouvé")</f>
        <v>Non trouvé</v>
      </c>
      <c r="G84" s="8" t="str">
        <f>IFERROR(VLOOKUP(LOG_RESEAU[[#This Row],[Cell_ID]],Registre_Maintenance!A:D,4,FALSE),"Non trouvé")</f>
        <v>Non trouvé</v>
      </c>
      <c r="H84" s="6" t="str">
        <f>IFERROR(VLOOKUP(LOG_RESEAU[[#This Row],[Cell_ID]],Registre_Maintenance!A:E,5,FALSE),"Non trouvé")</f>
        <v>Non trouvé</v>
      </c>
      <c r="I84" s="6" t="str">
        <f>IFERROR(VLOOKUP(LOG_RESEAU[[#This Row],[Cell_ID]],Registre_Maintenance!A:F,6,FALSE),"Non trouvé")</f>
        <v>Non trouvé</v>
      </c>
      <c r="J84" s="6" t="str">
        <f t="shared" si="3"/>
        <v>Antenne inconnue</v>
      </c>
      <c r="K84" s="6">
        <f t="shared" si="4"/>
        <v>8</v>
      </c>
      <c r="L84" s="6">
        <f t="shared" si="5"/>
        <v>621</v>
      </c>
    </row>
    <row r="85" spans="1:12" ht="15.75" x14ac:dyDescent="0.25">
      <c r="A85" s="6" t="s">
        <v>807</v>
      </c>
      <c r="B85" s="7">
        <v>45219.989583333343</v>
      </c>
      <c r="C85" s="6">
        <v>36</v>
      </c>
      <c r="D85" s="6" t="s">
        <v>794</v>
      </c>
      <c r="E85" s="8" t="str">
        <f>IFERROR(VLOOKUP(LOG_RESEAU[[#This Row],[Cell_ID]],Registre_Maintenance!A:B,2,FALSE),"Non trouvé")</f>
        <v>Non trouvé</v>
      </c>
      <c r="F85" s="8" t="str">
        <f>IFERROR(VLOOKUP(LOG_RESEAU[[#This Row],[Cell_ID]],Registre_Maintenance!A:C,3,FALSE),"Non trouvé")</f>
        <v>Non trouvé</v>
      </c>
      <c r="G85" s="8" t="str">
        <f>IFERROR(VLOOKUP(LOG_RESEAU[[#This Row],[Cell_ID]],Registre_Maintenance!A:D,4,FALSE),"Non trouvé")</f>
        <v>Non trouvé</v>
      </c>
      <c r="H85" s="6" t="str">
        <f>IFERROR(VLOOKUP(LOG_RESEAU[[#This Row],[Cell_ID]],Registre_Maintenance!A:E,5,FALSE),"Non trouvé")</f>
        <v>Non trouvé</v>
      </c>
      <c r="I85" s="6" t="str">
        <f>IFERROR(VLOOKUP(LOG_RESEAU[[#This Row],[Cell_ID]],Registre_Maintenance!A:F,6,FALSE),"Non trouvé")</f>
        <v>Non trouvé</v>
      </c>
      <c r="J85" s="6" t="str">
        <f t="shared" si="3"/>
        <v>Antenne inconnue</v>
      </c>
      <c r="K85" s="6">
        <f t="shared" si="4"/>
        <v>8</v>
      </c>
      <c r="L85" s="6">
        <f t="shared" si="5"/>
        <v>621</v>
      </c>
    </row>
    <row r="86" spans="1:12" ht="15.75" x14ac:dyDescent="0.25">
      <c r="A86" s="6" t="s">
        <v>807</v>
      </c>
      <c r="B86" s="7">
        <v>45204.39166666667</v>
      </c>
      <c r="C86" s="6">
        <v>98</v>
      </c>
      <c r="D86" s="6" t="s">
        <v>792</v>
      </c>
      <c r="E86" s="8" t="str">
        <f>IFERROR(VLOOKUP(LOG_RESEAU[[#This Row],[Cell_ID]],Registre_Maintenance!A:B,2,FALSE),"Non trouvé")</f>
        <v>Non trouvé</v>
      </c>
      <c r="F86" s="8" t="str">
        <f>IFERROR(VLOOKUP(LOG_RESEAU[[#This Row],[Cell_ID]],Registre_Maintenance!A:C,3,FALSE),"Non trouvé")</f>
        <v>Non trouvé</v>
      </c>
      <c r="G86" s="8" t="str">
        <f>IFERROR(VLOOKUP(LOG_RESEAU[[#This Row],[Cell_ID]],Registre_Maintenance!A:D,4,FALSE),"Non trouvé")</f>
        <v>Non trouvé</v>
      </c>
      <c r="H86" s="6" t="str">
        <f>IFERROR(VLOOKUP(LOG_RESEAU[[#This Row],[Cell_ID]],Registre_Maintenance!A:E,5,FALSE),"Non trouvé")</f>
        <v>Non trouvé</v>
      </c>
      <c r="I86" s="6" t="str">
        <f>IFERROR(VLOOKUP(LOG_RESEAU[[#This Row],[Cell_ID]],Registre_Maintenance!A:F,6,FALSE),"Non trouvé")</f>
        <v>Non trouvé</v>
      </c>
      <c r="J86" s="6" t="str">
        <f t="shared" si="3"/>
        <v>Antenne inconnue</v>
      </c>
      <c r="K86" s="6">
        <f t="shared" si="4"/>
        <v>8</v>
      </c>
      <c r="L86" s="6">
        <f t="shared" si="5"/>
        <v>621</v>
      </c>
    </row>
    <row r="87" spans="1:12" ht="15.75" x14ac:dyDescent="0.25">
      <c r="A87" s="6" t="s">
        <v>807</v>
      </c>
      <c r="B87" s="7">
        <v>45230.565972222219</v>
      </c>
      <c r="C87" s="6">
        <v>74</v>
      </c>
      <c r="D87" s="6" t="s">
        <v>794</v>
      </c>
      <c r="E87" s="8" t="str">
        <f>IFERROR(VLOOKUP(LOG_RESEAU[[#This Row],[Cell_ID]],Registre_Maintenance!A:B,2,FALSE),"Non trouvé")</f>
        <v>Non trouvé</v>
      </c>
      <c r="F87" s="8" t="str">
        <f>IFERROR(VLOOKUP(LOG_RESEAU[[#This Row],[Cell_ID]],Registre_Maintenance!A:C,3,FALSE),"Non trouvé")</f>
        <v>Non trouvé</v>
      </c>
      <c r="G87" s="8" t="str">
        <f>IFERROR(VLOOKUP(LOG_RESEAU[[#This Row],[Cell_ID]],Registre_Maintenance!A:D,4,FALSE),"Non trouvé")</f>
        <v>Non trouvé</v>
      </c>
      <c r="H87" s="6" t="str">
        <f>IFERROR(VLOOKUP(LOG_RESEAU[[#This Row],[Cell_ID]],Registre_Maintenance!A:E,5,FALSE),"Non trouvé")</f>
        <v>Non trouvé</v>
      </c>
      <c r="I87" s="6" t="str">
        <f>IFERROR(VLOOKUP(LOG_RESEAU[[#This Row],[Cell_ID]],Registre_Maintenance!A:F,6,FALSE),"Non trouvé")</f>
        <v>Non trouvé</v>
      </c>
      <c r="J87" s="6" t="str">
        <f t="shared" si="3"/>
        <v>Antenne inconnue</v>
      </c>
      <c r="K87" s="6">
        <f t="shared" si="4"/>
        <v>8</v>
      </c>
      <c r="L87" s="6">
        <f t="shared" si="5"/>
        <v>621</v>
      </c>
    </row>
    <row r="88" spans="1:12" ht="15.75" x14ac:dyDescent="0.25">
      <c r="A88" s="6" t="s">
        <v>798</v>
      </c>
      <c r="B88" s="7">
        <v>45218.543055555558</v>
      </c>
      <c r="C88" s="6">
        <v>101</v>
      </c>
      <c r="D88" s="6" t="s">
        <v>794</v>
      </c>
      <c r="E88" s="8" t="str">
        <f>IFERROR(VLOOKUP(LOG_RESEAU[[#This Row],[Cell_ID]],Registre_Maintenance!A:B,2,FALSE),"Non trouvé")</f>
        <v>Non trouvé</v>
      </c>
      <c r="F88" s="8" t="str">
        <f>IFERROR(VLOOKUP(LOG_RESEAU[[#This Row],[Cell_ID]],Registre_Maintenance!A:C,3,FALSE),"Non trouvé")</f>
        <v>Non trouvé</v>
      </c>
      <c r="G88" s="8" t="str">
        <f>IFERROR(VLOOKUP(LOG_RESEAU[[#This Row],[Cell_ID]],Registre_Maintenance!A:D,4,FALSE),"Non trouvé")</f>
        <v>Non trouvé</v>
      </c>
      <c r="H88" s="6" t="str">
        <f>IFERROR(VLOOKUP(LOG_RESEAU[[#This Row],[Cell_ID]],Registre_Maintenance!A:E,5,FALSE),"Non trouvé")</f>
        <v>Non trouvé</v>
      </c>
      <c r="I88" s="6" t="str">
        <f>IFERROR(VLOOKUP(LOG_RESEAU[[#This Row],[Cell_ID]],Registre_Maintenance!A:F,6,FALSE),"Non trouvé")</f>
        <v>Non trouvé</v>
      </c>
      <c r="J88" s="6" t="str">
        <f t="shared" si="3"/>
        <v>Antenne inconnue</v>
      </c>
      <c r="K88" s="6">
        <f t="shared" si="4"/>
        <v>5</v>
      </c>
      <c r="L88" s="6">
        <f t="shared" si="5"/>
        <v>320</v>
      </c>
    </row>
    <row r="89" spans="1:12" ht="15.75" x14ac:dyDescent="0.25">
      <c r="A89" s="6" t="s">
        <v>798</v>
      </c>
      <c r="B89" s="7">
        <v>45203.12222222222</v>
      </c>
      <c r="C89" s="6">
        <v>22</v>
      </c>
      <c r="D89" s="6" t="s">
        <v>800</v>
      </c>
      <c r="E89" s="8" t="str">
        <f>IFERROR(VLOOKUP(LOG_RESEAU[[#This Row],[Cell_ID]],Registre_Maintenance!A:B,2,FALSE),"Non trouvé")</f>
        <v>Non trouvé</v>
      </c>
      <c r="F89" s="8" t="str">
        <f>IFERROR(VLOOKUP(LOG_RESEAU[[#This Row],[Cell_ID]],Registre_Maintenance!A:C,3,FALSE),"Non trouvé")</f>
        <v>Non trouvé</v>
      </c>
      <c r="G89" s="8" t="str">
        <f>IFERROR(VLOOKUP(LOG_RESEAU[[#This Row],[Cell_ID]],Registre_Maintenance!A:D,4,FALSE),"Non trouvé")</f>
        <v>Non trouvé</v>
      </c>
      <c r="H89" s="6" t="str">
        <f>IFERROR(VLOOKUP(LOG_RESEAU[[#This Row],[Cell_ID]],Registre_Maintenance!A:E,5,FALSE),"Non trouvé")</f>
        <v>Non trouvé</v>
      </c>
      <c r="I89" s="6" t="str">
        <f>IFERROR(VLOOKUP(LOG_RESEAU[[#This Row],[Cell_ID]],Registre_Maintenance!A:F,6,FALSE),"Non trouvé")</f>
        <v>Non trouvé</v>
      </c>
      <c r="J89" s="6" t="str">
        <f t="shared" si="3"/>
        <v>Antenne inconnue</v>
      </c>
      <c r="K89" s="6">
        <f t="shared" si="4"/>
        <v>5</v>
      </c>
      <c r="L89" s="6">
        <f t="shared" si="5"/>
        <v>320</v>
      </c>
    </row>
    <row r="90" spans="1:12" ht="15.75" x14ac:dyDescent="0.25">
      <c r="A90" s="6" t="s">
        <v>798</v>
      </c>
      <c r="B90" s="7">
        <v>45227.728472222218</v>
      </c>
      <c r="C90" s="6">
        <v>63</v>
      </c>
      <c r="D90" s="6" t="s">
        <v>794</v>
      </c>
      <c r="E90" s="8" t="str">
        <f>IFERROR(VLOOKUP(LOG_RESEAU[[#This Row],[Cell_ID]],Registre_Maintenance!A:B,2,FALSE),"Non trouvé")</f>
        <v>Non trouvé</v>
      </c>
      <c r="F90" s="8" t="str">
        <f>IFERROR(VLOOKUP(LOG_RESEAU[[#This Row],[Cell_ID]],Registre_Maintenance!A:C,3,FALSE),"Non trouvé")</f>
        <v>Non trouvé</v>
      </c>
      <c r="G90" s="8" t="str">
        <f>IFERROR(VLOOKUP(LOG_RESEAU[[#This Row],[Cell_ID]],Registre_Maintenance!A:D,4,FALSE),"Non trouvé")</f>
        <v>Non trouvé</v>
      </c>
      <c r="H90" s="6" t="str">
        <f>IFERROR(VLOOKUP(LOG_RESEAU[[#This Row],[Cell_ID]],Registre_Maintenance!A:E,5,FALSE),"Non trouvé")</f>
        <v>Non trouvé</v>
      </c>
      <c r="I90" s="6" t="str">
        <f>IFERROR(VLOOKUP(LOG_RESEAU[[#This Row],[Cell_ID]],Registre_Maintenance!A:F,6,FALSE),"Non trouvé")</f>
        <v>Non trouvé</v>
      </c>
      <c r="J90" s="6" t="str">
        <f t="shared" si="3"/>
        <v>Antenne inconnue</v>
      </c>
      <c r="K90" s="6">
        <f t="shared" si="4"/>
        <v>5</v>
      </c>
      <c r="L90" s="6">
        <f t="shared" si="5"/>
        <v>320</v>
      </c>
    </row>
    <row r="91" spans="1:12" hidden="1" x14ac:dyDescent="0.25">
      <c r="A91" s="2"/>
      <c r="B91" s="2">
        <v>45223.925000000003</v>
      </c>
      <c r="C91" s="2">
        <v>61</v>
      </c>
      <c r="D91" s="2" t="s">
        <v>792</v>
      </c>
      <c r="E91" s="3" t="str">
        <f>IFERROR(VLOOKUP(LOG_RESEAU[[#This Row],[Cell_ID]],Registre_Maintenance!A:B,2,FALSE),"Non trouvé")</f>
        <v>Non trouvé</v>
      </c>
      <c r="F91" s="3" t="str">
        <f>IFERROR(VLOOKUP(LOG_RESEAU[[#This Row],[Cell_ID]],Registre_Maintenance!A:C,3,FALSE),"Non trouvé")</f>
        <v>Non trouvé</v>
      </c>
      <c r="G91" s="3" t="str">
        <f>IFERROR(VLOOKUP(LOG_RESEAU[[#This Row],[Cell_ID]],Registre_Maintenance!A:D,4,FALSE),"Non trouvé")</f>
        <v>Non trouvé</v>
      </c>
      <c r="H91" s="2" t="str">
        <f>IFERROR(VLOOKUP(LOG_RESEAU[[#This Row],[Cell_ID]],Registre_Maintenance!A:E,5,FALSE),"Non trouvé")</f>
        <v>Non trouvé</v>
      </c>
      <c r="I91" s="2" t="str">
        <f>IFERROR(VLOOKUP(LOG_RESEAU[[#This Row],[Cell_ID]],Registre_Maintenance!A:F,6,FALSE),"Non trouvé")</f>
        <v>Non trouvé</v>
      </c>
      <c r="J91" s="2" t="str">
        <f t="shared" si="3"/>
        <v>Antenne inconnue</v>
      </c>
      <c r="K91" s="2">
        <f t="shared" si="4"/>
        <v>0</v>
      </c>
      <c r="L91" s="2">
        <f t="shared" si="5"/>
        <v>0</v>
      </c>
    </row>
    <row r="92" spans="1:12" ht="15.75" x14ac:dyDescent="0.25">
      <c r="A92" s="6" t="s">
        <v>798</v>
      </c>
      <c r="B92" s="7">
        <v>45220.792361111111</v>
      </c>
      <c r="C92" s="6">
        <v>109</v>
      </c>
      <c r="D92" s="6" t="s">
        <v>800</v>
      </c>
      <c r="E92" s="8" t="str">
        <f>IFERROR(VLOOKUP(LOG_RESEAU[[#This Row],[Cell_ID]],Registre_Maintenance!A:B,2,FALSE),"Non trouvé")</f>
        <v>Non trouvé</v>
      </c>
      <c r="F92" s="8" t="str">
        <f>IFERROR(VLOOKUP(LOG_RESEAU[[#This Row],[Cell_ID]],Registre_Maintenance!A:C,3,FALSE),"Non trouvé")</f>
        <v>Non trouvé</v>
      </c>
      <c r="G92" s="8" t="str">
        <f>IFERROR(VLOOKUP(LOG_RESEAU[[#This Row],[Cell_ID]],Registre_Maintenance!A:D,4,FALSE),"Non trouvé")</f>
        <v>Non trouvé</v>
      </c>
      <c r="H92" s="6" t="str">
        <f>IFERROR(VLOOKUP(LOG_RESEAU[[#This Row],[Cell_ID]],Registre_Maintenance!A:E,5,FALSE),"Non trouvé")</f>
        <v>Non trouvé</v>
      </c>
      <c r="I92" s="6" t="str">
        <f>IFERROR(VLOOKUP(LOG_RESEAU[[#This Row],[Cell_ID]],Registre_Maintenance!A:F,6,FALSE),"Non trouvé")</f>
        <v>Non trouvé</v>
      </c>
      <c r="J92" s="6" t="str">
        <f t="shared" si="3"/>
        <v>Antenne inconnue</v>
      </c>
      <c r="K92" s="6">
        <f t="shared" si="4"/>
        <v>5</v>
      </c>
      <c r="L92" s="6">
        <f t="shared" si="5"/>
        <v>320</v>
      </c>
    </row>
    <row r="93" spans="1:12" ht="15.75" x14ac:dyDescent="0.25">
      <c r="A93" s="6" t="s">
        <v>798</v>
      </c>
      <c r="B93" s="7">
        <v>45213.963194444441</v>
      </c>
      <c r="C93" s="6">
        <v>25</v>
      </c>
      <c r="D93" s="6" t="s">
        <v>800</v>
      </c>
      <c r="E93" s="8" t="str">
        <f>IFERROR(VLOOKUP(LOG_RESEAU[[#This Row],[Cell_ID]],Registre_Maintenance!A:B,2,FALSE),"Non trouvé")</f>
        <v>Non trouvé</v>
      </c>
      <c r="F93" s="8" t="str">
        <f>IFERROR(VLOOKUP(LOG_RESEAU[[#This Row],[Cell_ID]],Registre_Maintenance!A:C,3,FALSE),"Non trouvé")</f>
        <v>Non trouvé</v>
      </c>
      <c r="G93" s="8" t="str">
        <f>IFERROR(VLOOKUP(LOG_RESEAU[[#This Row],[Cell_ID]],Registre_Maintenance!A:D,4,FALSE),"Non trouvé")</f>
        <v>Non trouvé</v>
      </c>
      <c r="H93" s="6" t="str">
        <f>IFERROR(VLOOKUP(LOG_RESEAU[[#This Row],[Cell_ID]],Registre_Maintenance!A:E,5,FALSE),"Non trouvé")</f>
        <v>Non trouvé</v>
      </c>
      <c r="I93" s="6" t="str">
        <f>IFERROR(VLOOKUP(LOG_RESEAU[[#This Row],[Cell_ID]],Registre_Maintenance!A:F,6,FALSE),"Non trouvé")</f>
        <v>Non trouvé</v>
      </c>
      <c r="J93" s="6" t="str">
        <f t="shared" si="3"/>
        <v>Antenne inconnue</v>
      </c>
      <c r="K93" s="6">
        <f t="shared" si="4"/>
        <v>5</v>
      </c>
      <c r="L93" s="6">
        <f t="shared" si="5"/>
        <v>320</v>
      </c>
    </row>
    <row r="94" spans="1:12" ht="15.75" x14ac:dyDescent="0.25">
      <c r="A94" s="6" t="s">
        <v>944</v>
      </c>
      <c r="B94" s="7">
        <v>45213.44027777778</v>
      </c>
      <c r="C94" s="6">
        <v>15</v>
      </c>
      <c r="D94" s="6" t="s">
        <v>800</v>
      </c>
      <c r="E94" s="8" t="str">
        <f>IFERROR(VLOOKUP(LOG_RESEAU[[#This Row],[Cell_ID]],Registre_Maintenance!A:B,2,FALSE),"Non trouvé")</f>
        <v>Kasai</v>
      </c>
      <c r="F94" s="8">
        <f>IFERROR(VLOOKUP(LOG_RESEAU[[#This Row],[Cell_ID]],Registre_Maintenance!A:C,3,FALSE),"Non trouvé")</f>
        <v>-10.059846</v>
      </c>
      <c r="G94" s="8">
        <f>IFERROR(VLOOKUP(LOG_RESEAU[[#This Row],[Cell_ID]],Registre_Maintenance!A:D,4,FALSE),"Non trouvé")</f>
        <v>14.375757999999999</v>
      </c>
      <c r="H94" s="6" t="str">
        <f>IFERROR(VLOOKUP(LOG_RESEAU[[#This Row],[Cell_ID]],Registre_Maintenance!A:E,5,FALSE),"Non trouvé")</f>
        <v>4G</v>
      </c>
      <c r="I94" s="6" t="str">
        <f>IFERROR(VLOOKUP(LOG_RESEAU[[#This Row],[Cell_ID]],Registre_Maintenance!A:F,6,FALSE),"Non trouvé")</f>
        <v>Huawei</v>
      </c>
      <c r="J94" s="6" t="str">
        <f t="shared" si="3"/>
        <v>OK</v>
      </c>
      <c r="K94" s="6">
        <f t="shared" si="4"/>
        <v>6</v>
      </c>
      <c r="L94" s="6">
        <f t="shared" si="5"/>
        <v>340</v>
      </c>
    </row>
    <row r="95" spans="1:12" ht="15.75" x14ac:dyDescent="0.25">
      <c r="A95" s="6" t="s">
        <v>944</v>
      </c>
      <c r="B95" s="7">
        <v>45211.22152777778</v>
      </c>
      <c r="C95" s="6">
        <v>50</v>
      </c>
      <c r="D95" s="6" t="s">
        <v>794</v>
      </c>
      <c r="E95" s="8" t="str">
        <f>IFERROR(VLOOKUP(LOG_RESEAU[[#This Row],[Cell_ID]],Registre_Maintenance!A:B,2,FALSE),"Non trouvé")</f>
        <v>Kasai</v>
      </c>
      <c r="F95" s="8">
        <f>IFERROR(VLOOKUP(LOG_RESEAU[[#This Row],[Cell_ID]],Registre_Maintenance!A:C,3,FALSE),"Non trouvé")</f>
        <v>-10.059846</v>
      </c>
      <c r="G95" s="8">
        <f>IFERROR(VLOOKUP(LOG_RESEAU[[#This Row],[Cell_ID]],Registre_Maintenance!A:D,4,FALSE),"Non trouvé")</f>
        <v>14.375757999999999</v>
      </c>
      <c r="H95" s="6" t="str">
        <f>IFERROR(VLOOKUP(LOG_RESEAU[[#This Row],[Cell_ID]],Registre_Maintenance!A:E,5,FALSE),"Non trouvé")</f>
        <v>4G</v>
      </c>
      <c r="I95" s="6" t="str">
        <f>IFERROR(VLOOKUP(LOG_RESEAU[[#This Row],[Cell_ID]],Registre_Maintenance!A:F,6,FALSE),"Non trouvé")</f>
        <v>Huawei</v>
      </c>
      <c r="J95" s="6" t="str">
        <f t="shared" si="3"/>
        <v>OK</v>
      </c>
      <c r="K95" s="6">
        <f t="shared" si="4"/>
        <v>6</v>
      </c>
      <c r="L95" s="6">
        <f t="shared" si="5"/>
        <v>340</v>
      </c>
    </row>
    <row r="96" spans="1:12" ht="15.75" x14ac:dyDescent="0.25">
      <c r="A96" s="6" t="s">
        <v>944</v>
      </c>
      <c r="B96" s="7">
        <v>45207.149305555547</v>
      </c>
      <c r="C96" s="6">
        <v>60</v>
      </c>
      <c r="D96" s="6" t="s">
        <v>800</v>
      </c>
      <c r="E96" s="8" t="str">
        <f>IFERROR(VLOOKUP(LOG_RESEAU[[#This Row],[Cell_ID]],Registre_Maintenance!A:B,2,FALSE),"Non trouvé")</f>
        <v>Kasai</v>
      </c>
      <c r="F96" s="8">
        <f>IFERROR(VLOOKUP(LOG_RESEAU[[#This Row],[Cell_ID]],Registre_Maintenance!A:C,3,FALSE),"Non trouvé")</f>
        <v>-10.059846</v>
      </c>
      <c r="G96" s="8">
        <f>IFERROR(VLOOKUP(LOG_RESEAU[[#This Row],[Cell_ID]],Registre_Maintenance!A:D,4,FALSE),"Non trouvé")</f>
        <v>14.375757999999999</v>
      </c>
      <c r="H96" s="6" t="str">
        <f>IFERROR(VLOOKUP(LOG_RESEAU[[#This Row],[Cell_ID]],Registre_Maintenance!A:E,5,FALSE),"Non trouvé")</f>
        <v>4G</v>
      </c>
      <c r="I96" s="6" t="str">
        <f>IFERROR(VLOOKUP(LOG_RESEAU[[#This Row],[Cell_ID]],Registre_Maintenance!A:F,6,FALSE),"Non trouvé")</f>
        <v>Huawei</v>
      </c>
      <c r="J96" s="6" t="str">
        <f t="shared" si="3"/>
        <v>OK</v>
      </c>
      <c r="K96" s="6">
        <f t="shared" si="4"/>
        <v>6</v>
      </c>
      <c r="L96" s="6">
        <f t="shared" si="5"/>
        <v>340</v>
      </c>
    </row>
    <row r="97" spans="1:12" ht="15.75" x14ac:dyDescent="0.25">
      <c r="A97" s="6" t="s">
        <v>944</v>
      </c>
      <c r="B97" s="7">
        <v>45201.243055555547</v>
      </c>
      <c r="C97" s="6">
        <v>40</v>
      </c>
      <c r="D97" s="6" t="s">
        <v>792</v>
      </c>
      <c r="E97" s="8" t="str">
        <f>IFERROR(VLOOKUP(LOG_RESEAU[[#This Row],[Cell_ID]],Registre_Maintenance!A:B,2,FALSE),"Non trouvé")</f>
        <v>Kasai</v>
      </c>
      <c r="F97" s="8">
        <f>IFERROR(VLOOKUP(LOG_RESEAU[[#This Row],[Cell_ID]],Registre_Maintenance!A:C,3,FALSE),"Non trouvé")</f>
        <v>-10.059846</v>
      </c>
      <c r="G97" s="8">
        <f>IFERROR(VLOOKUP(LOG_RESEAU[[#This Row],[Cell_ID]],Registre_Maintenance!A:D,4,FALSE),"Non trouvé")</f>
        <v>14.375757999999999</v>
      </c>
      <c r="H97" s="6" t="str">
        <f>IFERROR(VLOOKUP(LOG_RESEAU[[#This Row],[Cell_ID]],Registre_Maintenance!A:E,5,FALSE),"Non trouvé")</f>
        <v>4G</v>
      </c>
      <c r="I97" s="6" t="str">
        <f>IFERROR(VLOOKUP(LOG_RESEAU[[#This Row],[Cell_ID]],Registre_Maintenance!A:F,6,FALSE),"Non trouvé")</f>
        <v>Huawei</v>
      </c>
      <c r="J97" s="6" t="str">
        <f t="shared" si="3"/>
        <v>OK</v>
      </c>
      <c r="K97" s="6">
        <f t="shared" si="4"/>
        <v>6</v>
      </c>
      <c r="L97" s="6">
        <f t="shared" si="5"/>
        <v>340</v>
      </c>
    </row>
    <row r="98" spans="1:12" ht="15.75" x14ac:dyDescent="0.25">
      <c r="A98" s="6" t="s">
        <v>944</v>
      </c>
      <c r="B98" s="7">
        <v>45227.527083333327</v>
      </c>
      <c r="C98" s="6">
        <v>78</v>
      </c>
      <c r="D98" s="6" t="s">
        <v>792</v>
      </c>
      <c r="E98" s="8" t="str">
        <f>IFERROR(VLOOKUP(LOG_RESEAU[[#This Row],[Cell_ID]],Registre_Maintenance!A:B,2,FALSE),"Non trouvé")</f>
        <v>Kasai</v>
      </c>
      <c r="F98" s="8">
        <f>IFERROR(VLOOKUP(LOG_RESEAU[[#This Row],[Cell_ID]],Registre_Maintenance!A:C,3,FALSE),"Non trouvé")</f>
        <v>-10.059846</v>
      </c>
      <c r="G98" s="8">
        <f>IFERROR(VLOOKUP(LOG_RESEAU[[#This Row],[Cell_ID]],Registre_Maintenance!A:D,4,FALSE),"Non trouvé")</f>
        <v>14.375757999999999</v>
      </c>
      <c r="H98" s="6" t="str">
        <f>IFERROR(VLOOKUP(LOG_RESEAU[[#This Row],[Cell_ID]],Registre_Maintenance!A:E,5,FALSE),"Non trouvé")</f>
        <v>4G</v>
      </c>
      <c r="I98" s="6" t="str">
        <f>IFERROR(VLOOKUP(LOG_RESEAU[[#This Row],[Cell_ID]],Registre_Maintenance!A:F,6,FALSE),"Non trouvé")</f>
        <v>Huawei</v>
      </c>
      <c r="J98" s="6" t="str">
        <f t="shared" si="3"/>
        <v>OK</v>
      </c>
      <c r="K98" s="6">
        <f t="shared" si="4"/>
        <v>6</v>
      </c>
      <c r="L98" s="6">
        <f t="shared" si="5"/>
        <v>340</v>
      </c>
    </row>
    <row r="99" spans="1:12" ht="15.75" x14ac:dyDescent="0.25">
      <c r="A99" s="6" t="s">
        <v>944</v>
      </c>
      <c r="B99" s="7">
        <v>45217.96875</v>
      </c>
      <c r="C99" s="6">
        <v>97</v>
      </c>
      <c r="D99" s="6" t="s">
        <v>800</v>
      </c>
      <c r="E99" s="8" t="str">
        <f>IFERROR(VLOOKUP(LOG_RESEAU[[#This Row],[Cell_ID]],Registre_Maintenance!A:B,2,FALSE),"Non trouvé")</f>
        <v>Kasai</v>
      </c>
      <c r="F99" s="8">
        <f>IFERROR(VLOOKUP(LOG_RESEAU[[#This Row],[Cell_ID]],Registre_Maintenance!A:C,3,FALSE),"Non trouvé")</f>
        <v>-10.059846</v>
      </c>
      <c r="G99" s="8">
        <f>IFERROR(VLOOKUP(LOG_RESEAU[[#This Row],[Cell_ID]],Registre_Maintenance!A:D,4,FALSE),"Non trouvé")</f>
        <v>14.375757999999999</v>
      </c>
      <c r="H99" s="6" t="str">
        <f>IFERROR(VLOOKUP(LOG_RESEAU[[#This Row],[Cell_ID]],Registre_Maintenance!A:E,5,FALSE),"Non trouvé")</f>
        <v>4G</v>
      </c>
      <c r="I99" s="6" t="str">
        <f>IFERROR(VLOOKUP(LOG_RESEAU[[#This Row],[Cell_ID]],Registre_Maintenance!A:F,6,FALSE),"Non trouvé")</f>
        <v>Huawei</v>
      </c>
      <c r="J99" s="6" t="str">
        <f t="shared" si="3"/>
        <v>OK</v>
      </c>
      <c r="K99" s="6">
        <f t="shared" si="4"/>
        <v>6</v>
      </c>
      <c r="L99" s="6">
        <f t="shared" si="5"/>
        <v>340</v>
      </c>
    </row>
    <row r="100" spans="1:12" ht="15.75" x14ac:dyDescent="0.25">
      <c r="A100" s="6" t="s">
        <v>822</v>
      </c>
      <c r="B100" s="7">
        <v>45211.224305555559</v>
      </c>
      <c r="C100" s="6">
        <v>68</v>
      </c>
      <c r="D100" s="6" t="s">
        <v>800</v>
      </c>
      <c r="E100" s="8" t="str">
        <f>IFERROR(VLOOKUP(LOG_RESEAU[[#This Row],[Cell_ID]],Registre_Maintenance!A:B,2,FALSE),"Non trouvé")</f>
        <v>Non trouvé</v>
      </c>
      <c r="F100" s="8" t="str">
        <f>IFERROR(VLOOKUP(LOG_RESEAU[[#This Row],[Cell_ID]],Registre_Maintenance!A:C,3,FALSE),"Non trouvé")</f>
        <v>Non trouvé</v>
      </c>
      <c r="G100" s="8" t="str">
        <f>IFERROR(VLOOKUP(LOG_RESEAU[[#This Row],[Cell_ID]],Registre_Maintenance!A:D,4,FALSE),"Non trouvé")</f>
        <v>Non trouvé</v>
      </c>
      <c r="H100" s="6" t="str">
        <f>IFERROR(VLOOKUP(LOG_RESEAU[[#This Row],[Cell_ID]],Registre_Maintenance!A:E,5,FALSE),"Non trouvé")</f>
        <v>Non trouvé</v>
      </c>
      <c r="I100" s="6" t="str">
        <f>IFERROR(VLOOKUP(LOG_RESEAU[[#This Row],[Cell_ID]],Registre_Maintenance!A:F,6,FALSE),"Non trouvé")</f>
        <v>Non trouvé</v>
      </c>
      <c r="J100" s="6" t="str">
        <f t="shared" si="3"/>
        <v>Antenne inconnue</v>
      </c>
      <c r="K100" s="6">
        <f t="shared" si="4"/>
        <v>7</v>
      </c>
      <c r="L100" s="6">
        <f t="shared" si="5"/>
        <v>504</v>
      </c>
    </row>
    <row r="101" spans="1:12" hidden="1" x14ac:dyDescent="0.25">
      <c r="A101" s="2"/>
      <c r="B101" s="2">
        <v>45228.079861111109</v>
      </c>
      <c r="C101" s="2">
        <v>77</v>
      </c>
      <c r="D101" s="2" t="s">
        <v>800</v>
      </c>
      <c r="E101" s="3" t="str">
        <f>IFERROR(VLOOKUP(LOG_RESEAU[[#This Row],[Cell_ID]],Registre_Maintenance!A:B,2,FALSE),"Non trouvé")</f>
        <v>Non trouvé</v>
      </c>
      <c r="F101" s="3" t="str">
        <f>IFERROR(VLOOKUP(LOG_RESEAU[[#This Row],[Cell_ID]],Registre_Maintenance!A:C,3,FALSE),"Non trouvé")</f>
        <v>Non trouvé</v>
      </c>
      <c r="G101" s="3" t="str">
        <f>IFERROR(VLOOKUP(LOG_RESEAU[[#This Row],[Cell_ID]],Registre_Maintenance!A:D,4,FALSE),"Non trouvé")</f>
        <v>Non trouvé</v>
      </c>
      <c r="H101" s="2" t="str">
        <f>IFERROR(VLOOKUP(LOG_RESEAU[[#This Row],[Cell_ID]],Registre_Maintenance!A:E,5,FALSE),"Non trouvé")</f>
        <v>Non trouvé</v>
      </c>
      <c r="I101" s="2" t="str">
        <f>IFERROR(VLOOKUP(LOG_RESEAU[[#This Row],[Cell_ID]],Registre_Maintenance!A:F,6,FALSE),"Non trouvé")</f>
        <v>Non trouvé</v>
      </c>
      <c r="J101" s="2" t="str">
        <f t="shared" si="3"/>
        <v>Antenne inconnue</v>
      </c>
      <c r="K101" s="2">
        <f t="shared" si="4"/>
        <v>0</v>
      </c>
      <c r="L101" s="2">
        <f t="shared" si="5"/>
        <v>0</v>
      </c>
    </row>
    <row r="102" spans="1:12" ht="15.75" x14ac:dyDescent="0.25">
      <c r="A102" s="6" t="s">
        <v>822</v>
      </c>
      <c r="B102" s="7">
        <v>45230.177777777782</v>
      </c>
      <c r="C102" s="6">
        <v>113</v>
      </c>
      <c r="D102" s="6" t="s">
        <v>794</v>
      </c>
      <c r="E102" s="8" t="str">
        <f>IFERROR(VLOOKUP(LOG_RESEAU[[#This Row],[Cell_ID]],Registre_Maintenance!A:B,2,FALSE),"Non trouvé")</f>
        <v>Non trouvé</v>
      </c>
      <c r="F102" s="8" t="str">
        <f>IFERROR(VLOOKUP(LOG_RESEAU[[#This Row],[Cell_ID]],Registre_Maintenance!A:C,3,FALSE),"Non trouvé")</f>
        <v>Non trouvé</v>
      </c>
      <c r="G102" s="8" t="str">
        <f>IFERROR(VLOOKUP(LOG_RESEAU[[#This Row],[Cell_ID]],Registre_Maintenance!A:D,4,FALSE),"Non trouvé")</f>
        <v>Non trouvé</v>
      </c>
      <c r="H102" s="6" t="str">
        <f>IFERROR(VLOOKUP(LOG_RESEAU[[#This Row],[Cell_ID]],Registre_Maintenance!A:E,5,FALSE),"Non trouvé")</f>
        <v>Non trouvé</v>
      </c>
      <c r="I102" s="6" t="str">
        <f>IFERROR(VLOOKUP(LOG_RESEAU[[#This Row],[Cell_ID]],Registre_Maintenance!A:F,6,FALSE),"Non trouvé")</f>
        <v>Non trouvé</v>
      </c>
      <c r="J102" s="6" t="str">
        <f t="shared" si="3"/>
        <v>Antenne inconnue</v>
      </c>
      <c r="K102" s="6">
        <f t="shared" si="4"/>
        <v>7</v>
      </c>
      <c r="L102" s="6">
        <f t="shared" si="5"/>
        <v>504</v>
      </c>
    </row>
    <row r="103" spans="1:12" ht="15.75" x14ac:dyDescent="0.25">
      <c r="A103" s="6" t="s">
        <v>822</v>
      </c>
      <c r="B103" s="7">
        <v>45230.486111111109</v>
      </c>
      <c r="C103" s="6">
        <v>45</v>
      </c>
      <c r="D103" s="6" t="s">
        <v>800</v>
      </c>
      <c r="E103" s="8" t="str">
        <f>IFERROR(VLOOKUP(LOG_RESEAU[[#This Row],[Cell_ID]],Registre_Maintenance!A:B,2,FALSE),"Non trouvé")</f>
        <v>Non trouvé</v>
      </c>
      <c r="F103" s="8" t="str">
        <f>IFERROR(VLOOKUP(LOG_RESEAU[[#This Row],[Cell_ID]],Registre_Maintenance!A:C,3,FALSE),"Non trouvé")</f>
        <v>Non trouvé</v>
      </c>
      <c r="G103" s="8" t="str">
        <f>IFERROR(VLOOKUP(LOG_RESEAU[[#This Row],[Cell_ID]],Registre_Maintenance!A:D,4,FALSE),"Non trouvé")</f>
        <v>Non trouvé</v>
      </c>
      <c r="H103" s="6" t="str">
        <f>IFERROR(VLOOKUP(LOG_RESEAU[[#This Row],[Cell_ID]],Registre_Maintenance!A:E,5,FALSE),"Non trouvé")</f>
        <v>Non trouvé</v>
      </c>
      <c r="I103" s="6" t="str">
        <f>IFERROR(VLOOKUP(LOG_RESEAU[[#This Row],[Cell_ID]],Registre_Maintenance!A:F,6,FALSE),"Non trouvé")</f>
        <v>Non trouvé</v>
      </c>
      <c r="J103" s="6" t="str">
        <f t="shared" si="3"/>
        <v>Antenne inconnue</v>
      </c>
      <c r="K103" s="6">
        <f t="shared" si="4"/>
        <v>7</v>
      </c>
      <c r="L103" s="6">
        <f t="shared" si="5"/>
        <v>504</v>
      </c>
    </row>
    <row r="104" spans="1:12" ht="15.75" x14ac:dyDescent="0.25">
      <c r="A104" s="6" t="s">
        <v>822</v>
      </c>
      <c r="B104" s="7">
        <v>45228.59375</v>
      </c>
      <c r="C104" s="6">
        <v>42</v>
      </c>
      <c r="D104" s="6" t="s">
        <v>792</v>
      </c>
      <c r="E104" s="8" t="str">
        <f>IFERROR(VLOOKUP(LOG_RESEAU[[#This Row],[Cell_ID]],Registre_Maintenance!A:B,2,FALSE),"Non trouvé")</f>
        <v>Non trouvé</v>
      </c>
      <c r="F104" s="8" t="str">
        <f>IFERROR(VLOOKUP(LOG_RESEAU[[#This Row],[Cell_ID]],Registre_Maintenance!A:C,3,FALSE),"Non trouvé")</f>
        <v>Non trouvé</v>
      </c>
      <c r="G104" s="8" t="str">
        <f>IFERROR(VLOOKUP(LOG_RESEAU[[#This Row],[Cell_ID]],Registre_Maintenance!A:D,4,FALSE),"Non trouvé")</f>
        <v>Non trouvé</v>
      </c>
      <c r="H104" s="6" t="str">
        <f>IFERROR(VLOOKUP(LOG_RESEAU[[#This Row],[Cell_ID]],Registre_Maintenance!A:E,5,FALSE),"Non trouvé")</f>
        <v>Non trouvé</v>
      </c>
      <c r="I104" s="6" t="str">
        <f>IFERROR(VLOOKUP(LOG_RESEAU[[#This Row],[Cell_ID]],Registre_Maintenance!A:F,6,FALSE),"Non trouvé")</f>
        <v>Non trouvé</v>
      </c>
      <c r="J104" s="6" t="str">
        <f t="shared" si="3"/>
        <v>Antenne inconnue</v>
      </c>
      <c r="K104" s="6">
        <f t="shared" si="4"/>
        <v>7</v>
      </c>
      <c r="L104" s="6">
        <f t="shared" si="5"/>
        <v>504</v>
      </c>
    </row>
    <row r="105" spans="1:12" ht="15.75" x14ac:dyDescent="0.25">
      <c r="A105" s="6" t="s">
        <v>822</v>
      </c>
      <c r="B105" s="7">
        <v>45209.954861111109</v>
      </c>
      <c r="C105" s="6">
        <v>75</v>
      </c>
      <c r="D105" s="6" t="s">
        <v>794</v>
      </c>
      <c r="E105" s="8" t="str">
        <f>IFERROR(VLOOKUP(LOG_RESEAU[[#This Row],[Cell_ID]],Registre_Maintenance!A:B,2,FALSE),"Non trouvé")</f>
        <v>Non trouvé</v>
      </c>
      <c r="F105" s="8" t="str">
        <f>IFERROR(VLOOKUP(LOG_RESEAU[[#This Row],[Cell_ID]],Registre_Maintenance!A:C,3,FALSE),"Non trouvé")</f>
        <v>Non trouvé</v>
      </c>
      <c r="G105" s="8" t="str">
        <f>IFERROR(VLOOKUP(LOG_RESEAU[[#This Row],[Cell_ID]],Registre_Maintenance!A:D,4,FALSE),"Non trouvé")</f>
        <v>Non trouvé</v>
      </c>
      <c r="H105" s="6" t="str">
        <f>IFERROR(VLOOKUP(LOG_RESEAU[[#This Row],[Cell_ID]],Registre_Maintenance!A:E,5,FALSE),"Non trouvé")</f>
        <v>Non trouvé</v>
      </c>
      <c r="I105" s="6" t="str">
        <f>IFERROR(VLOOKUP(LOG_RESEAU[[#This Row],[Cell_ID]],Registre_Maintenance!A:F,6,FALSE),"Non trouvé")</f>
        <v>Non trouvé</v>
      </c>
      <c r="J105" s="6" t="str">
        <f t="shared" si="3"/>
        <v>Antenne inconnue</v>
      </c>
      <c r="K105" s="6">
        <f t="shared" si="4"/>
        <v>7</v>
      </c>
      <c r="L105" s="6">
        <f t="shared" si="5"/>
        <v>504</v>
      </c>
    </row>
    <row r="106" spans="1:12" ht="15.75" x14ac:dyDescent="0.25">
      <c r="A106" s="6" t="s">
        <v>822</v>
      </c>
      <c r="B106" s="7">
        <v>45217.640277777777</v>
      </c>
      <c r="C106" s="6">
        <v>113</v>
      </c>
      <c r="D106" s="6" t="s">
        <v>792</v>
      </c>
      <c r="E106" s="8" t="str">
        <f>IFERROR(VLOOKUP(LOG_RESEAU[[#This Row],[Cell_ID]],Registre_Maintenance!A:B,2,FALSE),"Non trouvé")</f>
        <v>Non trouvé</v>
      </c>
      <c r="F106" s="8" t="str">
        <f>IFERROR(VLOOKUP(LOG_RESEAU[[#This Row],[Cell_ID]],Registre_Maintenance!A:C,3,FALSE),"Non trouvé")</f>
        <v>Non trouvé</v>
      </c>
      <c r="G106" s="8" t="str">
        <f>IFERROR(VLOOKUP(LOG_RESEAU[[#This Row],[Cell_ID]],Registre_Maintenance!A:D,4,FALSE),"Non trouvé")</f>
        <v>Non trouvé</v>
      </c>
      <c r="H106" s="6" t="str">
        <f>IFERROR(VLOOKUP(LOG_RESEAU[[#This Row],[Cell_ID]],Registre_Maintenance!A:E,5,FALSE),"Non trouvé")</f>
        <v>Non trouvé</v>
      </c>
      <c r="I106" s="6" t="str">
        <f>IFERROR(VLOOKUP(LOG_RESEAU[[#This Row],[Cell_ID]],Registre_Maintenance!A:F,6,FALSE),"Non trouvé")</f>
        <v>Non trouvé</v>
      </c>
      <c r="J106" s="6" t="str">
        <f t="shared" si="3"/>
        <v>Antenne inconnue</v>
      </c>
      <c r="K106" s="6">
        <f t="shared" si="4"/>
        <v>7</v>
      </c>
      <c r="L106" s="6">
        <f t="shared" si="5"/>
        <v>504</v>
      </c>
    </row>
    <row r="107" spans="1:12" ht="15.75" x14ac:dyDescent="0.25">
      <c r="A107" s="6" t="s">
        <v>822</v>
      </c>
      <c r="B107" s="7">
        <v>45220.093055555553</v>
      </c>
      <c r="C107" s="6">
        <v>48</v>
      </c>
      <c r="D107" s="6" t="s">
        <v>794</v>
      </c>
      <c r="E107" s="8" t="str">
        <f>IFERROR(VLOOKUP(LOG_RESEAU[[#This Row],[Cell_ID]],Registre_Maintenance!A:B,2,FALSE),"Non trouvé")</f>
        <v>Non trouvé</v>
      </c>
      <c r="F107" s="8" t="str">
        <f>IFERROR(VLOOKUP(LOG_RESEAU[[#This Row],[Cell_ID]],Registre_Maintenance!A:C,3,FALSE),"Non trouvé")</f>
        <v>Non trouvé</v>
      </c>
      <c r="G107" s="8" t="str">
        <f>IFERROR(VLOOKUP(LOG_RESEAU[[#This Row],[Cell_ID]],Registre_Maintenance!A:D,4,FALSE),"Non trouvé")</f>
        <v>Non trouvé</v>
      </c>
      <c r="H107" s="6" t="str">
        <f>IFERROR(VLOOKUP(LOG_RESEAU[[#This Row],[Cell_ID]],Registre_Maintenance!A:E,5,FALSE),"Non trouvé")</f>
        <v>Non trouvé</v>
      </c>
      <c r="I107" s="6" t="str">
        <f>IFERROR(VLOOKUP(LOG_RESEAU[[#This Row],[Cell_ID]],Registre_Maintenance!A:F,6,FALSE),"Non trouvé")</f>
        <v>Non trouvé</v>
      </c>
      <c r="J107" s="6" t="str">
        <f t="shared" si="3"/>
        <v>Antenne inconnue</v>
      </c>
      <c r="K107" s="6">
        <f t="shared" si="4"/>
        <v>7</v>
      </c>
      <c r="L107" s="6">
        <f t="shared" si="5"/>
        <v>504</v>
      </c>
    </row>
    <row r="108" spans="1:12" ht="15.75" x14ac:dyDescent="0.25">
      <c r="A108" s="6" t="s">
        <v>963</v>
      </c>
      <c r="B108" s="7">
        <v>45207.530555555553</v>
      </c>
      <c r="C108" s="6">
        <v>25</v>
      </c>
      <c r="D108" s="6" t="s">
        <v>794</v>
      </c>
      <c r="E108" s="8" t="str">
        <f>IFERROR(VLOOKUP(LOG_RESEAU[[#This Row],[Cell_ID]],Registre_Maintenance!A:B,2,FALSE),"Non trouvé")</f>
        <v>Non trouvé</v>
      </c>
      <c r="F108" s="8" t="str">
        <f>IFERROR(VLOOKUP(LOG_RESEAU[[#This Row],[Cell_ID]],Registre_Maintenance!A:C,3,FALSE),"Non trouvé")</f>
        <v>Non trouvé</v>
      </c>
      <c r="G108" s="8" t="str">
        <f>IFERROR(VLOOKUP(LOG_RESEAU[[#This Row],[Cell_ID]],Registre_Maintenance!A:D,4,FALSE),"Non trouvé")</f>
        <v>Non trouvé</v>
      </c>
      <c r="H108" s="6" t="str">
        <f>IFERROR(VLOOKUP(LOG_RESEAU[[#This Row],[Cell_ID]],Registre_Maintenance!A:E,5,FALSE),"Non trouvé")</f>
        <v>Non trouvé</v>
      </c>
      <c r="I108" s="6" t="str">
        <f>IFERROR(VLOOKUP(LOG_RESEAU[[#This Row],[Cell_ID]],Registre_Maintenance!A:F,6,FALSE),"Non trouvé")</f>
        <v>Non trouvé</v>
      </c>
      <c r="J108" s="6" t="str">
        <f t="shared" si="3"/>
        <v>Antenne inconnue</v>
      </c>
      <c r="K108" s="6">
        <f t="shared" si="4"/>
        <v>9</v>
      </c>
      <c r="L108" s="6">
        <f t="shared" si="5"/>
        <v>467</v>
      </c>
    </row>
    <row r="109" spans="1:12" ht="15.75" x14ac:dyDescent="0.25">
      <c r="A109" s="6" t="s">
        <v>963</v>
      </c>
      <c r="B109" s="7">
        <v>45209.892361111109</v>
      </c>
      <c r="C109" s="6">
        <v>22</v>
      </c>
      <c r="D109" s="6" t="s">
        <v>800</v>
      </c>
      <c r="E109" s="8" t="str">
        <f>IFERROR(VLOOKUP(LOG_RESEAU[[#This Row],[Cell_ID]],Registre_Maintenance!A:B,2,FALSE),"Non trouvé")</f>
        <v>Non trouvé</v>
      </c>
      <c r="F109" s="8" t="str">
        <f>IFERROR(VLOOKUP(LOG_RESEAU[[#This Row],[Cell_ID]],Registre_Maintenance!A:C,3,FALSE),"Non trouvé")</f>
        <v>Non trouvé</v>
      </c>
      <c r="G109" s="8" t="str">
        <f>IFERROR(VLOOKUP(LOG_RESEAU[[#This Row],[Cell_ID]],Registre_Maintenance!A:D,4,FALSE),"Non trouvé")</f>
        <v>Non trouvé</v>
      </c>
      <c r="H109" s="6" t="str">
        <f>IFERROR(VLOOKUP(LOG_RESEAU[[#This Row],[Cell_ID]],Registre_Maintenance!A:E,5,FALSE),"Non trouvé")</f>
        <v>Non trouvé</v>
      </c>
      <c r="I109" s="6" t="str">
        <f>IFERROR(VLOOKUP(LOG_RESEAU[[#This Row],[Cell_ID]],Registre_Maintenance!A:F,6,FALSE),"Non trouvé")</f>
        <v>Non trouvé</v>
      </c>
      <c r="J109" s="6" t="str">
        <f t="shared" si="3"/>
        <v>Antenne inconnue</v>
      </c>
      <c r="K109" s="6">
        <f t="shared" si="4"/>
        <v>9</v>
      </c>
      <c r="L109" s="6">
        <f t="shared" si="5"/>
        <v>467</v>
      </c>
    </row>
    <row r="110" spans="1:12" ht="15.75" x14ac:dyDescent="0.25">
      <c r="A110" s="6" t="s">
        <v>963</v>
      </c>
      <c r="B110" s="7">
        <v>45213.05</v>
      </c>
      <c r="C110" s="6">
        <v>24</v>
      </c>
      <c r="D110" s="6" t="s">
        <v>800</v>
      </c>
      <c r="E110" s="8" t="str">
        <f>IFERROR(VLOOKUP(LOG_RESEAU[[#This Row],[Cell_ID]],Registre_Maintenance!A:B,2,FALSE),"Non trouvé")</f>
        <v>Non trouvé</v>
      </c>
      <c r="F110" s="8" t="str">
        <f>IFERROR(VLOOKUP(LOG_RESEAU[[#This Row],[Cell_ID]],Registre_Maintenance!A:C,3,FALSE),"Non trouvé")</f>
        <v>Non trouvé</v>
      </c>
      <c r="G110" s="8" t="str">
        <f>IFERROR(VLOOKUP(LOG_RESEAU[[#This Row],[Cell_ID]],Registre_Maintenance!A:D,4,FALSE),"Non trouvé")</f>
        <v>Non trouvé</v>
      </c>
      <c r="H110" s="6" t="str">
        <f>IFERROR(VLOOKUP(LOG_RESEAU[[#This Row],[Cell_ID]],Registre_Maintenance!A:E,5,FALSE),"Non trouvé")</f>
        <v>Non trouvé</v>
      </c>
      <c r="I110" s="6" t="str">
        <f>IFERROR(VLOOKUP(LOG_RESEAU[[#This Row],[Cell_ID]],Registre_Maintenance!A:F,6,FALSE),"Non trouvé")</f>
        <v>Non trouvé</v>
      </c>
      <c r="J110" s="6" t="str">
        <f t="shared" si="3"/>
        <v>Antenne inconnue</v>
      </c>
      <c r="K110" s="6">
        <f t="shared" si="4"/>
        <v>9</v>
      </c>
      <c r="L110" s="6">
        <f t="shared" si="5"/>
        <v>467</v>
      </c>
    </row>
    <row r="111" spans="1:12" ht="15.75" x14ac:dyDescent="0.25">
      <c r="A111" s="6" t="s">
        <v>963</v>
      </c>
      <c r="B111" s="7">
        <v>45223.18472222222</v>
      </c>
      <c r="C111" s="6">
        <v>88</v>
      </c>
      <c r="D111" s="6" t="s">
        <v>794</v>
      </c>
      <c r="E111" s="8" t="str">
        <f>IFERROR(VLOOKUP(LOG_RESEAU[[#This Row],[Cell_ID]],Registre_Maintenance!A:B,2,FALSE),"Non trouvé")</f>
        <v>Non trouvé</v>
      </c>
      <c r="F111" s="8" t="str">
        <f>IFERROR(VLOOKUP(LOG_RESEAU[[#This Row],[Cell_ID]],Registre_Maintenance!A:C,3,FALSE),"Non trouvé")</f>
        <v>Non trouvé</v>
      </c>
      <c r="G111" s="8" t="str">
        <f>IFERROR(VLOOKUP(LOG_RESEAU[[#This Row],[Cell_ID]],Registre_Maintenance!A:D,4,FALSE),"Non trouvé")</f>
        <v>Non trouvé</v>
      </c>
      <c r="H111" s="6" t="str">
        <f>IFERROR(VLOOKUP(LOG_RESEAU[[#This Row],[Cell_ID]],Registre_Maintenance!A:E,5,FALSE),"Non trouvé")</f>
        <v>Non trouvé</v>
      </c>
      <c r="I111" s="6" t="str">
        <f>IFERROR(VLOOKUP(LOG_RESEAU[[#This Row],[Cell_ID]],Registre_Maintenance!A:F,6,FALSE),"Non trouvé")</f>
        <v>Non trouvé</v>
      </c>
      <c r="J111" s="6" t="str">
        <f t="shared" si="3"/>
        <v>Antenne inconnue</v>
      </c>
      <c r="K111" s="6">
        <f t="shared" si="4"/>
        <v>9</v>
      </c>
      <c r="L111" s="6">
        <f t="shared" si="5"/>
        <v>467</v>
      </c>
    </row>
    <row r="112" spans="1:12" ht="15.75" x14ac:dyDescent="0.25">
      <c r="A112" s="6" t="s">
        <v>963</v>
      </c>
      <c r="B112" s="7">
        <v>45203.961111111108</v>
      </c>
      <c r="C112" s="6">
        <v>30</v>
      </c>
      <c r="D112" s="6" t="s">
        <v>794</v>
      </c>
      <c r="E112" s="8" t="str">
        <f>IFERROR(VLOOKUP(LOG_RESEAU[[#This Row],[Cell_ID]],Registre_Maintenance!A:B,2,FALSE),"Non trouvé")</f>
        <v>Non trouvé</v>
      </c>
      <c r="F112" s="8" t="str">
        <f>IFERROR(VLOOKUP(LOG_RESEAU[[#This Row],[Cell_ID]],Registre_Maintenance!A:C,3,FALSE),"Non trouvé")</f>
        <v>Non trouvé</v>
      </c>
      <c r="G112" s="8" t="str">
        <f>IFERROR(VLOOKUP(LOG_RESEAU[[#This Row],[Cell_ID]],Registre_Maintenance!A:D,4,FALSE),"Non trouvé")</f>
        <v>Non trouvé</v>
      </c>
      <c r="H112" s="6" t="str">
        <f>IFERROR(VLOOKUP(LOG_RESEAU[[#This Row],[Cell_ID]],Registre_Maintenance!A:E,5,FALSE),"Non trouvé")</f>
        <v>Non trouvé</v>
      </c>
      <c r="I112" s="6" t="str">
        <f>IFERROR(VLOOKUP(LOG_RESEAU[[#This Row],[Cell_ID]],Registre_Maintenance!A:F,6,FALSE),"Non trouvé")</f>
        <v>Non trouvé</v>
      </c>
      <c r="J112" s="6" t="str">
        <f t="shared" si="3"/>
        <v>Antenne inconnue</v>
      </c>
      <c r="K112" s="6">
        <f t="shared" si="4"/>
        <v>9</v>
      </c>
      <c r="L112" s="6">
        <f t="shared" si="5"/>
        <v>467</v>
      </c>
    </row>
    <row r="113" spans="1:12" ht="15.75" x14ac:dyDescent="0.25">
      <c r="A113" s="6" t="s">
        <v>1005</v>
      </c>
      <c r="B113" s="7">
        <v>45221.857638888891</v>
      </c>
      <c r="C113" s="6">
        <v>103</v>
      </c>
      <c r="D113" s="6" t="s">
        <v>800</v>
      </c>
      <c r="E113" s="8" t="str">
        <f>IFERROR(VLOOKUP(LOG_RESEAU[[#This Row],[Cell_ID]],Registre_Maintenance!A:B,2,FALSE),"Non trouvé")</f>
        <v>Non trouvé</v>
      </c>
      <c r="F113" s="8" t="str">
        <f>IFERROR(VLOOKUP(LOG_RESEAU[[#This Row],[Cell_ID]],Registre_Maintenance!A:C,3,FALSE),"Non trouvé")</f>
        <v>Non trouvé</v>
      </c>
      <c r="G113" s="8" t="str">
        <f>IFERROR(VLOOKUP(LOG_RESEAU[[#This Row],[Cell_ID]],Registre_Maintenance!A:D,4,FALSE),"Non trouvé")</f>
        <v>Non trouvé</v>
      </c>
      <c r="H113" s="6" t="str">
        <f>IFERROR(VLOOKUP(LOG_RESEAU[[#This Row],[Cell_ID]],Registre_Maintenance!A:E,5,FALSE),"Non trouvé")</f>
        <v>Non trouvé</v>
      </c>
      <c r="I113" s="6" t="str">
        <f>IFERROR(VLOOKUP(LOG_RESEAU[[#This Row],[Cell_ID]],Registre_Maintenance!A:F,6,FALSE),"Non trouvé")</f>
        <v>Non trouvé</v>
      </c>
      <c r="J113" s="6" t="str">
        <f t="shared" si="3"/>
        <v>Antenne inconnue</v>
      </c>
      <c r="K113" s="6">
        <f t="shared" si="4"/>
        <v>9</v>
      </c>
      <c r="L113" s="6">
        <f t="shared" si="5"/>
        <v>467</v>
      </c>
    </row>
    <row r="114" spans="1:12" ht="15.75" x14ac:dyDescent="0.25">
      <c r="A114" s="6" t="s">
        <v>963</v>
      </c>
      <c r="B114" s="7">
        <v>45227.915277777778</v>
      </c>
      <c r="C114" s="6">
        <v>38</v>
      </c>
      <c r="D114" s="6" t="s">
        <v>792</v>
      </c>
      <c r="E114" s="8" t="str">
        <f>IFERROR(VLOOKUP(LOG_RESEAU[[#This Row],[Cell_ID]],Registre_Maintenance!A:B,2,FALSE),"Non trouvé")</f>
        <v>Non trouvé</v>
      </c>
      <c r="F114" s="8" t="str">
        <f>IFERROR(VLOOKUP(LOG_RESEAU[[#This Row],[Cell_ID]],Registre_Maintenance!A:C,3,FALSE),"Non trouvé")</f>
        <v>Non trouvé</v>
      </c>
      <c r="G114" s="8" t="str">
        <f>IFERROR(VLOOKUP(LOG_RESEAU[[#This Row],[Cell_ID]],Registre_Maintenance!A:D,4,FALSE),"Non trouvé")</f>
        <v>Non trouvé</v>
      </c>
      <c r="H114" s="6" t="str">
        <f>IFERROR(VLOOKUP(LOG_RESEAU[[#This Row],[Cell_ID]],Registre_Maintenance!A:E,5,FALSE),"Non trouvé")</f>
        <v>Non trouvé</v>
      </c>
      <c r="I114" s="6" t="str">
        <f>IFERROR(VLOOKUP(LOG_RESEAU[[#This Row],[Cell_ID]],Registre_Maintenance!A:F,6,FALSE),"Non trouvé")</f>
        <v>Non trouvé</v>
      </c>
      <c r="J114" s="6" t="str">
        <f t="shared" si="3"/>
        <v>Antenne inconnue</v>
      </c>
      <c r="K114" s="6">
        <f t="shared" si="4"/>
        <v>9</v>
      </c>
      <c r="L114" s="6">
        <f t="shared" si="5"/>
        <v>467</v>
      </c>
    </row>
    <row r="115" spans="1:12" ht="15.75" x14ac:dyDescent="0.25">
      <c r="A115" s="6" t="s">
        <v>963</v>
      </c>
      <c r="B115" s="7">
        <v>45210.161805555559</v>
      </c>
      <c r="C115" s="6">
        <v>95</v>
      </c>
      <c r="D115" s="6" t="s">
        <v>794</v>
      </c>
      <c r="E115" s="8" t="str">
        <f>IFERROR(VLOOKUP(LOG_RESEAU[[#This Row],[Cell_ID]],Registre_Maintenance!A:B,2,FALSE),"Non trouvé")</f>
        <v>Non trouvé</v>
      </c>
      <c r="F115" s="8" t="str">
        <f>IFERROR(VLOOKUP(LOG_RESEAU[[#This Row],[Cell_ID]],Registre_Maintenance!A:C,3,FALSE),"Non trouvé")</f>
        <v>Non trouvé</v>
      </c>
      <c r="G115" s="8" t="str">
        <f>IFERROR(VLOOKUP(LOG_RESEAU[[#This Row],[Cell_ID]],Registre_Maintenance!A:D,4,FALSE),"Non trouvé")</f>
        <v>Non trouvé</v>
      </c>
      <c r="H115" s="6" t="str">
        <f>IFERROR(VLOOKUP(LOG_RESEAU[[#This Row],[Cell_ID]],Registre_Maintenance!A:E,5,FALSE),"Non trouvé")</f>
        <v>Non trouvé</v>
      </c>
      <c r="I115" s="6" t="str">
        <f>IFERROR(VLOOKUP(LOG_RESEAU[[#This Row],[Cell_ID]],Registre_Maintenance!A:F,6,FALSE),"Non trouvé")</f>
        <v>Non trouvé</v>
      </c>
      <c r="J115" s="6" t="str">
        <f t="shared" si="3"/>
        <v>Antenne inconnue</v>
      </c>
      <c r="K115" s="6">
        <f t="shared" si="4"/>
        <v>9</v>
      </c>
      <c r="L115" s="6">
        <f t="shared" si="5"/>
        <v>467</v>
      </c>
    </row>
    <row r="116" spans="1:12" ht="15.75" x14ac:dyDescent="0.25">
      <c r="A116" s="6" t="s">
        <v>963</v>
      </c>
      <c r="B116" s="7">
        <v>45204.895833333343</v>
      </c>
      <c r="C116" s="6">
        <v>42</v>
      </c>
      <c r="D116" s="6" t="s">
        <v>800</v>
      </c>
      <c r="E116" s="8" t="str">
        <f>IFERROR(VLOOKUP(LOG_RESEAU[[#This Row],[Cell_ID]],Registre_Maintenance!A:B,2,FALSE),"Non trouvé")</f>
        <v>Non trouvé</v>
      </c>
      <c r="F116" s="8" t="str">
        <f>IFERROR(VLOOKUP(LOG_RESEAU[[#This Row],[Cell_ID]],Registre_Maintenance!A:C,3,FALSE),"Non trouvé")</f>
        <v>Non trouvé</v>
      </c>
      <c r="G116" s="8" t="str">
        <f>IFERROR(VLOOKUP(LOG_RESEAU[[#This Row],[Cell_ID]],Registre_Maintenance!A:D,4,FALSE),"Non trouvé")</f>
        <v>Non trouvé</v>
      </c>
      <c r="H116" s="6" t="str">
        <f>IFERROR(VLOOKUP(LOG_RESEAU[[#This Row],[Cell_ID]],Registre_Maintenance!A:E,5,FALSE),"Non trouvé")</f>
        <v>Non trouvé</v>
      </c>
      <c r="I116" s="6" t="str">
        <f>IFERROR(VLOOKUP(LOG_RESEAU[[#This Row],[Cell_ID]],Registre_Maintenance!A:F,6,FALSE),"Non trouvé")</f>
        <v>Non trouvé</v>
      </c>
      <c r="J116" s="6" t="str">
        <f t="shared" si="3"/>
        <v>Antenne inconnue</v>
      </c>
      <c r="K116" s="6">
        <f t="shared" si="4"/>
        <v>9</v>
      </c>
      <c r="L116" s="6">
        <f t="shared" si="5"/>
        <v>467</v>
      </c>
    </row>
    <row r="117" spans="1:12" ht="15.75" x14ac:dyDescent="0.25">
      <c r="A117" s="6" t="s">
        <v>989</v>
      </c>
      <c r="B117" s="7">
        <v>45223.204861111109</v>
      </c>
      <c r="C117" s="6">
        <v>95</v>
      </c>
      <c r="D117" s="6" t="s">
        <v>794</v>
      </c>
      <c r="E117" s="8" t="str">
        <f>IFERROR(VLOOKUP(LOG_RESEAU[[#This Row],[Cell_ID]],Registre_Maintenance!A:B,2,FALSE),"Non trouvé")</f>
        <v>Haut-Lomami</v>
      </c>
      <c r="F117" s="8">
        <f>IFERROR(VLOOKUP(LOG_RESEAU[[#This Row],[Cell_ID]],Registre_Maintenance!A:C,3,FALSE),"Non trouvé")</f>
        <v>-9.7801860000000005</v>
      </c>
      <c r="G117" s="8">
        <f>IFERROR(VLOOKUP(LOG_RESEAU[[#This Row],[Cell_ID]],Registre_Maintenance!A:D,4,FALSE),"Non trouvé")</f>
        <v>16.649550000000001</v>
      </c>
      <c r="H117" s="6" t="str">
        <f>IFERROR(VLOOKUP(LOG_RESEAU[[#This Row],[Cell_ID]],Registre_Maintenance!A:E,5,FALSE),"Non trouvé")</f>
        <v>5G</v>
      </c>
      <c r="I117" s="6" t="str">
        <f>IFERROR(VLOOKUP(LOG_RESEAU[[#This Row],[Cell_ID]],Registre_Maintenance!A:F,6,FALSE),"Non trouvé")</f>
        <v>Ericsson</v>
      </c>
      <c r="J117" s="6" t="str">
        <f t="shared" si="3"/>
        <v>OK</v>
      </c>
      <c r="K117" s="6">
        <f t="shared" si="4"/>
        <v>2</v>
      </c>
      <c r="L117" s="6">
        <f t="shared" si="5"/>
        <v>153</v>
      </c>
    </row>
    <row r="118" spans="1:12" ht="15.75" x14ac:dyDescent="0.25">
      <c r="A118" s="6" t="s">
        <v>989</v>
      </c>
      <c r="B118" s="7">
        <v>45217.520138888889</v>
      </c>
      <c r="C118" s="6">
        <v>58</v>
      </c>
      <c r="D118" s="6" t="s">
        <v>794</v>
      </c>
      <c r="E118" s="8" t="str">
        <f>IFERROR(VLOOKUP(LOG_RESEAU[[#This Row],[Cell_ID]],Registre_Maintenance!A:B,2,FALSE),"Non trouvé")</f>
        <v>Haut-Lomami</v>
      </c>
      <c r="F118" s="8">
        <f>IFERROR(VLOOKUP(LOG_RESEAU[[#This Row],[Cell_ID]],Registre_Maintenance!A:C,3,FALSE),"Non trouvé")</f>
        <v>-9.7801860000000005</v>
      </c>
      <c r="G118" s="8">
        <f>IFERROR(VLOOKUP(LOG_RESEAU[[#This Row],[Cell_ID]],Registre_Maintenance!A:D,4,FALSE),"Non trouvé")</f>
        <v>16.649550000000001</v>
      </c>
      <c r="H118" s="6" t="str">
        <f>IFERROR(VLOOKUP(LOG_RESEAU[[#This Row],[Cell_ID]],Registre_Maintenance!A:E,5,FALSE),"Non trouvé")</f>
        <v>5G</v>
      </c>
      <c r="I118" s="6" t="str">
        <f>IFERROR(VLOOKUP(LOG_RESEAU[[#This Row],[Cell_ID]],Registre_Maintenance!A:F,6,FALSE),"Non trouvé")</f>
        <v>Ericsson</v>
      </c>
      <c r="J118" s="6" t="str">
        <f t="shared" si="3"/>
        <v>OK</v>
      </c>
      <c r="K118" s="6">
        <f t="shared" si="4"/>
        <v>2</v>
      </c>
      <c r="L118" s="6">
        <f t="shared" si="5"/>
        <v>153</v>
      </c>
    </row>
    <row r="119" spans="1:12" ht="15.75" x14ac:dyDescent="0.25">
      <c r="A119" s="6" t="s">
        <v>902</v>
      </c>
      <c r="B119" s="7">
        <v>45209.800694444442</v>
      </c>
      <c r="C119" s="6">
        <v>95</v>
      </c>
      <c r="D119" s="6" t="s">
        <v>794</v>
      </c>
      <c r="E119" s="8" t="str">
        <f>IFERROR(VLOOKUP(LOG_RESEAU[[#This Row],[Cell_ID]],Registre_Maintenance!A:B,2,FALSE),"Non trouvé")</f>
        <v>Non trouvé</v>
      </c>
      <c r="F119" s="8" t="str">
        <f>IFERROR(VLOOKUP(LOG_RESEAU[[#This Row],[Cell_ID]],Registre_Maintenance!A:C,3,FALSE),"Non trouvé")</f>
        <v>Non trouvé</v>
      </c>
      <c r="G119" s="8" t="str">
        <f>IFERROR(VLOOKUP(LOG_RESEAU[[#This Row],[Cell_ID]],Registre_Maintenance!A:D,4,FALSE),"Non trouvé")</f>
        <v>Non trouvé</v>
      </c>
      <c r="H119" s="6" t="str">
        <f>IFERROR(VLOOKUP(LOG_RESEAU[[#This Row],[Cell_ID]],Registre_Maintenance!A:E,5,FALSE),"Non trouvé")</f>
        <v>Non trouvé</v>
      </c>
      <c r="I119" s="6" t="str">
        <f>IFERROR(VLOOKUP(LOG_RESEAU[[#This Row],[Cell_ID]],Registre_Maintenance!A:F,6,FALSE),"Non trouvé")</f>
        <v>Non trouvé</v>
      </c>
      <c r="J119" s="6" t="str">
        <f t="shared" si="3"/>
        <v>Antenne inconnue</v>
      </c>
      <c r="K119" s="6">
        <f t="shared" si="4"/>
        <v>6</v>
      </c>
      <c r="L119" s="6">
        <f t="shared" si="5"/>
        <v>418</v>
      </c>
    </row>
    <row r="120" spans="1:12" ht="15.75" x14ac:dyDescent="0.25">
      <c r="A120" s="6" t="s">
        <v>902</v>
      </c>
      <c r="B120" s="7">
        <v>45215.265277777777</v>
      </c>
      <c r="C120" s="6">
        <v>36</v>
      </c>
      <c r="D120" s="6" t="s">
        <v>792</v>
      </c>
      <c r="E120" s="8" t="str">
        <f>IFERROR(VLOOKUP(LOG_RESEAU[[#This Row],[Cell_ID]],Registre_Maintenance!A:B,2,FALSE),"Non trouvé")</f>
        <v>Non trouvé</v>
      </c>
      <c r="F120" s="8" t="str">
        <f>IFERROR(VLOOKUP(LOG_RESEAU[[#This Row],[Cell_ID]],Registre_Maintenance!A:C,3,FALSE),"Non trouvé")</f>
        <v>Non trouvé</v>
      </c>
      <c r="G120" s="8" t="str">
        <f>IFERROR(VLOOKUP(LOG_RESEAU[[#This Row],[Cell_ID]],Registre_Maintenance!A:D,4,FALSE),"Non trouvé")</f>
        <v>Non trouvé</v>
      </c>
      <c r="H120" s="6" t="str">
        <f>IFERROR(VLOOKUP(LOG_RESEAU[[#This Row],[Cell_ID]],Registre_Maintenance!A:E,5,FALSE),"Non trouvé")</f>
        <v>Non trouvé</v>
      </c>
      <c r="I120" s="6" t="str">
        <f>IFERROR(VLOOKUP(LOG_RESEAU[[#This Row],[Cell_ID]],Registre_Maintenance!A:F,6,FALSE),"Non trouvé")</f>
        <v>Non trouvé</v>
      </c>
      <c r="J120" s="6" t="str">
        <f t="shared" si="3"/>
        <v>Antenne inconnue</v>
      </c>
      <c r="K120" s="6">
        <f t="shared" si="4"/>
        <v>6</v>
      </c>
      <c r="L120" s="6">
        <f t="shared" si="5"/>
        <v>418</v>
      </c>
    </row>
    <row r="121" spans="1:12" ht="15.75" x14ac:dyDescent="0.25">
      <c r="A121" s="6" t="s">
        <v>902</v>
      </c>
      <c r="B121" s="7">
        <v>45229.145138888889</v>
      </c>
      <c r="C121" s="6">
        <v>112</v>
      </c>
      <c r="D121" s="6" t="s">
        <v>792</v>
      </c>
      <c r="E121" s="8" t="str">
        <f>IFERROR(VLOOKUP(LOG_RESEAU[[#This Row],[Cell_ID]],Registre_Maintenance!A:B,2,FALSE),"Non trouvé")</f>
        <v>Non trouvé</v>
      </c>
      <c r="F121" s="8" t="str">
        <f>IFERROR(VLOOKUP(LOG_RESEAU[[#This Row],[Cell_ID]],Registre_Maintenance!A:C,3,FALSE),"Non trouvé")</f>
        <v>Non trouvé</v>
      </c>
      <c r="G121" s="8" t="str">
        <f>IFERROR(VLOOKUP(LOG_RESEAU[[#This Row],[Cell_ID]],Registre_Maintenance!A:D,4,FALSE),"Non trouvé")</f>
        <v>Non trouvé</v>
      </c>
      <c r="H121" s="6" t="str">
        <f>IFERROR(VLOOKUP(LOG_RESEAU[[#This Row],[Cell_ID]],Registre_Maintenance!A:E,5,FALSE),"Non trouvé")</f>
        <v>Non trouvé</v>
      </c>
      <c r="I121" s="6" t="str">
        <f>IFERROR(VLOOKUP(LOG_RESEAU[[#This Row],[Cell_ID]],Registre_Maintenance!A:F,6,FALSE),"Non trouvé")</f>
        <v>Non trouvé</v>
      </c>
      <c r="J121" s="6" t="str">
        <f t="shared" si="3"/>
        <v>Antenne inconnue</v>
      </c>
      <c r="K121" s="6">
        <f t="shared" si="4"/>
        <v>6</v>
      </c>
      <c r="L121" s="6">
        <f t="shared" si="5"/>
        <v>418</v>
      </c>
    </row>
    <row r="122" spans="1:12" ht="15.75" x14ac:dyDescent="0.25">
      <c r="A122" s="6" t="s">
        <v>902</v>
      </c>
      <c r="B122" s="7">
        <v>45218.509722222218</v>
      </c>
      <c r="C122" s="6">
        <v>106</v>
      </c>
      <c r="D122" s="6" t="s">
        <v>792</v>
      </c>
      <c r="E122" s="8" t="str">
        <f>IFERROR(VLOOKUP(LOG_RESEAU[[#This Row],[Cell_ID]],Registre_Maintenance!A:B,2,FALSE),"Non trouvé")</f>
        <v>Non trouvé</v>
      </c>
      <c r="F122" s="8" t="str">
        <f>IFERROR(VLOOKUP(LOG_RESEAU[[#This Row],[Cell_ID]],Registre_Maintenance!A:C,3,FALSE),"Non trouvé")</f>
        <v>Non trouvé</v>
      </c>
      <c r="G122" s="8" t="str">
        <f>IFERROR(VLOOKUP(LOG_RESEAU[[#This Row],[Cell_ID]],Registre_Maintenance!A:D,4,FALSE),"Non trouvé")</f>
        <v>Non trouvé</v>
      </c>
      <c r="H122" s="6" t="str">
        <f>IFERROR(VLOOKUP(LOG_RESEAU[[#This Row],[Cell_ID]],Registre_Maintenance!A:E,5,FALSE),"Non trouvé")</f>
        <v>Non trouvé</v>
      </c>
      <c r="I122" s="6" t="str">
        <f>IFERROR(VLOOKUP(LOG_RESEAU[[#This Row],[Cell_ID]],Registre_Maintenance!A:F,6,FALSE),"Non trouvé")</f>
        <v>Non trouvé</v>
      </c>
      <c r="J122" s="6" t="str">
        <f t="shared" si="3"/>
        <v>Antenne inconnue</v>
      </c>
      <c r="K122" s="6">
        <f t="shared" si="4"/>
        <v>6</v>
      </c>
      <c r="L122" s="6">
        <f t="shared" si="5"/>
        <v>418</v>
      </c>
    </row>
    <row r="123" spans="1:12" ht="15.75" x14ac:dyDescent="0.25">
      <c r="A123" s="6" t="s">
        <v>902</v>
      </c>
      <c r="B123" s="7">
        <v>45205.775694444441</v>
      </c>
      <c r="C123" s="6">
        <v>56</v>
      </c>
      <c r="D123" s="6" t="s">
        <v>792</v>
      </c>
      <c r="E123" s="8" t="str">
        <f>IFERROR(VLOOKUP(LOG_RESEAU[[#This Row],[Cell_ID]],Registre_Maintenance!A:B,2,FALSE),"Non trouvé")</f>
        <v>Non trouvé</v>
      </c>
      <c r="F123" s="8" t="str">
        <f>IFERROR(VLOOKUP(LOG_RESEAU[[#This Row],[Cell_ID]],Registre_Maintenance!A:C,3,FALSE),"Non trouvé")</f>
        <v>Non trouvé</v>
      </c>
      <c r="G123" s="8" t="str">
        <f>IFERROR(VLOOKUP(LOG_RESEAU[[#This Row],[Cell_ID]],Registre_Maintenance!A:D,4,FALSE),"Non trouvé")</f>
        <v>Non trouvé</v>
      </c>
      <c r="H123" s="6" t="str">
        <f>IFERROR(VLOOKUP(LOG_RESEAU[[#This Row],[Cell_ID]],Registre_Maintenance!A:E,5,FALSE),"Non trouvé")</f>
        <v>Non trouvé</v>
      </c>
      <c r="I123" s="6" t="str">
        <f>IFERROR(VLOOKUP(LOG_RESEAU[[#This Row],[Cell_ID]],Registre_Maintenance!A:F,6,FALSE),"Non trouvé")</f>
        <v>Non trouvé</v>
      </c>
      <c r="J123" s="6" t="str">
        <f t="shared" si="3"/>
        <v>Antenne inconnue</v>
      </c>
      <c r="K123" s="6">
        <f t="shared" si="4"/>
        <v>6</v>
      </c>
      <c r="L123" s="6">
        <f t="shared" si="5"/>
        <v>418</v>
      </c>
    </row>
    <row r="124" spans="1:12" ht="15.75" x14ac:dyDescent="0.25">
      <c r="A124" s="6" t="s">
        <v>902</v>
      </c>
      <c r="B124" s="7">
        <v>45220.390972222223</v>
      </c>
      <c r="C124" s="6">
        <v>13</v>
      </c>
      <c r="D124" s="6" t="s">
        <v>800</v>
      </c>
      <c r="E124" s="8" t="str">
        <f>IFERROR(VLOOKUP(LOG_RESEAU[[#This Row],[Cell_ID]],Registre_Maintenance!A:B,2,FALSE),"Non trouvé")</f>
        <v>Non trouvé</v>
      </c>
      <c r="F124" s="8" t="str">
        <f>IFERROR(VLOOKUP(LOG_RESEAU[[#This Row],[Cell_ID]],Registre_Maintenance!A:C,3,FALSE),"Non trouvé")</f>
        <v>Non trouvé</v>
      </c>
      <c r="G124" s="8" t="str">
        <f>IFERROR(VLOOKUP(LOG_RESEAU[[#This Row],[Cell_ID]],Registre_Maintenance!A:D,4,FALSE),"Non trouvé")</f>
        <v>Non trouvé</v>
      </c>
      <c r="H124" s="6" t="str">
        <f>IFERROR(VLOOKUP(LOG_RESEAU[[#This Row],[Cell_ID]],Registre_Maintenance!A:E,5,FALSE),"Non trouvé")</f>
        <v>Non trouvé</v>
      </c>
      <c r="I124" s="6" t="str">
        <f>IFERROR(VLOOKUP(LOG_RESEAU[[#This Row],[Cell_ID]],Registre_Maintenance!A:F,6,FALSE),"Non trouvé")</f>
        <v>Non trouvé</v>
      </c>
      <c r="J124" s="6" t="str">
        <f t="shared" si="3"/>
        <v>Antenne inconnue</v>
      </c>
      <c r="K124" s="6">
        <f t="shared" si="4"/>
        <v>6</v>
      </c>
      <c r="L124" s="6">
        <f t="shared" si="5"/>
        <v>418</v>
      </c>
    </row>
    <row r="125" spans="1:12" ht="15.75" x14ac:dyDescent="0.25">
      <c r="A125" s="6" t="s">
        <v>959</v>
      </c>
      <c r="B125" s="7">
        <v>45202.780555555553</v>
      </c>
      <c r="C125" s="6">
        <v>45</v>
      </c>
      <c r="D125" s="6" t="s">
        <v>794</v>
      </c>
      <c r="E125" s="8" t="str">
        <f>IFERROR(VLOOKUP(LOG_RESEAU[[#This Row],[Cell_ID]],Registre_Maintenance!A:B,2,FALSE),"Non trouvé")</f>
        <v>Non trouvé</v>
      </c>
      <c r="F125" s="8" t="str">
        <f>IFERROR(VLOOKUP(LOG_RESEAU[[#This Row],[Cell_ID]],Registre_Maintenance!A:C,3,FALSE),"Non trouvé")</f>
        <v>Non trouvé</v>
      </c>
      <c r="G125" s="8" t="str">
        <f>IFERROR(VLOOKUP(LOG_RESEAU[[#This Row],[Cell_ID]],Registre_Maintenance!A:D,4,FALSE),"Non trouvé")</f>
        <v>Non trouvé</v>
      </c>
      <c r="H125" s="6" t="str">
        <f>IFERROR(VLOOKUP(LOG_RESEAU[[#This Row],[Cell_ID]],Registre_Maintenance!A:E,5,FALSE),"Non trouvé")</f>
        <v>Non trouvé</v>
      </c>
      <c r="I125" s="6" t="str">
        <f>IFERROR(VLOOKUP(LOG_RESEAU[[#This Row],[Cell_ID]],Registre_Maintenance!A:F,6,FALSE),"Non trouvé")</f>
        <v>Non trouvé</v>
      </c>
      <c r="J125" s="6" t="str">
        <f t="shared" si="3"/>
        <v>Antenne inconnue</v>
      </c>
      <c r="K125" s="6">
        <f t="shared" si="4"/>
        <v>3</v>
      </c>
      <c r="L125" s="6">
        <f t="shared" si="5"/>
        <v>201</v>
      </c>
    </row>
    <row r="126" spans="1:12" ht="15.75" x14ac:dyDescent="0.25">
      <c r="A126" s="6" t="s">
        <v>959</v>
      </c>
      <c r="B126" s="7">
        <v>45214.34652777778</v>
      </c>
      <c r="C126" s="6">
        <v>44</v>
      </c>
      <c r="D126" s="6" t="s">
        <v>800</v>
      </c>
      <c r="E126" s="8" t="str">
        <f>IFERROR(VLOOKUP(LOG_RESEAU[[#This Row],[Cell_ID]],Registre_Maintenance!A:B,2,FALSE),"Non trouvé")</f>
        <v>Non trouvé</v>
      </c>
      <c r="F126" s="8" t="str">
        <f>IFERROR(VLOOKUP(LOG_RESEAU[[#This Row],[Cell_ID]],Registre_Maintenance!A:C,3,FALSE),"Non trouvé")</f>
        <v>Non trouvé</v>
      </c>
      <c r="G126" s="8" t="str">
        <f>IFERROR(VLOOKUP(LOG_RESEAU[[#This Row],[Cell_ID]],Registre_Maintenance!A:D,4,FALSE),"Non trouvé")</f>
        <v>Non trouvé</v>
      </c>
      <c r="H126" s="6" t="str">
        <f>IFERROR(VLOOKUP(LOG_RESEAU[[#This Row],[Cell_ID]],Registre_Maintenance!A:E,5,FALSE),"Non trouvé")</f>
        <v>Non trouvé</v>
      </c>
      <c r="I126" s="6" t="str">
        <f>IFERROR(VLOOKUP(LOG_RESEAU[[#This Row],[Cell_ID]],Registre_Maintenance!A:F,6,FALSE),"Non trouvé")</f>
        <v>Non trouvé</v>
      </c>
      <c r="J126" s="6" t="str">
        <f t="shared" si="3"/>
        <v>Antenne inconnue</v>
      </c>
      <c r="K126" s="6">
        <f t="shared" si="4"/>
        <v>3</v>
      </c>
      <c r="L126" s="6">
        <f t="shared" si="5"/>
        <v>201</v>
      </c>
    </row>
    <row r="127" spans="1:12" ht="15.75" x14ac:dyDescent="0.25">
      <c r="A127" s="6" t="s">
        <v>959</v>
      </c>
      <c r="B127" s="7">
        <v>45223.450694444437</v>
      </c>
      <c r="C127" s="6">
        <v>112</v>
      </c>
      <c r="D127" s="6" t="s">
        <v>800</v>
      </c>
      <c r="E127" s="8" t="str">
        <f>IFERROR(VLOOKUP(LOG_RESEAU[[#This Row],[Cell_ID]],Registre_Maintenance!A:B,2,FALSE),"Non trouvé")</f>
        <v>Non trouvé</v>
      </c>
      <c r="F127" s="8" t="str">
        <f>IFERROR(VLOOKUP(LOG_RESEAU[[#This Row],[Cell_ID]],Registre_Maintenance!A:C,3,FALSE),"Non trouvé")</f>
        <v>Non trouvé</v>
      </c>
      <c r="G127" s="8" t="str">
        <f>IFERROR(VLOOKUP(LOG_RESEAU[[#This Row],[Cell_ID]],Registre_Maintenance!A:D,4,FALSE),"Non trouvé")</f>
        <v>Non trouvé</v>
      </c>
      <c r="H127" s="6" t="str">
        <f>IFERROR(VLOOKUP(LOG_RESEAU[[#This Row],[Cell_ID]],Registre_Maintenance!A:E,5,FALSE),"Non trouvé")</f>
        <v>Non trouvé</v>
      </c>
      <c r="I127" s="6" t="str">
        <f>IFERROR(VLOOKUP(LOG_RESEAU[[#This Row],[Cell_ID]],Registre_Maintenance!A:F,6,FALSE),"Non trouvé")</f>
        <v>Non trouvé</v>
      </c>
      <c r="J127" s="6" t="str">
        <f t="shared" si="3"/>
        <v>Antenne inconnue</v>
      </c>
      <c r="K127" s="6">
        <f t="shared" si="4"/>
        <v>3</v>
      </c>
      <c r="L127" s="6">
        <f t="shared" si="5"/>
        <v>201</v>
      </c>
    </row>
    <row r="128" spans="1:12" ht="15.75" x14ac:dyDescent="0.25">
      <c r="A128" s="6" t="s">
        <v>855</v>
      </c>
      <c r="B128" s="7">
        <v>45200.805555555547</v>
      </c>
      <c r="C128" s="6">
        <v>56</v>
      </c>
      <c r="D128" s="6" t="s">
        <v>800</v>
      </c>
      <c r="E128" s="8" t="str">
        <f>IFERROR(VLOOKUP(LOG_RESEAU[[#This Row],[Cell_ID]],Registre_Maintenance!A:B,2,FALSE),"Non trouvé")</f>
        <v>Non trouvé</v>
      </c>
      <c r="F128" s="8" t="str">
        <f>IFERROR(VLOOKUP(LOG_RESEAU[[#This Row],[Cell_ID]],Registre_Maintenance!A:C,3,FALSE),"Non trouvé")</f>
        <v>Non trouvé</v>
      </c>
      <c r="G128" s="8" t="str">
        <f>IFERROR(VLOOKUP(LOG_RESEAU[[#This Row],[Cell_ID]],Registre_Maintenance!A:D,4,FALSE),"Non trouvé")</f>
        <v>Non trouvé</v>
      </c>
      <c r="H128" s="6" t="str">
        <f>IFERROR(VLOOKUP(LOG_RESEAU[[#This Row],[Cell_ID]],Registre_Maintenance!A:E,5,FALSE),"Non trouvé")</f>
        <v>Non trouvé</v>
      </c>
      <c r="I128" s="6" t="str">
        <f>IFERROR(VLOOKUP(LOG_RESEAU[[#This Row],[Cell_ID]],Registre_Maintenance!A:F,6,FALSE),"Non trouvé")</f>
        <v>Non trouvé</v>
      </c>
      <c r="J128" s="6" t="str">
        <f t="shared" si="3"/>
        <v>Antenne inconnue</v>
      </c>
      <c r="K128" s="6">
        <f t="shared" si="4"/>
        <v>4</v>
      </c>
      <c r="L128" s="6">
        <f t="shared" si="5"/>
        <v>204</v>
      </c>
    </row>
    <row r="129" spans="1:12" ht="15.75" x14ac:dyDescent="0.25">
      <c r="A129" s="6" t="s">
        <v>855</v>
      </c>
      <c r="B129" s="7">
        <v>45213.112500000003</v>
      </c>
      <c r="C129" s="6">
        <v>75</v>
      </c>
      <c r="D129" s="6" t="s">
        <v>800</v>
      </c>
      <c r="E129" s="8" t="str">
        <f>IFERROR(VLOOKUP(LOG_RESEAU[[#This Row],[Cell_ID]],Registre_Maintenance!A:B,2,FALSE),"Non trouvé")</f>
        <v>Non trouvé</v>
      </c>
      <c r="F129" s="8" t="str">
        <f>IFERROR(VLOOKUP(LOG_RESEAU[[#This Row],[Cell_ID]],Registre_Maintenance!A:C,3,FALSE),"Non trouvé")</f>
        <v>Non trouvé</v>
      </c>
      <c r="G129" s="8" t="str">
        <f>IFERROR(VLOOKUP(LOG_RESEAU[[#This Row],[Cell_ID]],Registre_Maintenance!A:D,4,FALSE),"Non trouvé")</f>
        <v>Non trouvé</v>
      </c>
      <c r="H129" s="6" t="str">
        <f>IFERROR(VLOOKUP(LOG_RESEAU[[#This Row],[Cell_ID]],Registre_Maintenance!A:E,5,FALSE),"Non trouvé")</f>
        <v>Non trouvé</v>
      </c>
      <c r="I129" s="6" t="str">
        <f>IFERROR(VLOOKUP(LOG_RESEAU[[#This Row],[Cell_ID]],Registre_Maintenance!A:F,6,FALSE),"Non trouvé")</f>
        <v>Non trouvé</v>
      </c>
      <c r="J129" s="6" t="str">
        <f t="shared" si="3"/>
        <v>Antenne inconnue</v>
      </c>
      <c r="K129" s="6">
        <f t="shared" si="4"/>
        <v>4</v>
      </c>
      <c r="L129" s="6">
        <f t="shared" si="5"/>
        <v>204</v>
      </c>
    </row>
    <row r="130" spans="1:12" ht="15.75" x14ac:dyDescent="0.25">
      <c r="A130" s="6" t="s">
        <v>855</v>
      </c>
      <c r="B130" s="7">
        <v>45203.718055555553</v>
      </c>
      <c r="C130" s="6">
        <v>62</v>
      </c>
      <c r="D130" s="6" t="s">
        <v>794</v>
      </c>
      <c r="E130" s="8" t="str">
        <f>IFERROR(VLOOKUP(LOG_RESEAU[[#This Row],[Cell_ID]],Registre_Maintenance!A:B,2,FALSE),"Non trouvé")</f>
        <v>Non trouvé</v>
      </c>
      <c r="F130" s="8" t="str">
        <f>IFERROR(VLOOKUP(LOG_RESEAU[[#This Row],[Cell_ID]],Registre_Maintenance!A:C,3,FALSE),"Non trouvé")</f>
        <v>Non trouvé</v>
      </c>
      <c r="G130" s="8" t="str">
        <f>IFERROR(VLOOKUP(LOG_RESEAU[[#This Row],[Cell_ID]],Registre_Maintenance!A:D,4,FALSE),"Non trouvé")</f>
        <v>Non trouvé</v>
      </c>
      <c r="H130" s="6" t="str">
        <f>IFERROR(VLOOKUP(LOG_RESEAU[[#This Row],[Cell_ID]],Registre_Maintenance!A:E,5,FALSE),"Non trouvé")</f>
        <v>Non trouvé</v>
      </c>
      <c r="I130" s="6" t="str">
        <f>IFERROR(VLOOKUP(LOG_RESEAU[[#This Row],[Cell_ID]],Registre_Maintenance!A:F,6,FALSE),"Non trouvé")</f>
        <v>Non trouvé</v>
      </c>
      <c r="J130" s="6" t="str">
        <f t="shared" ref="J130:J193" si="6">IF(ISERROR(SEARCH("Non trouvé",F130)),"OK","Antenne inconnue")</f>
        <v>Antenne inconnue</v>
      </c>
      <c r="K130" s="6">
        <f t="shared" ref="K130:K193" si="7">COUNTIF(A:A,A130)</f>
        <v>4</v>
      </c>
      <c r="L130" s="6">
        <f t="shared" ref="L130:L193" si="8">SUMIF(A:A,A130,C:C)</f>
        <v>204</v>
      </c>
    </row>
    <row r="131" spans="1:12" ht="15.75" x14ac:dyDescent="0.25">
      <c r="A131" s="6" t="s">
        <v>855</v>
      </c>
      <c r="B131" s="7">
        <v>45224.740277777782</v>
      </c>
      <c r="C131" s="6">
        <v>11</v>
      </c>
      <c r="D131" s="6" t="s">
        <v>794</v>
      </c>
      <c r="E131" s="8" t="str">
        <f>IFERROR(VLOOKUP(LOG_RESEAU[[#This Row],[Cell_ID]],Registre_Maintenance!A:B,2,FALSE),"Non trouvé")</f>
        <v>Non trouvé</v>
      </c>
      <c r="F131" s="8" t="str">
        <f>IFERROR(VLOOKUP(LOG_RESEAU[[#This Row],[Cell_ID]],Registre_Maintenance!A:C,3,FALSE),"Non trouvé")</f>
        <v>Non trouvé</v>
      </c>
      <c r="G131" s="8" t="str">
        <f>IFERROR(VLOOKUP(LOG_RESEAU[[#This Row],[Cell_ID]],Registre_Maintenance!A:D,4,FALSE),"Non trouvé")</f>
        <v>Non trouvé</v>
      </c>
      <c r="H131" s="6" t="str">
        <f>IFERROR(VLOOKUP(LOG_RESEAU[[#This Row],[Cell_ID]],Registre_Maintenance!A:E,5,FALSE),"Non trouvé")</f>
        <v>Non trouvé</v>
      </c>
      <c r="I131" s="6" t="str">
        <f>IFERROR(VLOOKUP(LOG_RESEAU[[#This Row],[Cell_ID]],Registre_Maintenance!A:F,6,FALSE),"Non trouvé")</f>
        <v>Non trouvé</v>
      </c>
      <c r="J131" s="6" t="str">
        <f t="shared" si="6"/>
        <v>Antenne inconnue</v>
      </c>
      <c r="K131" s="6">
        <f t="shared" si="7"/>
        <v>4</v>
      </c>
      <c r="L131" s="6">
        <f t="shared" si="8"/>
        <v>204</v>
      </c>
    </row>
    <row r="132" spans="1:12" ht="15.75" x14ac:dyDescent="0.25">
      <c r="A132" s="6" t="s">
        <v>987</v>
      </c>
      <c r="B132" s="7">
        <v>45204.508333333331</v>
      </c>
      <c r="C132" s="6">
        <v>73</v>
      </c>
      <c r="D132" s="6" t="s">
        <v>794</v>
      </c>
      <c r="E132" s="8" t="str">
        <f>IFERROR(VLOOKUP(LOG_RESEAU[[#This Row],[Cell_ID]],Registre_Maintenance!A:B,2,FALSE),"Non trouvé")</f>
        <v>Non trouvé</v>
      </c>
      <c r="F132" s="8" t="str">
        <f>IFERROR(VLOOKUP(LOG_RESEAU[[#This Row],[Cell_ID]],Registre_Maintenance!A:C,3,FALSE),"Non trouvé")</f>
        <v>Non trouvé</v>
      </c>
      <c r="G132" s="8" t="str">
        <f>IFERROR(VLOOKUP(LOG_RESEAU[[#This Row],[Cell_ID]],Registre_Maintenance!A:D,4,FALSE),"Non trouvé")</f>
        <v>Non trouvé</v>
      </c>
      <c r="H132" s="6" t="str">
        <f>IFERROR(VLOOKUP(LOG_RESEAU[[#This Row],[Cell_ID]],Registre_Maintenance!A:E,5,FALSE),"Non trouvé")</f>
        <v>Non trouvé</v>
      </c>
      <c r="I132" s="6" t="str">
        <f>IFERROR(VLOOKUP(LOG_RESEAU[[#This Row],[Cell_ID]],Registre_Maintenance!A:F,6,FALSE),"Non trouvé")</f>
        <v>Non trouvé</v>
      </c>
      <c r="J132" s="6" t="str">
        <f t="shared" si="6"/>
        <v>Antenne inconnue</v>
      </c>
      <c r="K132" s="6">
        <f t="shared" si="7"/>
        <v>5</v>
      </c>
      <c r="L132" s="6">
        <f t="shared" si="8"/>
        <v>331</v>
      </c>
    </row>
    <row r="133" spans="1:12" ht="15.75" x14ac:dyDescent="0.25">
      <c r="A133" s="6" t="s">
        <v>987</v>
      </c>
      <c r="B133" s="7">
        <v>45217.640277777777</v>
      </c>
      <c r="C133" s="6">
        <v>91</v>
      </c>
      <c r="D133" s="6" t="s">
        <v>800</v>
      </c>
      <c r="E133" s="8" t="str">
        <f>IFERROR(VLOOKUP(LOG_RESEAU[[#This Row],[Cell_ID]],Registre_Maintenance!A:B,2,FALSE),"Non trouvé")</f>
        <v>Non trouvé</v>
      </c>
      <c r="F133" s="8" t="str">
        <f>IFERROR(VLOOKUP(LOG_RESEAU[[#This Row],[Cell_ID]],Registre_Maintenance!A:C,3,FALSE),"Non trouvé")</f>
        <v>Non trouvé</v>
      </c>
      <c r="G133" s="8" t="str">
        <f>IFERROR(VLOOKUP(LOG_RESEAU[[#This Row],[Cell_ID]],Registre_Maintenance!A:D,4,FALSE),"Non trouvé")</f>
        <v>Non trouvé</v>
      </c>
      <c r="H133" s="6" t="str">
        <f>IFERROR(VLOOKUP(LOG_RESEAU[[#This Row],[Cell_ID]],Registre_Maintenance!A:E,5,FALSE),"Non trouvé")</f>
        <v>Non trouvé</v>
      </c>
      <c r="I133" s="6" t="str">
        <f>IFERROR(VLOOKUP(LOG_RESEAU[[#This Row],[Cell_ID]],Registre_Maintenance!A:F,6,FALSE),"Non trouvé")</f>
        <v>Non trouvé</v>
      </c>
      <c r="J133" s="6" t="str">
        <f t="shared" si="6"/>
        <v>Antenne inconnue</v>
      </c>
      <c r="K133" s="6">
        <f t="shared" si="7"/>
        <v>5</v>
      </c>
      <c r="L133" s="6">
        <f t="shared" si="8"/>
        <v>331</v>
      </c>
    </row>
    <row r="134" spans="1:12" ht="15.75" x14ac:dyDescent="0.25">
      <c r="A134" s="6" t="s">
        <v>987</v>
      </c>
      <c r="B134" s="7">
        <v>45203.35833333333</v>
      </c>
      <c r="C134" s="6">
        <v>41</v>
      </c>
      <c r="D134" s="6" t="s">
        <v>800</v>
      </c>
      <c r="E134" s="8" t="str">
        <f>IFERROR(VLOOKUP(LOG_RESEAU[[#This Row],[Cell_ID]],Registre_Maintenance!A:B,2,FALSE),"Non trouvé")</f>
        <v>Non trouvé</v>
      </c>
      <c r="F134" s="8" t="str">
        <f>IFERROR(VLOOKUP(LOG_RESEAU[[#This Row],[Cell_ID]],Registre_Maintenance!A:C,3,FALSE),"Non trouvé")</f>
        <v>Non trouvé</v>
      </c>
      <c r="G134" s="8" t="str">
        <f>IFERROR(VLOOKUP(LOG_RESEAU[[#This Row],[Cell_ID]],Registre_Maintenance!A:D,4,FALSE),"Non trouvé")</f>
        <v>Non trouvé</v>
      </c>
      <c r="H134" s="6" t="str">
        <f>IFERROR(VLOOKUP(LOG_RESEAU[[#This Row],[Cell_ID]],Registre_Maintenance!A:E,5,FALSE),"Non trouvé")</f>
        <v>Non trouvé</v>
      </c>
      <c r="I134" s="6" t="str">
        <f>IFERROR(VLOOKUP(LOG_RESEAU[[#This Row],[Cell_ID]],Registre_Maintenance!A:F,6,FALSE),"Non trouvé")</f>
        <v>Non trouvé</v>
      </c>
      <c r="J134" s="6" t="str">
        <f t="shared" si="6"/>
        <v>Antenne inconnue</v>
      </c>
      <c r="K134" s="6">
        <f t="shared" si="7"/>
        <v>5</v>
      </c>
      <c r="L134" s="6">
        <f t="shared" si="8"/>
        <v>331</v>
      </c>
    </row>
    <row r="135" spans="1:12" ht="15.75" x14ac:dyDescent="0.25">
      <c r="A135" s="6" t="s">
        <v>987</v>
      </c>
      <c r="B135" s="7">
        <v>45227.847222222219</v>
      </c>
      <c r="C135" s="6">
        <v>114</v>
      </c>
      <c r="D135" s="6" t="s">
        <v>800</v>
      </c>
      <c r="E135" s="8" t="str">
        <f>IFERROR(VLOOKUP(LOG_RESEAU[[#This Row],[Cell_ID]],Registre_Maintenance!A:B,2,FALSE),"Non trouvé")</f>
        <v>Non trouvé</v>
      </c>
      <c r="F135" s="8" t="str">
        <f>IFERROR(VLOOKUP(LOG_RESEAU[[#This Row],[Cell_ID]],Registre_Maintenance!A:C,3,FALSE),"Non trouvé")</f>
        <v>Non trouvé</v>
      </c>
      <c r="G135" s="8" t="str">
        <f>IFERROR(VLOOKUP(LOG_RESEAU[[#This Row],[Cell_ID]],Registre_Maintenance!A:D,4,FALSE),"Non trouvé")</f>
        <v>Non trouvé</v>
      </c>
      <c r="H135" s="6" t="str">
        <f>IFERROR(VLOOKUP(LOG_RESEAU[[#This Row],[Cell_ID]],Registre_Maintenance!A:E,5,FALSE),"Non trouvé")</f>
        <v>Non trouvé</v>
      </c>
      <c r="I135" s="6" t="str">
        <f>IFERROR(VLOOKUP(LOG_RESEAU[[#This Row],[Cell_ID]],Registre_Maintenance!A:F,6,FALSE),"Non trouvé")</f>
        <v>Non trouvé</v>
      </c>
      <c r="J135" s="6" t="str">
        <f t="shared" si="6"/>
        <v>Antenne inconnue</v>
      </c>
      <c r="K135" s="6">
        <f t="shared" si="7"/>
        <v>5</v>
      </c>
      <c r="L135" s="6">
        <f t="shared" si="8"/>
        <v>331</v>
      </c>
    </row>
    <row r="136" spans="1:12" ht="15.75" x14ac:dyDescent="0.25">
      <c r="A136" s="6" t="s">
        <v>987</v>
      </c>
      <c r="B136" s="7">
        <v>45226.84097222222</v>
      </c>
      <c r="C136" s="6">
        <v>12</v>
      </c>
      <c r="D136" s="6" t="s">
        <v>792</v>
      </c>
      <c r="E136" s="8" t="str">
        <f>IFERROR(VLOOKUP(LOG_RESEAU[[#This Row],[Cell_ID]],Registre_Maintenance!A:B,2,FALSE),"Non trouvé")</f>
        <v>Non trouvé</v>
      </c>
      <c r="F136" s="8" t="str">
        <f>IFERROR(VLOOKUP(LOG_RESEAU[[#This Row],[Cell_ID]],Registre_Maintenance!A:C,3,FALSE),"Non trouvé")</f>
        <v>Non trouvé</v>
      </c>
      <c r="G136" s="8" t="str">
        <f>IFERROR(VLOOKUP(LOG_RESEAU[[#This Row],[Cell_ID]],Registre_Maintenance!A:D,4,FALSE),"Non trouvé")</f>
        <v>Non trouvé</v>
      </c>
      <c r="H136" s="6" t="str">
        <f>IFERROR(VLOOKUP(LOG_RESEAU[[#This Row],[Cell_ID]],Registre_Maintenance!A:E,5,FALSE),"Non trouvé")</f>
        <v>Non trouvé</v>
      </c>
      <c r="I136" s="6" t="str">
        <f>IFERROR(VLOOKUP(LOG_RESEAU[[#This Row],[Cell_ID]],Registre_Maintenance!A:F,6,FALSE),"Non trouvé")</f>
        <v>Non trouvé</v>
      </c>
      <c r="J136" s="6" t="str">
        <f t="shared" si="6"/>
        <v>Antenne inconnue</v>
      </c>
      <c r="K136" s="6">
        <f t="shared" si="7"/>
        <v>5</v>
      </c>
      <c r="L136" s="6">
        <f t="shared" si="8"/>
        <v>331</v>
      </c>
    </row>
    <row r="137" spans="1:12" ht="15.75" x14ac:dyDescent="0.25">
      <c r="A137" s="6" t="s">
        <v>958</v>
      </c>
      <c r="B137" s="7">
        <v>45230.925000000003</v>
      </c>
      <c r="C137" s="6">
        <v>96</v>
      </c>
      <c r="D137" s="6" t="s">
        <v>800</v>
      </c>
      <c r="E137" s="8" t="str">
        <f>IFERROR(VLOOKUP(LOG_RESEAU[[#This Row],[Cell_ID]],Registre_Maintenance!A:B,2,FALSE),"Non trouvé")</f>
        <v>Non trouvé</v>
      </c>
      <c r="F137" s="8" t="str">
        <f>IFERROR(VLOOKUP(LOG_RESEAU[[#This Row],[Cell_ID]],Registre_Maintenance!A:C,3,FALSE),"Non trouvé")</f>
        <v>Non trouvé</v>
      </c>
      <c r="G137" s="8" t="str">
        <f>IFERROR(VLOOKUP(LOG_RESEAU[[#This Row],[Cell_ID]],Registre_Maintenance!A:D,4,FALSE),"Non trouvé")</f>
        <v>Non trouvé</v>
      </c>
      <c r="H137" s="6" t="str">
        <f>IFERROR(VLOOKUP(LOG_RESEAU[[#This Row],[Cell_ID]],Registre_Maintenance!A:E,5,FALSE),"Non trouvé")</f>
        <v>Non trouvé</v>
      </c>
      <c r="I137" s="6" t="str">
        <f>IFERROR(VLOOKUP(LOG_RESEAU[[#This Row],[Cell_ID]],Registre_Maintenance!A:F,6,FALSE),"Non trouvé")</f>
        <v>Non trouvé</v>
      </c>
      <c r="J137" s="6" t="str">
        <f t="shared" si="6"/>
        <v>Antenne inconnue</v>
      </c>
      <c r="K137" s="6">
        <f t="shared" si="7"/>
        <v>8</v>
      </c>
      <c r="L137" s="6">
        <f t="shared" si="8"/>
        <v>608</v>
      </c>
    </row>
    <row r="138" spans="1:12" ht="15.75" x14ac:dyDescent="0.25">
      <c r="A138" s="6" t="s">
        <v>958</v>
      </c>
      <c r="B138" s="7">
        <v>45202.328472222223</v>
      </c>
      <c r="C138" s="6">
        <v>99</v>
      </c>
      <c r="D138" s="6" t="s">
        <v>800</v>
      </c>
      <c r="E138" s="8" t="str">
        <f>IFERROR(VLOOKUP(LOG_RESEAU[[#This Row],[Cell_ID]],Registre_Maintenance!A:B,2,FALSE),"Non trouvé")</f>
        <v>Non trouvé</v>
      </c>
      <c r="F138" s="8" t="str">
        <f>IFERROR(VLOOKUP(LOG_RESEAU[[#This Row],[Cell_ID]],Registre_Maintenance!A:C,3,FALSE),"Non trouvé")</f>
        <v>Non trouvé</v>
      </c>
      <c r="G138" s="8" t="str">
        <f>IFERROR(VLOOKUP(LOG_RESEAU[[#This Row],[Cell_ID]],Registre_Maintenance!A:D,4,FALSE),"Non trouvé")</f>
        <v>Non trouvé</v>
      </c>
      <c r="H138" s="6" t="str">
        <f>IFERROR(VLOOKUP(LOG_RESEAU[[#This Row],[Cell_ID]],Registre_Maintenance!A:E,5,FALSE),"Non trouvé")</f>
        <v>Non trouvé</v>
      </c>
      <c r="I138" s="6" t="str">
        <f>IFERROR(VLOOKUP(LOG_RESEAU[[#This Row],[Cell_ID]],Registre_Maintenance!A:F,6,FALSE),"Non trouvé")</f>
        <v>Non trouvé</v>
      </c>
      <c r="J138" s="6" t="str">
        <f t="shared" si="6"/>
        <v>Antenne inconnue</v>
      </c>
      <c r="K138" s="6">
        <f t="shared" si="7"/>
        <v>8</v>
      </c>
      <c r="L138" s="6">
        <f t="shared" si="8"/>
        <v>608</v>
      </c>
    </row>
    <row r="139" spans="1:12" ht="15.75" x14ac:dyDescent="0.25">
      <c r="A139" s="6" t="s">
        <v>958</v>
      </c>
      <c r="B139" s="7">
        <v>45222.353472222218</v>
      </c>
      <c r="C139" s="6">
        <v>31</v>
      </c>
      <c r="D139" s="6" t="s">
        <v>792</v>
      </c>
      <c r="E139" s="8" t="str">
        <f>IFERROR(VLOOKUP(LOG_RESEAU[[#This Row],[Cell_ID]],Registre_Maintenance!A:B,2,FALSE),"Non trouvé")</f>
        <v>Non trouvé</v>
      </c>
      <c r="F139" s="8" t="str">
        <f>IFERROR(VLOOKUP(LOG_RESEAU[[#This Row],[Cell_ID]],Registre_Maintenance!A:C,3,FALSE),"Non trouvé")</f>
        <v>Non trouvé</v>
      </c>
      <c r="G139" s="8" t="str">
        <f>IFERROR(VLOOKUP(LOG_RESEAU[[#This Row],[Cell_ID]],Registre_Maintenance!A:D,4,FALSE),"Non trouvé")</f>
        <v>Non trouvé</v>
      </c>
      <c r="H139" s="6" t="str">
        <f>IFERROR(VLOOKUP(LOG_RESEAU[[#This Row],[Cell_ID]],Registre_Maintenance!A:E,5,FALSE),"Non trouvé")</f>
        <v>Non trouvé</v>
      </c>
      <c r="I139" s="6" t="str">
        <f>IFERROR(VLOOKUP(LOG_RESEAU[[#This Row],[Cell_ID]],Registre_Maintenance!A:F,6,FALSE),"Non trouvé")</f>
        <v>Non trouvé</v>
      </c>
      <c r="J139" s="6" t="str">
        <f t="shared" si="6"/>
        <v>Antenne inconnue</v>
      </c>
      <c r="K139" s="6">
        <f t="shared" si="7"/>
        <v>8</v>
      </c>
      <c r="L139" s="6">
        <f t="shared" si="8"/>
        <v>608</v>
      </c>
    </row>
    <row r="140" spans="1:12" ht="15.75" x14ac:dyDescent="0.25">
      <c r="A140" s="6" t="s">
        <v>958</v>
      </c>
      <c r="B140" s="7">
        <v>45215.617361111108</v>
      </c>
      <c r="C140" s="6">
        <v>110</v>
      </c>
      <c r="D140" s="6" t="s">
        <v>800</v>
      </c>
      <c r="E140" s="8" t="str">
        <f>IFERROR(VLOOKUP(LOG_RESEAU[[#This Row],[Cell_ID]],Registre_Maintenance!A:B,2,FALSE),"Non trouvé")</f>
        <v>Non trouvé</v>
      </c>
      <c r="F140" s="8" t="str">
        <f>IFERROR(VLOOKUP(LOG_RESEAU[[#This Row],[Cell_ID]],Registre_Maintenance!A:C,3,FALSE),"Non trouvé")</f>
        <v>Non trouvé</v>
      </c>
      <c r="G140" s="8" t="str">
        <f>IFERROR(VLOOKUP(LOG_RESEAU[[#This Row],[Cell_ID]],Registre_Maintenance!A:D,4,FALSE),"Non trouvé")</f>
        <v>Non trouvé</v>
      </c>
      <c r="H140" s="6" t="str">
        <f>IFERROR(VLOOKUP(LOG_RESEAU[[#This Row],[Cell_ID]],Registre_Maintenance!A:E,5,FALSE),"Non trouvé")</f>
        <v>Non trouvé</v>
      </c>
      <c r="I140" s="6" t="str">
        <f>IFERROR(VLOOKUP(LOG_RESEAU[[#This Row],[Cell_ID]],Registre_Maintenance!A:F,6,FALSE),"Non trouvé")</f>
        <v>Non trouvé</v>
      </c>
      <c r="J140" s="6" t="str">
        <f t="shared" si="6"/>
        <v>Antenne inconnue</v>
      </c>
      <c r="K140" s="6">
        <f t="shared" si="7"/>
        <v>8</v>
      </c>
      <c r="L140" s="6">
        <f t="shared" si="8"/>
        <v>608</v>
      </c>
    </row>
    <row r="141" spans="1:12" ht="15.75" x14ac:dyDescent="0.25">
      <c r="A141" s="6" t="s">
        <v>958</v>
      </c>
      <c r="B141" s="7">
        <v>45222.162499999999</v>
      </c>
      <c r="C141" s="6">
        <v>86</v>
      </c>
      <c r="D141" s="6" t="s">
        <v>800</v>
      </c>
      <c r="E141" s="8" t="str">
        <f>IFERROR(VLOOKUP(LOG_RESEAU[[#This Row],[Cell_ID]],Registre_Maintenance!A:B,2,FALSE),"Non trouvé")</f>
        <v>Non trouvé</v>
      </c>
      <c r="F141" s="8" t="str">
        <f>IFERROR(VLOOKUP(LOG_RESEAU[[#This Row],[Cell_ID]],Registre_Maintenance!A:C,3,FALSE),"Non trouvé")</f>
        <v>Non trouvé</v>
      </c>
      <c r="G141" s="8" t="str">
        <f>IFERROR(VLOOKUP(LOG_RESEAU[[#This Row],[Cell_ID]],Registre_Maintenance!A:D,4,FALSE),"Non trouvé")</f>
        <v>Non trouvé</v>
      </c>
      <c r="H141" s="6" t="str">
        <f>IFERROR(VLOOKUP(LOG_RESEAU[[#This Row],[Cell_ID]],Registre_Maintenance!A:E,5,FALSE),"Non trouvé")</f>
        <v>Non trouvé</v>
      </c>
      <c r="I141" s="6" t="str">
        <f>IFERROR(VLOOKUP(LOG_RESEAU[[#This Row],[Cell_ID]],Registre_Maintenance!A:F,6,FALSE),"Non trouvé")</f>
        <v>Non trouvé</v>
      </c>
      <c r="J141" s="6" t="str">
        <f t="shared" si="6"/>
        <v>Antenne inconnue</v>
      </c>
      <c r="K141" s="6">
        <f t="shared" si="7"/>
        <v>8</v>
      </c>
      <c r="L141" s="6">
        <f t="shared" si="8"/>
        <v>608</v>
      </c>
    </row>
    <row r="142" spans="1:12" ht="15.75" x14ac:dyDescent="0.25">
      <c r="A142" s="6" t="s">
        <v>958</v>
      </c>
      <c r="B142" s="7">
        <v>45201.009027777778</v>
      </c>
      <c r="C142" s="6">
        <v>43</v>
      </c>
      <c r="D142" s="6" t="s">
        <v>792</v>
      </c>
      <c r="E142" s="8" t="str">
        <f>IFERROR(VLOOKUP(LOG_RESEAU[[#This Row],[Cell_ID]],Registre_Maintenance!A:B,2,FALSE),"Non trouvé")</f>
        <v>Non trouvé</v>
      </c>
      <c r="F142" s="8" t="str">
        <f>IFERROR(VLOOKUP(LOG_RESEAU[[#This Row],[Cell_ID]],Registre_Maintenance!A:C,3,FALSE),"Non trouvé")</f>
        <v>Non trouvé</v>
      </c>
      <c r="G142" s="8" t="str">
        <f>IFERROR(VLOOKUP(LOG_RESEAU[[#This Row],[Cell_ID]],Registre_Maintenance!A:D,4,FALSE),"Non trouvé")</f>
        <v>Non trouvé</v>
      </c>
      <c r="H142" s="6" t="str">
        <f>IFERROR(VLOOKUP(LOG_RESEAU[[#This Row],[Cell_ID]],Registre_Maintenance!A:E,5,FALSE),"Non trouvé")</f>
        <v>Non trouvé</v>
      </c>
      <c r="I142" s="6" t="str">
        <f>IFERROR(VLOOKUP(LOG_RESEAU[[#This Row],[Cell_ID]],Registre_Maintenance!A:F,6,FALSE),"Non trouvé")</f>
        <v>Non trouvé</v>
      </c>
      <c r="J142" s="6" t="str">
        <f t="shared" si="6"/>
        <v>Antenne inconnue</v>
      </c>
      <c r="K142" s="6">
        <f t="shared" si="7"/>
        <v>8</v>
      </c>
      <c r="L142" s="6">
        <f t="shared" si="8"/>
        <v>608</v>
      </c>
    </row>
    <row r="143" spans="1:12" ht="15.75" x14ac:dyDescent="0.25">
      <c r="A143" s="6" t="s">
        <v>958</v>
      </c>
      <c r="B143" s="7">
        <v>45225.839583333327</v>
      </c>
      <c r="C143" s="6">
        <v>60</v>
      </c>
      <c r="D143" s="6" t="s">
        <v>792</v>
      </c>
      <c r="E143" s="8" t="str">
        <f>IFERROR(VLOOKUP(LOG_RESEAU[[#This Row],[Cell_ID]],Registre_Maintenance!A:B,2,FALSE),"Non trouvé")</f>
        <v>Non trouvé</v>
      </c>
      <c r="F143" s="8" t="str">
        <f>IFERROR(VLOOKUP(LOG_RESEAU[[#This Row],[Cell_ID]],Registre_Maintenance!A:C,3,FALSE),"Non trouvé")</f>
        <v>Non trouvé</v>
      </c>
      <c r="G143" s="8" t="str">
        <f>IFERROR(VLOOKUP(LOG_RESEAU[[#This Row],[Cell_ID]],Registre_Maintenance!A:D,4,FALSE),"Non trouvé")</f>
        <v>Non trouvé</v>
      </c>
      <c r="H143" s="6" t="str">
        <f>IFERROR(VLOOKUP(LOG_RESEAU[[#This Row],[Cell_ID]],Registre_Maintenance!A:E,5,FALSE),"Non trouvé")</f>
        <v>Non trouvé</v>
      </c>
      <c r="I143" s="6" t="str">
        <f>IFERROR(VLOOKUP(LOG_RESEAU[[#This Row],[Cell_ID]],Registre_Maintenance!A:F,6,FALSE),"Non trouvé")</f>
        <v>Non trouvé</v>
      </c>
      <c r="J143" s="6" t="str">
        <f t="shared" si="6"/>
        <v>Antenne inconnue</v>
      </c>
      <c r="K143" s="6">
        <f t="shared" si="7"/>
        <v>8</v>
      </c>
      <c r="L143" s="6">
        <f t="shared" si="8"/>
        <v>608</v>
      </c>
    </row>
    <row r="144" spans="1:12" ht="15.75" x14ac:dyDescent="0.25">
      <c r="A144" s="6" t="s">
        <v>958</v>
      </c>
      <c r="B144" s="7">
        <v>45224.961805555547</v>
      </c>
      <c r="C144" s="6">
        <v>83</v>
      </c>
      <c r="D144" s="6" t="s">
        <v>792</v>
      </c>
      <c r="E144" s="8" t="str">
        <f>IFERROR(VLOOKUP(LOG_RESEAU[[#This Row],[Cell_ID]],Registre_Maintenance!A:B,2,FALSE),"Non trouvé")</f>
        <v>Non trouvé</v>
      </c>
      <c r="F144" s="8" t="str">
        <f>IFERROR(VLOOKUP(LOG_RESEAU[[#This Row],[Cell_ID]],Registre_Maintenance!A:C,3,FALSE),"Non trouvé")</f>
        <v>Non trouvé</v>
      </c>
      <c r="G144" s="8" t="str">
        <f>IFERROR(VLOOKUP(LOG_RESEAU[[#This Row],[Cell_ID]],Registre_Maintenance!A:D,4,FALSE),"Non trouvé")</f>
        <v>Non trouvé</v>
      </c>
      <c r="H144" s="6" t="str">
        <f>IFERROR(VLOOKUP(LOG_RESEAU[[#This Row],[Cell_ID]],Registre_Maintenance!A:E,5,FALSE),"Non trouvé")</f>
        <v>Non trouvé</v>
      </c>
      <c r="I144" s="6" t="str">
        <f>IFERROR(VLOOKUP(LOG_RESEAU[[#This Row],[Cell_ID]],Registre_Maintenance!A:F,6,FALSE),"Non trouvé")</f>
        <v>Non trouvé</v>
      </c>
      <c r="J144" s="6" t="str">
        <f t="shared" si="6"/>
        <v>Antenne inconnue</v>
      </c>
      <c r="K144" s="6">
        <f t="shared" si="7"/>
        <v>8</v>
      </c>
      <c r="L144" s="6">
        <f t="shared" si="8"/>
        <v>608</v>
      </c>
    </row>
    <row r="145" spans="1:12" ht="15.75" x14ac:dyDescent="0.25">
      <c r="A145" s="6" t="s">
        <v>850</v>
      </c>
      <c r="B145" s="7">
        <v>45205.583333333343</v>
      </c>
      <c r="C145" s="6">
        <v>50</v>
      </c>
      <c r="D145" s="6" t="s">
        <v>792</v>
      </c>
      <c r="E145" s="8" t="str">
        <f>IFERROR(VLOOKUP(LOG_RESEAU[[#This Row],[Cell_ID]],Registre_Maintenance!A:B,2,FALSE),"Non trouvé")</f>
        <v>Kinshasa</v>
      </c>
      <c r="F145" s="8">
        <f>IFERROR(VLOOKUP(LOG_RESEAU[[#This Row],[Cell_ID]],Registre_Maintenance!A:C,3,FALSE),"Non trouvé")</f>
        <v>-10.227569000000001</v>
      </c>
      <c r="G145" s="8">
        <f>IFERROR(VLOOKUP(LOG_RESEAU[[#This Row],[Cell_ID]],Registre_Maintenance!A:D,4,FALSE),"Non trouvé")</f>
        <v>18.887930999999998</v>
      </c>
      <c r="H145" s="6" t="str">
        <f>IFERROR(VLOOKUP(LOG_RESEAU[[#This Row],[Cell_ID]],Registre_Maintenance!A:E,5,FALSE),"Non trouvé")</f>
        <v>3G</v>
      </c>
      <c r="I145" s="6" t="str">
        <f>IFERROR(VLOOKUP(LOG_RESEAU[[#This Row],[Cell_ID]],Registre_Maintenance!A:F,6,FALSE),"Non trouvé")</f>
        <v>ZTE</v>
      </c>
      <c r="J145" s="6" t="str">
        <f t="shared" si="6"/>
        <v>OK</v>
      </c>
      <c r="K145" s="6">
        <f t="shared" si="7"/>
        <v>3</v>
      </c>
      <c r="L145" s="6">
        <f t="shared" si="8"/>
        <v>189</v>
      </c>
    </row>
    <row r="146" spans="1:12" ht="15.75" x14ac:dyDescent="0.25">
      <c r="A146" s="6" t="s">
        <v>850</v>
      </c>
      <c r="B146" s="7">
        <v>45213.027083333327</v>
      </c>
      <c r="C146" s="6">
        <v>31</v>
      </c>
      <c r="D146" s="6" t="s">
        <v>792</v>
      </c>
      <c r="E146" s="8" t="str">
        <f>IFERROR(VLOOKUP(LOG_RESEAU[[#This Row],[Cell_ID]],Registre_Maintenance!A:B,2,FALSE),"Non trouvé")</f>
        <v>Kinshasa</v>
      </c>
      <c r="F146" s="8">
        <f>IFERROR(VLOOKUP(LOG_RESEAU[[#This Row],[Cell_ID]],Registre_Maintenance!A:C,3,FALSE),"Non trouvé")</f>
        <v>-10.227569000000001</v>
      </c>
      <c r="G146" s="8">
        <f>IFERROR(VLOOKUP(LOG_RESEAU[[#This Row],[Cell_ID]],Registre_Maintenance!A:D,4,FALSE),"Non trouvé")</f>
        <v>18.887930999999998</v>
      </c>
      <c r="H146" s="6" t="str">
        <f>IFERROR(VLOOKUP(LOG_RESEAU[[#This Row],[Cell_ID]],Registre_Maintenance!A:E,5,FALSE),"Non trouvé")</f>
        <v>3G</v>
      </c>
      <c r="I146" s="6" t="str">
        <f>IFERROR(VLOOKUP(LOG_RESEAU[[#This Row],[Cell_ID]],Registre_Maintenance!A:F,6,FALSE),"Non trouvé")</f>
        <v>ZTE</v>
      </c>
      <c r="J146" s="6" t="str">
        <f t="shared" si="6"/>
        <v>OK</v>
      </c>
      <c r="K146" s="6">
        <f t="shared" si="7"/>
        <v>3</v>
      </c>
      <c r="L146" s="6">
        <f t="shared" si="8"/>
        <v>189</v>
      </c>
    </row>
    <row r="147" spans="1:12" ht="15.75" x14ac:dyDescent="0.25">
      <c r="A147" s="6" t="s">
        <v>850</v>
      </c>
      <c r="B147" s="7">
        <v>45206.515972222223</v>
      </c>
      <c r="C147" s="6">
        <v>108</v>
      </c>
      <c r="D147" s="6" t="s">
        <v>794</v>
      </c>
      <c r="E147" s="8" t="str">
        <f>IFERROR(VLOOKUP(LOG_RESEAU[[#This Row],[Cell_ID]],Registre_Maintenance!A:B,2,FALSE),"Non trouvé")</f>
        <v>Kinshasa</v>
      </c>
      <c r="F147" s="8">
        <f>IFERROR(VLOOKUP(LOG_RESEAU[[#This Row],[Cell_ID]],Registre_Maintenance!A:C,3,FALSE),"Non trouvé")</f>
        <v>-10.227569000000001</v>
      </c>
      <c r="G147" s="8">
        <f>IFERROR(VLOOKUP(LOG_RESEAU[[#This Row],[Cell_ID]],Registre_Maintenance!A:D,4,FALSE),"Non trouvé")</f>
        <v>18.887930999999998</v>
      </c>
      <c r="H147" s="6" t="str">
        <f>IFERROR(VLOOKUP(LOG_RESEAU[[#This Row],[Cell_ID]],Registre_Maintenance!A:E,5,FALSE),"Non trouvé")</f>
        <v>3G</v>
      </c>
      <c r="I147" s="6" t="str">
        <f>IFERROR(VLOOKUP(LOG_RESEAU[[#This Row],[Cell_ID]],Registre_Maintenance!A:F,6,FALSE),"Non trouvé")</f>
        <v>ZTE</v>
      </c>
      <c r="J147" s="6" t="str">
        <f t="shared" si="6"/>
        <v>OK</v>
      </c>
      <c r="K147" s="6">
        <f t="shared" si="7"/>
        <v>3</v>
      </c>
      <c r="L147" s="6">
        <f t="shared" si="8"/>
        <v>189</v>
      </c>
    </row>
    <row r="148" spans="1:12" ht="15.75" x14ac:dyDescent="0.25">
      <c r="A148" s="6" t="s">
        <v>999</v>
      </c>
      <c r="B148" s="7">
        <v>45214.488194444442</v>
      </c>
      <c r="C148" s="6">
        <v>83</v>
      </c>
      <c r="D148" s="6" t="s">
        <v>794</v>
      </c>
      <c r="E148" s="8" t="str">
        <f>IFERROR(VLOOKUP(LOG_RESEAU[[#This Row],[Cell_ID]],Registre_Maintenance!A:B,2,FALSE),"Non trouvé")</f>
        <v>Non trouvé</v>
      </c>
      <c r="F148" s="8" t="str">
        <f>IFERROR(VLOOKUP(LOG_RESEAU[[#This Row],[Cell_ID]],Registre_Maintenance!A:C,3,FALSE),"Non trouvé")</f>
        <v>Non trouvé</v>
      </c>
      <c r="G148" s="8" t="str">
        <f>IFERROR(VLOOKUP(LOG_RESEAU[[#This Row],[Cell_ID]],Registre_Maintenance!A:D,4,FALSE),"Non trouvé")</f>
        <v>Non trouvé</v>
      </c>
      <c r="H148" s="6" t="str">
        <f>IFERROR(VLOOKUP(LOG_RESEAU[[#This Row],[Cell_ID]],Registre_Maintenance!A:E,5,FALSE),"Non trouvé")</f>
        <v>Non trouvé</v>
      </c>
      <c r="I148" s="6" t="str">
        <f>IFERROR(VLOOKUP(LOG_RESEAU[[#This Row],[Cell_ID]],Registre_Maintenance!A:F,6,FALSE),"Non trouvé")</f>
        <v>Non trouvé</v>
      </c>
      <c r="J148" s="6" t="str">
        <f t="shared" si="6"/>
        <v>Antenne inconnue</v>
      </c>
      <c r="K148" s="6">
        <f t="shared" si="7"/>
        <v>8</v>
      </c>
      <c r="L148" s="6">
        <f t="shared" si="8"/>
        <v>396</v>
      </c>
    </row>
    <row r="149" spans="1:12" ht="15.75" x14ac:dyDescent="0.25">
      <c r="A149" s="6" t="s">
        <v>1006</v>
      </c>
      <c r="B149" s="7">
        <v>45200.832638888889</v>
      </c>
      <c r="C149" s="6">
        <v>16</v>
      </c>
      <c r="D149" s="6" t="s">
        <v>792</v>
      </c>
      <c r="E149" s="8" t="str">
        <f>IFERROR(VLOOKUP(LOG_RESEAU[[#This Row],[Cell_ID]],Registre_Maintenance!A:B,2,FALSE),"Non trouvé")</f>
        <v>Non trouvé</v>
      </c>
      <c r="F149" s="8" t="str">
        <f>IFERROR(VLOOKUP(LOG_RESEAU[[#This Row],[Cell_ID]],Registre_Maintenance!A:C,3,FALSE),"Non trouvé")</f>
        <v>Non trouvé</v>
      </c>
      <c r="G149" s="8" t="str">
        <f>IFERROR(VLOOKUP(LOG_RESEAU[[#This Row],[Cell_ID]],Registre_Maintenance!A:D,4,FALSE),"Non trouvé")</f>
        <v>Non trouvé</v>
      </c>
      <c r="H149" s="6" t="str">
        <f>IFERROR(VLOOKUP(LOG_RESEAU[[#This Row],[Cell_ID]],Registre_Maintenance!A:E,5,FALSE),"Non trouvé")</f>
        <v>Non trouvé</v>
      </c>
      <c r="I149" s="6" t="str">
        <f>IFERROR(VLOOKUP(LOG_RESEAU[[#This Row],[Cell_ID]],Registre_Maintenance!A:F,6,FALSE),"Non trouvé")</f>
        <v>Non trouvé</v>
      </c>
      <c r="J149" s="6" t="str">
        <f t="shared" si="6"/>
        <v>Antenne inconnue</v>
      </c>
      <c r="K149" s="6">
        <f t="shared" si="7"/>
        <v>8</v>
      </c>
      <c r="L149" s="6">
        <f t="shared" si="8"/>
        <v>396</v>
      </c>
    </row>
    <row r="150" spans="1:12" ht="15.75" x14ac:dyDescent="0.25">
      <c r="A150" s="6" t="s">
        <v>999</v>
      </c>
      <c r="B150" s="7">
        <v>45209.904861111107</v>
      </c>
      <c r="C150" s="6">
        <v>42</v>
      </c>
      <c r="D150" s="6" t="s">
        <v>794</v>
      </c>
      <c r="E150" s="8" t="str">
        <f>IFERROR(VLOOKUP(LOG_RESEAU[[#This Row],[Cell_ID]],Registre_Maintenance!A:B,2,FALSE),"Non trouvé")</f>
        <v>Non trouvé</v>
      </c>
      <c r="F150" s="8" t="str">
        <f>IFERROR(VLOOKUP(LOG_RESEAU[[#This Row],[Cell_ID]],Registre_Maintenance!A:C,3,FALSE),"Non trouvé")</f>
        <v>Non trouvé</v>
      </c>
      <c r="G150" s="8" t="str">
        <f>IFERROR(VLOOKUP(LOG_RESEAU[[#This Row],[Cell_ID]],Registre_Maintenance!A:D,4,FALSE),"Non trouvé")</f>
        <v>Non trouvé</v>
      </c>
      <c r="H150" s="6" t="str">
        <f>IFERROR(VLOOKUP(LOG_RESEAU[[#This Row],[Cell_ID]],Registre_Maintenance!A:E,5,FALSE),"Non trouvé")</f>
        <v>Non trouvé</v>
      </c>
      <c r="I150" s="6" t="str">
        <f>IFERROR(VLOOKUP(LOG_RESEAU[[#This Row],[Cell_ID]],Registre_Maintenance!A:F,6,FALSE),"Non trouvé")</f>
        <v>Non trouvé</v>
      </c>
      <c r="J150" s="6" t="str">
        <f t="shared" si="6"/>
        <v>Antenne inconnue</v>
      </c>
      <c r="K150" s="6">
        <f t="shared" si="7"/>
        <v>8</v>
      </c>
      <c r="L150" s="6">
        <f t="shared" si="8"/>
        <v>396</v>
      </c>
    </row>
    <row r="151" spans="1:12" ht="15.75" x14ac:dyDescent="0.25">
      <c r="A151" s="6" t="s">
        <v>1006</v>
      </c>
      <c r="B151" s="7">
        <v>45211.37777777778</v>
      </c>
      <c r="C151" s="6">
        <v>46</v>
      </c>
      <c r="D151" s="6" t="s">
        <v>792</v>
      </c>
      <c r="E151" s="8" t="str">
        <f>IFERROR(VLOOKUP(LOG_RESEAU[[#This Row],[Cell_ID]],Registre_Maintenance!A:B,2,FALSE),"Non trouvé")</f>
        <v>Non trouvé</v>
      </c>
      <c r="F151" s="8" t="str">
        <f>IFERROR(VLOOKUP(LOG_RESEAU[[#This Row],[Cell_ID]],Registre_Maintenance!A:C,3,FALSE),"Non trouvé")</f>
        <v>Non trouvé</v>
      </c>
      <c r="G151" s="8" t="str">
        <f>IFERROR(VLOOKUP(LOG_RESEAU[[#This Row],[Cell_ID]],Registre_Maintenance!A:D,4,FALSE),"Non trouvé")</f>
        <v>Non trouvé</v>
      </c>
      <c r="H151" s="6" t="str">
        <f>IFERROR(VLOOKUP(LOG_RESEAU[[#This Row],[Cell_ID]],Registre_Maintenance!A:E,5,FALSE),"Non trouvé")</f>
        <v>Non trouvé</v>
      </c>
      <c r="I151" s="6" t="str">
        <f>IFERROR(VLOOKUP(LOG_RESEAU[[#This Row],[Cell_ID]],Registre_Maintenance!A:F,6,FALSE),"Non trouvé")</f>
        <v>Non trouvé</v>
      </c>
      <c r="J151" s="6" t="str">
        <f t="shared" si="6"/>
        <v>Antenne inconnue</v>
      </c>
      <c r="K151" s="6">
        <f t="shared" si="7"/>
        <v>8</v>
      </c>
      <c r="L151" s="6">
        <f t="shared" si="8"/>
        <v>396</v>
      </c>
    </row>
    <row r="152" spans="1:12" ht="15.75" x14ac:dyDescent="0.25">
      <c r="A152" s="6" t="s">
        <v>1006</v>
      </c>
      <c r="B152" s="7">
        <v>45205.052083333343</v>
      </c>
      <c r="C152" s="6">
        <v>54</v>
      </c>
      <c r="D152" s="6" t="s">
        <v>794</v>
      </c>
      <c r="E152" s="8" t="str">
        <f>IFERROR(VLOOKUP(LOG_RESEAU[[#This Row],[Cell_ID]],Registre_Maintenance!A:B,2,FALSE),"Non trouvé")</f>
        <v>Non trouvé</v>
      </c>
      <c r="F152" s="8" t="str">
        <f>IFERROR(VLOOKUP(LOG_RESEAU[[#This Row],[Cell_ID]],Registre_Maintenance!A:C,3,FALSE),"Non trouvé")</f>
        <v>Non trouvé</v>
      </c>
      <c r="G152" s="8" t="str">
        <f>IFERROR(VLOOKUP(LOG_RESEAU[[#This Row],[Cell_ID]],Registre_Maintenance!A:D,4,FALSE),"Non trouvé")</f>
        <v>Non trouvé</v>
      </c>
      <c r="H152" s="6" t="str">
        <f>IFERROR(VLOOKUP(LOG_RESEAU[[#This Row],[Cell_ID]],Registre_Maintenance!A:E,5,FALSE),"Non trouvé")</f>
        <v>Non trouvé</v>
      </c>
      <c r="I152" s="6" t="str">
        <f>IFERROR(VLOOKUP(LOG_RESEAU[[#This Row],[Cell_ID]],Registre_Maintenance!A:F,6,FALSE),"Non trouvé")</f>
        <v>Non trouvé</v>
      </c>
      <c r="J152" s="6" t="str">
        <f t="shared" si="6"/>
        <v>Antenne inconnue</v>
      </c>
      <c r="K152" s="6">
        <f t="shared" si="7"/>
        <v>8</v>
      </c>
      <c r="L152" s="6">
        <f t="shared" si="8"/>
        <v>396</v>
      </c>
    </row>
    <row r="153" spans="1:12" ht="15.75" x14ac:dyDescent="0.25">
      <c r="A153" s="6" t="s">
        <v>1006</v>
      </c>
      <c r="B153" s="7">
        <v>45209.724999999999</v>
      </c>
      <c r="C153" s="6">
        <v>20</v>
      </c>
      <c r="D153" s="6" t="s">
        <v>800</v>
      </c>
      <c r="E153" s="8" t="str">
        <f>IFERROR(VLOOKUP(LOG_RESEAU[[#This Row],[Cell_ID]],Registre_Maintenance!A:B,2,FALSE),"Non trouvé")</f>
        <v>Non trouvé</v>
      </c>
      <c r="F153" s="8" t="str">
        <f>IFERROR(VLOOKUP(LOG_RESEAU[[#This Row],[Cell_ID]],Registre_Maintenance!A:C,3,FALSE),"Non trouvé")</f>
        <v>Non trouvé</v>
      </c>
      <c r="G153" s="8" t="str">
        <f>IFERROR(VLOOKUP(LOG_RESEAU[[#This Row],[Cell_ID]],Registre_Maintenance!A:D,4,FALSE),"Non trouvé")</f>
        <v>Non trouvé</v>
      </c>
      <c r="H153" s="6" t="str">
        <f>IFERROR(VLOOKUP(LOG_RESEAU[[#This Row],[Cell_ID]],Registre_Maintenance!A:E,5,FALSE),"Non trouvé")</f>
        <v>Non trouvé</v>
      </c>
      <c r="I153" s="6" t="str">
        <f>IFERROR(VLOOKUP(LOG_RESEAU[[#This Row],[Cell_ID]],Registre_Maintenance!A:F,6,FALSE),"Non trouvé")</f>
        <v>Non trouvé</v>
      </c>
      <c r="J153" s="6" t="str">
        <f t="shared" si="6"/>
        <v>Antenne inconnue</v>
      </c>
      <c r="K153" s="6">
        <f t="shared" si="7"/>
        <v>8</v>
      </c>
      <c r="L153" s="6">
        <f t="shared" si="8"/>
        <v>396</v>
      </c>
    </row>
    <row r="154" spans="1:12" ht="15.75" x14ac:dyDescent="0.25">
      <c r="A154" s="6" t="s">
        <v>1006</v>
      </c>
      <c r="B154" s="7">
        <v>45213.237500000003</v>
      </c>
      <c r="C154" s="6">
        <v>79</v>
      </c>
      <c r="D154" s="6" t="s">
        <v>794</v>
      </c>
      <c r="E154" s="8" t="str">
        <f>IFERROR(VLOOKUP(LOG_RESEAU[[#This Row],[Cell_ID]],Registre_Maintenance!A:B,2,FALSE),"Non trouvé")</f>
        <v>Non trouvé</v>
      </c>
      <c r="F154" s="8" t="str">
        <f>IFERROR(VLOOKUP(LOG_RESEAU[[#This Row],[Cell_ID]],Registre_Maintenance!A:C,3,FALSE),"Non trouvé")</f>
        <v>Non trouvé</v>
      </c>
      <c r="G154" s="8" t="str">
        <f>IFERROR(VLOOKUP(LOG_RESEAU[[#This Row],[Cell_ID]],Registre_Maintenance!A:D,4,FALSE),"Non trouvé")</f>
        <v>Non trouvé</v>
      </c>
      <c r="H154" s="6" t="str">
        <f>IFERROR(VLOOKUP(LOG_RESEAU[[#This Row],[Cell_ID]],Registre_Maintenance!A:E,5,FALSE),"Non trouvé")</f>
        <v>Non trouvé</v>
      </c>
      <c r="I154" s="6" t="str">
        <f>IFERROR(VLOOKUP(LOG_RESEAU[[#This Row],[Cell_ID]],Registre_Maintenance!A:F,6,FALSE),"Non trouvé")</f>
        <v>Non trouvé</v>
      </c>
      <c r="J154" s="6" t="str">
        <f t="shared" si="6"/>
        <v>Antenne inconnue</v>
      </c>
      <c r="K154" s="6">
        <f t="shared" si="7"/>
        <v>8</v>
      </c>
      <c r="L154" s="6">
        <f t="shared" si="8"/>
        <v>396</v>
      </c>
    </row>
    <row r="155" spans="1:12" ht="15.75" x14ac:dyDescent="0.25">
      <c r="A155" s="6" t="s">
        <v>1006</v>
      </c>
      <c r="B155" s="7">
        <v>45222.511805555558</v>
      </c>
      <c r="C155" s="6">
        <v>56</v>
      </c>
      <c r="D155" s="6" t="s">
        <v>794</v>
      </c>
      <c r="E155" s="8" t="str">
        <f>IFERROR(VLOOKUP(LOG_RESEAU[[#This Row],[Cell_ID]],Registre_Maintenance!A:B,2,FALSE),"Non trouvé")</f>
        <v>Non trouvé</v>
      </c>
      <c r="F155" s="8" t="str">
        <f>IFERROR(VLOOKUP(LOG_RESEAU[[#This Row],[Cell_ID]],Registre_Maintenance!A:C,3,FALSE),"Non trouvé")</f>
        <v>Non trouvé</v>
      </c>
      <c r="G155" s="8" t="str">
        <f>IFERROR(VLOOKUP(LOG_RESEAU[[#This Row],[Cell_ID]],Registre_Maintenance!A:D,4,FALSE),"Non trouvé")</f>
        <v>Non trouvé</v>
      </c>
      <c r="H155" s="6" t="str">
        <f>IFERROR(VLOOKUP(LOG_RESEAU[[#This Row],[Cell_ID]],Registre_Maintenance!A:E,5,FALSE),"Non trouvé")</f>
        <v>Non trouvé</v>
      </c>
      <c r="I155" s="6" t="str">
        <f>IFERROR(VLOOKUP(LOG_RESEAU[[#This Row],[Cell_ID]],Registre_Maintenance!A:F,6,FALSE),"Non trouvé")</f>
        <v>Non trouvé</v>
      </c>
      <c r="J155" s="6" t="str">
        <f t="shared" si="6"/>
        <v>Antenne inconnue</v>
      </c>
      <c r="K155" s="6">
        <f t="shared" si="7"/>
        <v>8</v>
      </c>
      <c r="L155" s="6">
        <f t="shared" si="8"/>
        <v>396</v>
      </c>
    </row>
    <row r="156" spans="1:12" ht="15.75" x14ac:dyDescent="0.25">
      <c r="A156" s="6" t="s">
        <v>827</v>
      </c>
      <c r="B156" s="7">
        <v>45208.863888888889</v>
      </c>
      <c r="C156" s="6">
        <v>98</v>
      </c>
      <c r="D156" s="6" t="s">
        <v>794</v>
      </c>
      <c r="E156" s="8" t="str">
        <f>IFERROR(VLOOKUP(LOG_RESEAU[[#This Row],[Cell_ID]],Registre_Maintenance!A:B,2,FALSE),"Non trouvé")</f>
        <v>Non trouvé</v>
      </c>
      <c r="F156" s="8" t="str">
        <f>IFERROR(VLOOKUP(LOG_RESEAU[[#This Row],[Cell_ID]],Registre_Maintenance!A:C,3,FALSE),"Non trouvé")</f>
        <v>Non trouvé</v>
      </c>
      <c r="G156" s="8" t="str">
        <f>IFERROR(VLOOKUP(LOG_RESEAU[[#This Row],[Cell_ID]],Registre_Maintenance!A:D,4,FALSE),"Non trouvé")</f>
        <v>Non trouvé</v>
      </c>
      <c r="H156" s="6" t="str">
        <f>IFERROR(VLOOKUP(LOG_RESEAU[[#This Row],[Cell_ID]],Registre_Maintenance!A:E,5,FALSE),"Non trouvé")</f>
        <v>Non trouvé</v>
      </c>
      <c r="I156" s="6" t="str">
        <f>IFERROR(VLOOKUP(LOG_RESEAU[[#This Row],[Cell_ID]],Registre_Maintenance!A:F,6,FALSE),"Non trouvé")</f>
        <v>Non trouvé</v>
      </c>
      <c r="J156" s="6" t="str">
        <f t="shared" si="6"/>
        <v>Antenne inconnue</v>
      </c>
      <c r="K156" s="6">
        <f t="shared" si="7"/>
        <v>3</v>
      </c>
      <c r="L156" s="6">
        <f t="shared" si="8"/>
        <v>146</v>
      </c>
    </row>
    <row r="157" spans="1:12" ht="15.75" x14ac:dyDescent="0.25">
      <c r="A157" s="6" t="s">
        <v>827</v>
      </c>
      <c r="B157" s="7">
        <v>45221.993750000001</v>
      </c>
      <c r="C157" s="6">
        <v>13</v>
      </c>
      <c r="D157" s="6" t="s">
        <v>792</v>
      </c>
      <c r="E157" s="8" t="str">
        <f>IFERROR(VLOOKUP(LOG_RESEAU[[#This Row],[Cell_ID]],Registre_Maintenance!A:B,2,FALSE),"Non trouvé")</f>
        <v>Non trouvé</v>
      </c>
      <c r="F157" s="8" t="str">
        <f>IFERROR(VLOOKUP(LOG_RESEAU[[#This Row],[Cell_ID]],Registre_Maintenance!A:C,3,FALSE),"Non trouvé")</f>
        <v>Non trouvé</v>
      </c>
      <c r="G157" s="8" t="str">
        <f>IFERROR(VLOOKUP(LOG_RESEAU[[#This Row],[Cell_ID]],Registre_Maintenance!A:D,4,FALSE),"Non trouvé")</f>
        <v>Non trouvé</v>
      </c>
      <c r="H157" s="6" t="str">
        <f>IFERROR(VLOOKUP(LOG_RESEAU[[#This Row],[Cell_ID]],Registre_Maintenance!A:E,5,FALSE),"Non trouvé")</f>
        <v>Non trouvé</v>
      </c>
      <c r="I157" s="6" t="str">
        <f>IFERROR(VLOOKUP(LOG_RESEAU[[#This Row],[Cell_ID]],Registre_Maintenance!A:F,6,FALSE),"Non trouvé")</f>
        <v>Non trouvé</v>
      </c>
      <c r="J157" s="6" t="str">
        <f t="shared" si="6"/>
        <v>Antenne inconnue</v>
      </c>
      <c r="K157" s="6">
        <f t="shared" si="7"/>
        <v>3</v>
      </c>
      <c r="L157" s="6">
        <f t="shared" si="8"/>
        <v>146</v>
      </c>
    </row>
    <row r="158" spans="1:12" ht="15.75" x14ac:dyDescent="0.25">
      <c r="A158" s="6" t="s">
        <v>827</v>
      </c>
      <c r="B158" s="7">
        <v>45230.863888888889</v>
      </c>
      <c r="C158" s="6">
        <v>35</v>
      </c>
      <c r="D158" s="6" t="s">
        <v>792</v>
      </c>
      <c r="E158" s="8" t="str">
        <f>IFERROR(VLOOKUP(LOG_RESEAU[[#This Row],[Cell_ID]],Registre_Maintenance!A:B,2,FALSE),"Non trouvé")</f>
        <v>Non trouvé</v>
      </c>
      <c r="F158" s="8" t="str">
        <f>IFERROR(VLOOKUP(LOG_RESEAU[[#This Row],[Cell_ID]],Registre_Maintenance!A:C,3,FALSE),"Non trouvé")</f>
        <v>Non trouvé</v>
      </c>
      <c r="G158" s="8" t="str">
        <f>IFERROR(VLOOKUP(LOG_RESEAU[[#This Row],[Cell_ID]],Registre_Maintenance!A:D,4,FALSE),"Non trouvé")</f>
        <v>Non trouvé</v>
      </c>
      <c r="H158" s="6" t="str">
        <f>IFERROR(VLOOKUP(LOG_RESEAU[[#This Row],[Cell_ID]],Registre_Maintenance!A:E,5,FALSE),"Non trouvé")</f>
        <v>Non trouvé</v>
      </c>
      <c r="I158" s="6" t="str">
        <f>IFERROR(VLOOKUP(LOG_RESEAU[[#This Row],[Cell_ID]],Registre_Maintenance!A:F,6,FALSE),"Non trouvé")</f>
        <v>Non trouvé</v>
      </c>
      <c r="J158" s="6" t="str">
        <f t="shared" si="6"/>
        <v>Antenne inconnue</v>
      </c>
      <c r="K158" s="6">
        <f t="shared" si="7"/>
        <v>3</v>
      </c>
      <c r="L158" s="6">
        <f t="shared" si="8"/>
        <v>146</v>
      </c>
    </row>
    <row r="159" spans="1:12" ht="15.75" x14ac:dyDescent="0.25">
      <c r="A159" s="6" t="s">
        <v>1286</v>
      </c>
      <c r="B159" s="7">
        <v>45222.652777777781</v>
      </c>
      <c r="C159" s="6">
        <v>46</v>
      </c>
      <c r="D159" s="6" t="s">
        <v>792</v>
      </c>
      <c r="E159" s="8" t="str">
        <f>IFERROR(VLOOKUP(LOG_RESEAU[[#This Row],[Cell_ID]],Registre_Maintenance!A:B,2,FALSE),"Non trouvé")</f>
        <v>Lomami</v>
      </c>
      <c r="F159" s="8">
        <f>IFERROR(VLOOKUP(LOG_RESEAU[[#This Row],[Cell_ID]],Registre_Maintenance!A:C,3,FALSE),"Non trouvé")</f>
        <v>-11.266565999999999</v>
      </c>
      <c r="G159" s="8">
        <f>IFERROR(VLOOKUP(LOG_RESEAU[[#This Row],[Cell_ID]],Registre_Maintenance!A:D,4,FALSE),"Non trouvé")</f>
        <v>26.245055000000001</v>
      </c>
      <c r="H159" s="6" t="str">
        <f>IFERROR(VLOOKUP(LOG_RESEAU[[#This Row],[Cell_ID]],Registre_Maintenance!A:E,5,FALSE),"Non trouvé")</f>
        <v>3G</v>
      </c>
      <c r="I159" s="6" t="str">
        <f>IFERROR(VLOOKUP(LOG_RESEAU[[#This Row],[Cell_ID]],Registre_Maintenance!A:F,6,FALSE),"Non trouvé")</f>
        <v>Ericsson</v>
      </c>
      <c r="J159" s="6" t="str">
        <f t="shared" si="6"/>
        <v>OK</v>
      </c>
      <c r="K159" s="6">
        <f t="shared" si="7"/>
        <v>1</v>
      </c>
      <c r="L159" s="6">
        <f t="shared" si="8"/>
        <v>46</v>
      </c>
    </row>
    <row r="160" spans="1:12" ht="15.75" x14ac:dyDescent="0.25">
      <c r="A160" s="6" t="s">
        <v>832</v>
      </c>
      <c r="B160" s="7">
        <v>45202.290277777778</v>
      </c>
      <c r="C160" s="6">
        <v>110</v>
      </c>
      <c r="D160" s="6" t="s">
        <v>794</v>
      </c>
      <c r="E160" s="8" t="str">
        <f>IFERROR(VLOOKUP(LOG_RESEAU[[#This Row],[Cell_ID]],Registre_Maintenance!A:B,2,FALSE),"Non trouvé")</f>
        <v>Non trouvé</v>
      </c>
      <c r="F160" s="8" t="str">
        <f>IFERROR(VLOOKUP(LOG_RESEAU[[#This Row],[Cell_ID]],Registre_Maintenance!A:C,3,FALSE),"Non trouvé")</f>
        <v>Non trouvé</v>
      </c>
      <c r="G160" s="8" t="str">
        <f>IFERROR(VLOOKUP(LOG_RESEAU[[#This Row],[Cell_ID]],Registre_Maintenance!A:D,4,FALSE),"Non trouvé")</f>
        <v>Non trouvé</v>
      </c>
      <c r="H160" s="6" t="str">
        <f>IFERROR(VLOOKUP(LOG_RESEAU[[#This Row],[Cell_ID]],Registre_Maintenance!A:E,5,FALSE),"Non trouvé")</f>
        <v>Non trouvé</v>
      </c>
      <c r="I160" s="6" t="str">
        <f>IFERROR(VLOOKUP(LOG_RESEAU[[#This Row],[Cell_ID]],Registre_Maintenance!A:F,6,FALSE),"Non trouvé")</f>
        <v>Non trouvé</v>
      </c>
      <c r="J160" s="6" t="str">
        <f t="shared" si="6"/>
        <v>Antenne inconnue</v>
      </c>
      <c r="K160" s="6">
        <f t="shared" si="7"/>
        <v>2</v>
      </c>
      <c r="L160" s="6">
        <f t="shared" si="8"/>
        <v>199</v>
      </c>
    </row>
    <row r="161" spans="1:12" ht="15.75" x14ac:dyDescent="0.25">
      <c r="A161" s="6" t="s">
        <v>832</v>
      </c>
      <c r="B161" s="7">
        <v>45214.752083333333</v>
      </c>
      <c r="C161" s="6">
        <v>89</v>
      </c>
      <c r="D161" s="6" t="s">
        <v>800</v>
      </c>
      <c r="E161" s="8" t="str">
        <f>IFERROR(VLOOKUP(LOG_RESEAU[[#This Row],[Cell_ID]],Registre_Maintenance!A:B,2,FALSE),"Non trouvé")</f>
        <v>Non trouvé</v>
      </c>
      <c r="F161" s="8" t="str">
        <f>IFERROR(VLOOKUP(LOG_RESEAU[[#This Row],[Cell_ID]],Registre_Maintenance!A:C,3,FALSE),"Non trouvé")</f>
        <v>Non trouvé</v>
      </c>
      <c r="G161" s="8" t="str">
        <f>IFERROR(VLOOKUP(LOG_RESEAU[[#This Row],[Cell_ID]],Registre_Maintenance!A:D,4,FALSE),"Non trouvé")</f>
        <v>Non trouvé</v>
      </c>
      <c r="H161" s="6" t="str">
        <f>IFERROR(VLOOKUP(LOG_RESEAU[[#This Row],[Cell_ID]],Registre_Maintenance!A:E,5,FALSE),"Non trouvé")</f>
        <v>Non trouvé</v>
      </c>
      <c r="I161" s="6" t="str">
        <f>IFERROR(VLOOKUP(LOG_RESEAU[[#This Row],[Cell_ID]],Registre_Maintenance!A:F,6,FALSE),"Non trouvé")</f>
        <v>Non trouvé</v>
      </c>
      <c r="J161" s="6" t="str">
        <f t="shared" si="6"/>
        <v>Antenne inconnue</v>
      </c>
      <c r="K161" s="6">
        <f t="shared" si="7"/>
        <v>2</v>
      </c>
      <c r="L161" s="6">
        <f t="shared" si="8"/>
        <v>199</v>
      </c>
    </row>
    <row r="162" spans="1:12" ht="15.75" x14ac:dyDescent="0.25">
      <c r="A162" s="6" t="s">
        <v>988</v>
      </c>
      <c r="B162" s="7">
        <v>45229.813888888893</v>
      </c>
      <c r="C162" s="6">
        <v>67</v>
      </c>
      <c r="D162" s="6" t="s">
        <v>800</v>
      </c>
      <c r="E162" s="8" t="str">
        <f>IFERROR(VLOOKUP(LOG_RESEAU[[#This Row],[Cell_ID]],Registre_Maintenance!A:B,2,FALSE),"Non trouvé")</f>
        <v>Non trouvé</v>
      </c>
      <c r="F162" s="8" t="str">
        <f>IFERROR(VLOOKUP(LOG_RESEAU[[#This Row],[Cell_ID]],Registre_Maintenance!A:C,3,FALSE),"Non trouvé")</f>
        <v>Non trouvé</v>
      </c>
      <c r="G162" s="8" t="str">
        <f>IFERROR(VLOOKUP(LOG_RESEAU[[#This Row],[Cell_ID]],Registre_Maintenance!A:D,4,FALSE),"Non trouvé")</f>
        <v>Non trouvé</v>
      </c>
      <c r="H162" s="6" t="str">
        <f>IFERROR(VLOOKUP(LOG_RESEAU[[#This Row],[Cell_ID]],Registre_Maintenance!A:E,5,FALSE),"Non trouvé")</f>
        <v>Non trouvé</v>
      </c>
      <c r="I162" s="6" t="str">
        <f>IFERROR(VLOOKUP(LOG_RESEAU[[#This Row],[Cell_ID]],Registre_Maintenance!A:F,6,FALSE),"Non trouvé")</f>
        <v>Non trouvé</v>
      </c>
      <c r="J162" s="6" t="str">
        <f t="shared" si="6"/>
        <v>Antenne inconnue</v>
      </c>
      <c r="K162" s="6">
        <f t="shared" si="7"/>
        <v>2</v>
      </c>
      <c r="L162" s="6">
        <f t="shared" si="8"/>
        <v>82</v>
      </c>
    </row>
    <row r="163" spans="1:12" ht="15.75" x14ac:dyDescent="0.25">
      <c r="A163" s="6" t="s">
        <v>988</v>
      </c>
      <c r="B163" s="7">
        <v>45225.415277777778</v>
      </c>
      <c r="C163" s="6">
        <v>15</v>
      </c>
      <c r="D163" s="6" t="s">
        <v>794</v>
      </c>
      <c r="E163" s="8" t="str">
        <f>IFERROR(VLOOKUP(LOG_RESEAU[[#This Row],[Cell_ID]],Registre_Maintenance!A:B,2,FALSE),"Non trouvé")</f>
        <v>Non trouvé</v>
      </c>
      <c r="F163" s="8" t="str">
        <f>IFERROR(VLOOKUP(LOG_RESEAU[[#This Row],[Cell_ID]],Registre_Maintenance!A:C,3,FALSE),"Non trouvé")</f>
        <v>Non trouvé</v>
      </c>
      <c r="G163" s="8" t="str">
        <f>IFERROR(VLOOKUP(LOG_RESEAU[[#This Row],[Cell_ID]],Registre_Maintenance!A:D,4,FALSE),"Non trouvé")</f>
        <v>Non trouvé</v>
      </c>
      <c r="H163" s="6" t="str">
        <f>IFERROR(VLOOKUP(LOG_RESEAU[[#This Row],[Cell_ID]],Registre_Maintenance!A:E,5,FALSE),"Non trouvé")</f>
        <v>Non trouvé</v>
      </c>
      <c r="I163" s="6" t="str">
        <f>IFERROR(VLOOKUP(LOG_RESEAU[[#This Row],[Cell_ID]],Registre_Maintenance!A:F,6,FALSE),"Non trouvé")</f>
        <v>Non trouvé</v>
      </c>
      <c r="J163" s="6" t="str">
        <f t="shared" si="6"/>
        <v>Antenne inconnue</v>
      </c>
      <c r="K163" s="6">
        <f t="shared" si="7"/>
        <v>2</v>
      </c>
      <c r="L163" s="6">
        <f t="shared" si="8"/>
        <v>82</v>
      </c>
    </row>
    <row r="164" spans="1:12" ht="15.75" x14ac:dyDescent="0.25">
      <c r="A164" s="6" t="s">
        <v>814</v>
      </c>
      <c r="B164" s="7">
        <v>45214.713194444441</v>
      </c>
      <c r="C164" s="6">
        <v>60</v>
      </c>
      <c r="D164" s="6" t="s">
        <v>800</v>
      </c>
      <c r="E164" s="8" t="str">
        <f>IFERROR(VLOOKUP(LOG_RESEAU[[#This Row],[Cell_ID]],Registre_Maintenance!A:B,2,FALSE),"Non trouvé")</f>
        <v>Haut-Lomami</v>
      </c>
      <c r="F164" s="8">
        <f>IFERROR(VLOOKUP(LOG_RESEAU[[#This Row],[Cell_ID]],Registre_Maintenance!A:C,3,FALSE),"Non trouvé")</f>
        <v>-6.3324319999999998</v>
      </c>
      <c r="G164" s="8">
        <f>IFERROR(VLOOKUP(LOG_RESEAU[[#This Row],[Cell_ID]],Registre_Maintenance!A:D,4,FALSE),"Non trouvé")</f>
        <v>24.887858000000001</v>
      </c>
      <c r="H164" s="6" t="str">
        <f>IFERROR(VLOOKUP(LOG_RESEAU[[#This Row],[Cell_ID]],Registre_Maintenance!A:E,5,FALSE),"Non trouvé")</f>
        <v>4G</v>
      </c>
      <c r="I164" s="6" t="str">
        <f>IFERROR(VLOOKUP(LOG_RESEAU[[#This Row],[Cell_ID]],Registre_Maintenance!A:F,6,FALSE),"Non trouvé")</f>
        <v>ZTE</v>
      </c>
      <c r="J164" s="6" t="str">
        <f t="shared" si="6"/>
        <v>OK</v>
      </c>
      <c r="K164" s="6">
        <f t="shared" si="7"/>
        <v>8</v>
      </c>
      <c r="L164" s="6">
        <f t="shared" si="8"/>
        <v>447</v>
      </c>
    </row>
    <row r="165" spans="1:12" ht="15.75" x14ac:dyDescent="0.25">
      <c r="A165" s="6" t="s">
        <v>814</v>
      </c>
      <c r="B165" s="7">
        <v>45219.840277777781</v>
      </c>
      <c r="C165" s="6">
        <v>39</v>
      </c>
      <c r="D165" s="6" t="s">
        <v>794</v>
      </c>
      <c r="E165" s="8" t="str">
        <f>IFERROR(VLOOKUP(LOG_RESEAU[[#This Row],[Cell_ID]],Registre_Maintenance!A:B,2,FALSE),"Non trouvé")</f>
        <v>Haut-Lomami</v>
      </c>
      <c r="F165" s="8">
        <f>IFERROR(VLOOKUP(LOG_RESEAU[[#This Row],[Cell_ID]],Registre_Maintenance!A:C,3,FALSE),"Non trouvé")</f>
        <v>-6.3324319999999998</v>
      </c>
      <c r="G165" s="8">
        <f>IFERROR(VLOOKUP(LOG_RESEAU[[#This Row],[Cell_ID]],Registre_Maintenance!A:D,4,FALSE),"Non trouvé")</f>
        <v>24.887858000000001</v>
      </c>
      <c r="H165" s="6" t="str">
        <f>IFERROR(VLOOKUP(LOG_RESEAU[[#This Row],[Cell_ID]],Registre_Maintenance!A:E,5,FALSE),"Non trouvé")</f>
        <v>4G</v>
      </c>
      <c r="I165" s="6" t="str">
        <f>IFERROR(VLOOKUP(LOG_RESEAU[[#This Row],[Cell_ID]],Registre_Maintenance!A:F,6,FALSE),"Non trouvé")</f>
        <v>ZTE</v>
      </c>
      <c r="J165" s="6" t="str">
        <f t="shared" si="6"/>
        <v>OK</v>
      </c>
      <c r="K165" s="6">
        <f t="shared" si="7"/>
        <v>8</v>
      </c>
      <c r="L165" s="6">
        <f t="shared" si="8"/>
        <v>447</v>
      </c>
    </row>
    <row r="166" spans="1:12" ht="15.75" x14ac:dyDescent="0.25">
      <c r="A166" s="6" t="s">
        <v>814</v>
      </c>
      <c r="B166" s="7">
        <v>45202.307638888888</v>
      </c>
      <c r="C166" s="6">
        <v>95</v>
      </c>
      <c r="D166" s="6" t="s">
        <v>792</v>
      </c>
      <c r="E166" s="8" t="str">
        <f>IFERROR(VLOOKUP(LOG_RESEAU[[#This Row],[Cell_ID]],Registre_Maintenance!A:B,2,FALSE),"Non trouvé")</f>
        <v>Haut-Lomami</v>
      </c>
      <c r="F166" s="8">
        <f>IFERROR(VLOOKUP(LOG_RESEAU[[#This Row],[Cell_ID]],Registre_Maintenance!A:C,3,FALSE),"Non trouvé")</f>
        <v>-6.3324319999999998</v>
      </c>
      <c r="G166" s="8">
        <f>IFERROR(VLOOKUP(LOG_RESEAU[[#This Row],[Cell_ID]],Registre_Maintenance!A:D,4,FALSE),"Non trouvé")</f>
        <v>24.887858000000001</v>
      </c>
      <c r="H166" s="6" t="str">
        <f>IFERROR(VLOOKUP(LOG_RESEAU[[#This Row],[Cell_ID]],Registre_Maintenance!A:E,5,FALSE),"Non trouvé")</f>
        <v>4G</v>
      </c>
      <c r="I166" s="6" t="str">
        <f>IFERROR(VLOOKUP(LOG_RESEAU[[#This Row],[Cell_ID]],Registre_Maintenance!A:F,6,FALSE),"Non trouvé")</f>
        <v>ZTE</v>
      </c>
      <c r="J166" s="6" t="str">
        <f t="shared" si="6"/>
        <v>OK</v>
      </c>
      <c r="K166" s="6">
        <f t="shared" si="7"/>
        <v>8</v>
      </c>
      <c r="L166" s="6">
        <f t="shared" si="8"/>
        <v>447</v>
      </c>
    </row>
    <row r="167" spans="1:12" ht="15.75" x14ac:dyDescent="0.25">
      <c r="A167" s="6" t="s">
        <v>814</v>
      </c>
      <c r="B167" s="7">
        <v>45227.383333333331</v>
      </c>
      <c r="C167" s="6">
        <v>57</v>
      </c>
      <c r="D167" s="6" t="s">
        <v>792</v>
      </c>
      <c r="E167" s="8" t="str">
        <f>IFERROR(VLOOKUP(LOG_RESEAU[[#This Row],[Cell_ID]],Registre_Maintenance!A:B,2,FALSE),"Non trouvé")</f>
        <v>Haut-Lomami</v>
      </c>
      <c r="F167" s="8">
        <f>IFERROR(VLOOKUP(LOG_RESEAU[[#This Row],[Cell_ID]],Registre_Maintenance!A:C,3,FALSE),"Non trouvé")</f>
        <v>-6.3324319999999998</v>
      </c>
      <c r="G167" s="8">
        <f>IFERROR(VLOOKUP(LOG_RESEAU[[#This Row],[Cell_ID]],Registre_Maintenance!A:D,4,FALSE),"Non trouvé")</f>
        <v>24.887858000000001</v>
      </c>
      <c r="H167" s="6" t="str">
        <f>IFERROR(VLOOKUP(LOG_RESEAU[[#This Row],[Cell_ID]],Registre_Maintenance!A:E,5,FALSE),"Non trouvé")</f>
        <v>4G</v>
      </c>
      <c r="I167" s="6" t="str">
        <f>IFERROR(VLOOKUP(LOG_RESEAU[[#This Row],[Cell_ID]],Registre_Maintenance!A:F,6,FALSE),"Non trouvé")</f>
        <v>ZTE</v>
      </c>
      <c r="J167" s="6" t="str">
        <f t="shared" si="6"/>
        <v>OK</v>
      </c>
      <c r="K167" s="6">
        <f t="shared" si="7"/>
        <v>8</v>
      </c>
      <c r="L167" s="6">
        <f t="shared" si="8"/>
        <v>447</v>
      </c>
    </row>
    <row r="168" spans="1:12" ht="15.75" x14ac:dyDescent="0.25">
      <c r="A168" s="6" t="s">
        <v>814</v>
      </c>
      <c r="B168" s="7">
        <v>45220.277083333327</v>
      </c>
      <c r="C168" s="6">
        <v>31</v>
      </c>
      <c r="D168" s="6" t="s">
        <v>794</v>
      </c>
      <c r="E168" s="8" t="str">
        <f>IFERROR(VLOOKUP(LOG_RESEAU[[#This Row],[Cell_ID]],Registre_Maintenance!A:B,2,FALSE),"Non trouvé")</f>
        <v>Haut-Lomami</v>
      </c>
      <c r="F168" s="8">
        <f>IFERROR(VLOOKUP(LOG_RESEAU[[#This Row],[Cell_ID]],Registre_Maintenance!A:C,3,FALSE),"Non trouvé")</f>
        <v>-6.3324319999999998</v>
      </c>
      <c r="G168" s="8">
        <f>IFERROR(VLOOKUP(LOG_RESEAU[[#This Row],[Cell_ID]],Registre_Maintenance!A:D,4,FALSE),"Non trouvé")</f>
        <v>24.887858000000001</v>
      </c>
      <c r="H168" s="6" t="str">
        <f>IFERROR(VLOOKUP(LOG_RESEAU[[#This Row],[Cell_ID]],Registre_Maintenance!A:E,5,FALSE),"Non trouvé")</f>
        <v>4G</v>
      </c>
      <c r="I168" s="6" t="str">
        <f>IFERROR(VLOOKUP(LOG_RESEAU[[#This Row],[Cell_ID]],Registre_Maintenance!A:F,6,FALSE),"Non trouvé")</f>
        <v>ZTE</v>
      </c>
      <c r="J168" s="6" t="str">
        <f t="shared" si="6"/>
        <v>OK</v>
      </c>
      <c r="K168" s="6">
        <f t="shared" si="7"/>
        <v>8</v>
      </c>
      <c r="L168" s="6">
        <f t="shared" si="8"/>
        <v>447</v>
      </c>
    </row>
    <row r="169" spans="1:12" ht="15.75" x14ac:dyDescent="0.25">
      <c r="A169" s="6" t="s">
        <v>814</v>
      </c>
      <c r="B169" s="7">
        <v>45202.779166666667</v>
      </c>
      <c r="C169" s="6">
        <v>51</v>
      </c>
      <c r="D169" s="6" t="s">
        <v>794</v>
      </c>
      <c r="E169" s="8" t="str">
        <f>IFERROR(VLOOKUP(LOG_RESEAU[[#This Row],[Cell_ID]],Registre_Maintenance!A:B,2,FALSE),"Non trouvé")</f>
        <v>Haut-Lomami</v>
      </c>
      <c r="F169" s="8">
        <f>IFERROR(VLOOKUP(LOG_RESEAU[[#This Row],[Cell_ID]],Registre_Maintenance!A:C,3,FALSE),"Non trouvé")</f>
        <v>-6.3324319999999998</v>
      </c>
      <c r="G169" s="8">
        <f>IFERROR(VLOOKUP(LOG_RESEAU[[#This Row],[Cell_ID]],Registre_Maintenance!A:D,4,FALSE),"Non trouvé")</f>
        <v>24.887858000000001</v>
      </c>
      <c r="H169" s="6" t="str">
        <f>IFERROR(VLOOKUP(LOG_RESEAU[[#This Row],[Cell_ID]],Registre_Maintenance!A:E,5,FALSE),"Non trouvé")</f>
        <v>4G</v>
      </c>
      <c r="I169" s="6" t="str">
        <f>IFERROR(VLOOKUP(LOG_RESEAU[[#This Row],[Cell_ID]],Registre_Maintenance!A:F,6,FALSE),"Non trouvé")</f>
        <v>ZTE</v>
      </c>
      <c r="J169" s="6" t="str">
        <f t="shared" si="6"/>
        <v>OK</v>
      </c>
      <c r="K169" s="6">
        <f t="shared" si="7"/>
        <v>8</v>
      </c>
      <c r="L169" s="6">
        <f t="shared" si="8"/>
        <v>447</v>
      </c>
    </row>
    <row r="170" spans="1:12" ht="15.75" x14ac:dyDescent="0.25">
      <c r="A170" s="6" t="s">
        <v>814</v>
      </c>
      <c r="B170" s="7">
        <v>45206.797222222223</v>
      </c>
      <c r="C170" s="6">
        <v>107</v>
      </c>
      <c r="D170" s="6" t="s">
        <v>800</v>
      </c>
      <c r="E170" s="8" t="str">
        <f>IFERROR(VLOOKUP(LOG_RESEAU[[#This Row],[Cell_ID]],Registre_Maintenance!A:B,2,FALSE),"Non trouvé")</f>
        <v>Haut-Lomami</v>
      </c>
      <c r="F170" s="8">
        <f>IFERROR(VLOOKUP(LOG_RESEAU[[#This Row],[Cell_ID]],Registre_Maintenance!A:C,3,FALSE),"Non trouvé")</f>
        <v>-6.3324319999999998</v>
      </c>
      <c r="G170" s="8">
        <f>IFERROR(VLOOKUP(LOG_RESEAU[[#This Row],[Cell_ID]],Registre_Maintenance!A:D,4,FALSE),"Non trouvé")</f>
        <v>24.887858000000001</v>
      </c>
      <c r="H170" s="6" t="str">
        <f>IFERROR(VLOOKUP(LOG_RESEAU[[#This Row],[Cell_ID]],Registre_Maintenance!A:E,5,FALSE),"Non trouvé")</f>
        <v>4G</v>
      </c>
      <c r="I170" s="6" t="str">
        <f>IFERROR(VLOOKUP(LOG_RESEAU[[#This Row],[Cell_ID]],Registre_Maintenance!A:F,6,FALSE),"Non trouvé")</f>
        <v>ZTE</v>
      </c>
      <c r="J170" s="6" t="str">
        <f t="shared" si="6"/>
        <v>OK</v>
      </c>
      <c r="K170" s="6">
        <f t="shared" si="7"/>
        <v>8</v>
      </c>
      <c r="L170" s="6">
        <f t="shared" si="8"/>
        <v>447</v>
      </c>
    </row>
    <row r="171" spans="1:12" ht="15.75" x14ac:dyDescent="0.25">
      <c r="A171" s="6" t="s">
        <v>814</v>
      </c>
      <c r="B171" s="7">
        <v>45208.443749999999</v>
      </c>
      <c r="C171" s="6">
        <v>7</v>
      </c>
      <c r="D171" s="6" t="s">
        <v>792</v>
      </c>
      <c r="E171" s="8" t="str">
        <f>IFERROR(VLOOKUP(LOG_RESEAU[[#This Row],[Cell_ID]],Registre_Maintenance!A:B,2,FALSE),"Non trouvé")</f>
        <v>Haut-Lomami</v>
      </c>
      <c r="F171" s="8">
        <f>IFERROR(VLOOKUP(LOG_RESEAU[[#This Row],[Cell_ID]],Registre_Maintenance!A:C,3,FALSE),"Non trouvé")</f>
        <v>-6.3324319999999998</v>
      </c>
      <c r="G171" s="8">
        <f>IFERROR(VLOOKUP(LOG_RESEAU[[#This Row],[Cell_ID]],Registre_Maintenance!A:D,4,FALSE),"Non trouvé")</f>
        <v>24.887858000000001</v>
      </c>
      <c r="H171" s="6" t="str">
        <f>IFERROR(VLOOKUP(LOG_RESEAU[[#This Row],[Cell_ID]],Registre_Maintenance!A:E,5,FALSE),"Non trouvé")</f>
        <v>4G</v>
      </c>
      <c r="I171" s="6" t="str">
        <f>IFERROR(VLOOKUP(LOG_RESEAU[[#This Row],[Cell_ID]],Registre_Maintenance!A:F,6,FALSE),"Non trouvé")</f>
        <v>ZTE</v>
      </c>
      <c r="J171" s="6" t="str">
        <f t="shared" si="6"/>
        <v>OK</v>
      </c>
      <c r="K171" s="6">
        <f t="shared" si="7"/>
        <v>8</v>
      </c>
      <c r="L171" s="6">
        <f t="shared" si="8"/>
        <v>447</v>
      </c>
    </row>
    <row r="172" spans="1:12" ht="15.75" x14ac:dyDescent="0.25">
      <c r="A172" s="6" t="s">
        <v>866</v>
      </c>
      <c r="B172" s="7">
        <v>45218.718055555553</v>
      </c>
      <c r="C172" s="6">
        <v>87</v>
      </c>
      <c r="D172" s="6" t="s">
        <v>794</v>
      </c>
      <c r="E172" s="8" t="str">
        <f>IFERROR(VLOOKUP(LOG_RESEAU[[#This Row],[Cell_ID]],Registre_Maintenance!A:B,2,FALSE),"Non trouvé")</f>
        <v>Non trouvé</v>
      </c>
      <c r="F172" s="8" t="str">
        <f>IFERROR(VLOOKUP(LOG_RESEAU[[#This Row],[Cell_ID]],Registre_Maintenance!A:C,3,FALSE),"Non trouvé")</f>
        <v>Non trouvé</v>
      </c>
      <c r="G172" s="8" t="str">
        <f>IFERROR(VLOOKUP(LOG_RESEAU[[#This Row],[Cell_ID]],Registre_Maintenance!A:D,4,FALSE),"Non trouvé")</f>
        <v>Non trouvé</v>
      </c>
      <c r="H172" s="6" t="str">
        <f>IFERROR(VLOOKUP(LOG_RESEAU[[#This Row],[Cell_ID]],Registre_Maintenance!A:E,5,FALSE),"Non trouvé")</f>
        <v>Non trouvé</v>
      </c>
      <c r="I172" s="6" t="str">
        <f>IFERROR(VLOOKUP(LOG_RESEAU[[#This Row],[Cell_ID]],Registre_Maintenance!A:F,6,FALSE),"Non trouvé")</f>
        <v>Non trouvé</v>
      </c>
      <c r="J172" s="6" t="str">
        <f t="shared" si="6"/>
        <v>Antenne inconnue</v>
      </c>
      <c r="K172" s="6">
        <f t="shared" si="7"/>
        <v>10</v>
      </c>
      <c r="L172" s="6">
        <f t="shared" si="8"/>
        <v>738</v>
      </c>
    </row>
    <row r="173" spans="1:12" ht="15.75" x14ac:dyDescent="0.25">
      <c r="A173" s="6" t="s">
        <v>866</v>
      </c>
      <c r="B173" s="7">
        <v>45220.367361111108</v>
      </c>
      <c r="C173" s="6">
        <v>97</v>
      </c>
      <c r="D173" s="6" t="s">
        <v>800</v>
      </c>
      <c r="E173" s="8" t="str">
        <f>IFERROR(VLOOKUP(LOG_RESEAU[[#This Row],[Cell_ID]],Registre_Maintenance!A:B,2,FALSE),"Non trouvé")</f>
        <v>Non trouvé</v>
      </c>
      <c r="F173" s="8" t="str">
        <f>IFERROR(VLOOKUP(LOG_RESEAU[[#This Row],[Cell_ID]],Registre_Maintenance!A:C,3,FALSE),"Non trouvé")</f>
        <v>Non trouvé</v>
      </c>
      <c r="G173" s="8" t="str">
        <f>IFERROR(VLOOKUP(LOG_RESEAU[[#This Row],[Cell_ID]],Registre_Maintenance!A:D,4,FALSE),"Non trouvé")</f>
        <v>Non trouvé</v>
      </c>
      <c r="H173" s="6" t="str">
        <f>IFERROR(VLOOKUP(LOG_RESEAU[[#This Row],[Cell_ID]],Registre_Maintenance!A:E,5,FALSE),"Non trouvé")</f>
        <v>Non trouvé</v>
      </c>
      <c r="I173" s="6" t="str">
        <f>IFERROR(VLOOKUP(LOG_RESEAU[[#This Row],[Cell_ID]],Registre_Maintenance!A:F,6,FALSE),"Non trouvé")</f>
        <v>Non trouvé</v>
      </c>
      <c r="J173" s="6" t="str">
        <f t="shared" si="6"/>
        <v>Antenne inconnue</v>
      </c>
      <c r="K173" s="6">
        <f t="shared" si="7"/>
        <v>10</v>
      </c>
      <c r="L173" s="6">
        <f t="shared" si="8"/>
        <v>738</v>
      </c>
    </row>
    <row r="174" spans="1:12" ht="15.75" x14ac:dyDescent="0.25">
      <c r="A174" s="6" t="s">
        <v>866</v>
      </c>
      <c r="B174" s="7">
        <v>45209.537499999999</v>
      </c>
      <c r="C174" s="6">
        <v>88</v>
      </c>
      <c r="D174" s="6" t="s">
        <v>794</v>
      </c>
      <c r="E174" s="8" t="str">
        <f>IFERROR(VLOOKUP(LOG_RESEAU[[#This Row],[Cell_ID]],Registre_Maintenance!A:B,2,FALSE),"Non trouvé")</f>
        <v>Non trouvé</v>
      </c>
      <c r="F174" s="8" t="str">
        <f>IFERROR(VLOOKUP(LOG_RESEAU[[#This Row],[Cell_ID]],Registre_Maintenance!A:C,3,FALSE),"Non trouvé")</f>
        <v>Non trouvé</v>
      </c>
      <c r="G174" s="8" t="str">
        <f>IFERROR(VLOOKUP(LOG_RESEAU[[#This Row],[Cell_ID]],Registre_Maintenance!A:D,4,FALSE),"Non trouvé")</f>
        <v>Non trouvé</v>
      </c>
      <c r="H174" s="6" t="str">
        <f>IFERROR(VLOOKUP(LOG_RESEAU[[#This Row],[Cell_ID]],Registre_Maintenance!A:E,5,FALSE),"Non trouvé")</f>
        <v>Non trouvé</v>
      </c>
      <c r="I174" s="6" t="str">
        <f>IFERROR(VLOOKUP(LOG_RESEAU[[#This Row],[Cell_ID]],Registre_Maintenance!A:F,6,FALSE),"Non trouvé")</f>
        <v>Non trouvé</v>
      </c>
      <c r="J174" s="6" t="str">
        <f t="shared" si="6"/>
        <v>Antenne inconnue</v>
      </c>
      <c r="K174" s="6">
        <f t="shared" si="7"/>
        <v>10</v>
      </c>
      <c r="L174" s="6">
        <f t="shared" si="8"/>
        <v>738</v>
      </c>
    </row>
    <row r="175" spans="1:12" ht="15.75" x14ac:dyDescent="0.25">
      <c r="A175" s="6" t="s">
        <v>866</v>
      </c>
      <c r="B175" s="7">
        <v>45214.943055555559</v>
      </c>
      <c r="C175" s="6">
        <v>76</v>
      </c>
      <c r="D175" s="6" t="s">
        <v>792</v>
      </c>
      <c r="E175" s="8" t="str">
        <f>IFERROR(VLOOKUP(LOG_RESEAU[[#This Row],[Cell_ID]],Registre_Maintenance!A:B,2,FALSE),"Non trouvé")</f>
        <v>Non trouvé</v>
      </c>
      <c r="F175" s="8" t="str">
        <f>IFERROR(VLOOKUP(LOG_RESEAU[[#This Row],[Cell_ID]],Registre_Maintenance!A:C,3,FALSE),"Non trouvé")</f>
        <v>Non trouvé</v>
      </c>
      <c r="G175" s="8" t="str">
        <f>IFERROR(VLOOKUP(LOG_RESEAU[[#This Row],[Cell_ID]],Registre_Maintenance!A:D,4,FALSE),"Non trouvé")</f>
        <v>Non trouvé</v>
      </c>
      <c r="H175" s="6" t="str">
        <f>IFERROR(VLOOKUP(LOG_RESEAU[[#This Row],[Cell_ID]],Registre_Maintenance!A:E,5,FALSE),"Non trouvé")</f>
        <v>Non trouvé</v>
      </c>
      <c r="I175" s="6" t="str">
        <f>IFERROR(VLOOKUP(LOG_RESEAU[[#This Row],[Cell_ID]],Registre_Maintenance!A:F,6,FALSE),"Non trouvé")</f>
        <v>Non trouvé</v>
      </c>
      <c r="J175" s="6" t="str">
        <f t="shared" si="6"/>
        <v>Antenne inconnue</v>
      </c>
      <c r="K175" s="6">
        <f t="shared" si="7"/>
        <v>10</v>
      </c>
      <c r="L175" s="6">
        <f t="shared" si="8"/>
        <v>738</v>
      </c>
    </row>
    <row r="176" spans="1:12" ht="15.75" x14ac:dyDescent="0.25">
      <c r="A176" s="6" t="s">
        <v>866</v>
      </c>
      <c r="B176" s="7">
        <v>45202.319444444453</v>
      </c>
      <c r="C176" s="6">
        <v>26</v>
      </c>
      <c r="D176" s="6" t="s">
        <v>792</v>
      </c>
      <c r="E176" s="8" t="str">
        <f>IFERROR(VLOOKUP(LOG_RESEAU[[#This Row],[Cell_ID]],Registre_Maintenance!A:B,2,FALSE),"Non trouvé")</f>
        <v>Non trouvé</v>
      </c>
      <c r="F176" s="8" t="str">
        <f>IFERROR(VLOOKUP(LOG_RESEAU[[#This Row],[Cell_ID]],Registre_Maintenance!A:C,3,FALSE),"Non trouvé")</f>
        <v>Non trouvé</v>
      </c>
      <c r="G176" s="8" t="str">
        <f>IFERROR(VLOOKUP(LOG_RESEAU[[#This Row],[Cell_ID]],Registre_Maintenance!A:D,4,FALSE),"Non trouvé")</f>
        <v>Non trouvé</v>
      </c>
      <c r="H176" s="6" t="str">
        <f>IFERROR(VLOOKUP(LOG_RESEAU[[#This Row],[Cell_ID]],Registre_Maintenance!A:E,5,FALSE),"Non trouvé")</f>
        <v>Non trouvé</v>
      </c>
      <c r="I176" s="6" t="str">
        <f>IFERROR(VLOOKUP(LOG_RESEAU[[#This Row],[Cell_ID]],Registre_Maintenance!A:F,6,FALSE),"Non trouvé")</f>
        <v>Non trouvé</v>
      </c>
      <c r="J176" s="6" t="str">
        <f t="shared" si="6"/>
        <v>Antenne inconnue</v>
      </c>
      <c r="K176" s="6">
        <f t="shared" si="7"/>
        <v>10</v>
      </c>
      <c r="L176" s="6">
        <f t="shared" si="8"/>
        <v>738</v>
      </c>
    </row>
    <row r="177" spans="1:12" ht="15.75" x14ac:dyDescent="0.25">
      <c r="A177" s="6" t="s">
        <v>866</v>
      </c>
      <c r="B177" s="7">
        <v>45213.334722222222</v>
      </c>
      <c r="C177" s="6">
        <v>97</v>
      </c>
      <c r="D177" s="6" t="s">
        <v>792</v>
      </c>
      <c r="E177" s="8" t="str">
        <f>IFERROR(VLOOKUP(LOG_RESEAU[[#This Row],[Cell_ID]],Registre_Maintenance!A:B,2,FALSE),"Non trouvé")</f>
        <v>Non trouvé</v>
      </c>
      <c r="F177" s="8" t="str">
        <f>IFERROR(VLOOKUP(LOG_RESEAU[[#This Row],[Cell_ID]],Registre_Maintenance!A:C,3,FALSE),"Non trouvé")</f>
        <v>Non trouvé</v>
      </c>
      <c r="G177" s="8" t="str">
        <f>IFERROR(VLOOKUP(LOG_RESEAU[[#This Row],[Cell_ID]],Registre_Maintenance!A:D,4,FALSE),"Non trouvé")</f>
        <v>Non trouvé</v>
      </c>
      <c r="H177" s="6" t="str">
        <f>IFERROR(VLOOKUP(LOG_RESEAU[[#This Row],[Cell_ID]],Registre_Maintenance!A:E,5,FALSE),"Non trouvé")</f>
        <v>Non trouvé</v>
      </c>
      <c r="I177" s="6" t="str">
        <f>IFERROR(VLOOKUP(LOG_RESEAU[[#This Row],[Cell_ID]],Registre_Maintenance!A:F,6,FALSE),"Non trouvé")</f>
        <v>Non trouvé</v>
      </c>
      <c r="J177" s="6" t="str">
        <f t="shared" si="6"/>
        <v>Antenne inconnue</v>
      </c>
      <c r="K177" s="6">
        <f t="shared" si="7"/>
        <v>10</v>
      </c>
      <c r="L177" s="6">
        <f t="shared" si="8"/>
        <v>738</v>
      </c>
    </row>
    <row r="178" spans="1:12" ht="15.75" x14ac:dyDescent="0.25">
      <c r="A178" s="6" t="s">
        <v>866</v>
      </c>
      <c r="B178" s="7">
        <v>45230.633333333331</v>
      </c>
      <c r="C178" s="6">
        <v>95</v>
      </c>
      <c r="D178" s="6" t="s">
        <v>792</v>
      </c>
      <c r="E178" s="8" t="str">
        <f>IFERROR(VLOOKUP(LOG_RESEAU[[#This Row],[Cell_ID]],Registre_Maintenance!A:B,2,FALSE),"Non trouvé")</f>
        <v>Non trouvé</v>
      </c>
      <c r="F178" s="8" t="str">
        <f>IFERROR(VLOOKUP(LOG_RESEAU[[#This Row],[Cell_ID]],Registre_Maintenance!A:C,3,FALSE),"Non trouvé")</f>
        <v>Non trouvé</v>
      </c>
      <c r="G178" s="8" t="str">
        <f>IFERROR(VLOOKUP(LOG_RESEAU[[#This Row],[Cell_ID]],Registre_Maintenance!A:D,4,FALSE),"Non trouvé")</f>
        <v>Non trouvé</v>
      </c>
      <c r="H178" s="6" t="str">
        <f>IFERROR(VLOOKUP(LOG_RESEAU[[#This Row],[Cell_ID]],Registre_Maintenance!A:E,5,FALSE),"Non trouvé")</f>
        <v>Non trouvé</v>
      </c>
      <c r="I178" s="6" t="str">
        <f>IFERROR(VLOOKUP(LOG_RESEAU[[#This Row],[Cell_ID]],Registre_Maintenance!A:F,6,FALSE),"Non trouvé")</f>
        <v>Non trouvé</v>
      </c>
      <c r="J178" s="6" t="str">
        <f t="shared" si="6"/>
        <v>Antenne inconnue</v>
      </c>
      <c r="K178" s="6">
        <f t="shared" si="7"/>
        <v>10</v>
      </c>
      <c r="L178" s="6">
        <f t="shared" si="8"/>
        <v>738</v>
      </c>
    </row>
    <row r="179" spans="1:12" ht="15.75" x14ac:dyDescent="0.25">
      <c r="A179" s="6" t="s">
        <v>866</v>
      </c>
      <c r="B179" s="7">
        <v>45209.993055555547</v>
      </c>
      <c r="C179" s="6">
        <v>100</v>
      </c>
      <c r="D179" s="6" t="s">
        <v>794</v>
      </c>
      <c r="E179" s="8" t="str">
        <f>IFERROR(VLOOKUP(LOG_RESEAU[[#This Row],[Cell_ID]],Registre_Maintenance!A:B,2,FALSE),"Non trouvé")</f>
        <v>Non trouvé</v>
      </c>
      <c r="F179" s="8" t="str">
        <f>IFERROR(VLOOKUP(LOG_RESEAU[[#This Row],[Cell_ID]],Registre_Maintenance!A:C,3,FALSE),"Non trouvé")</f>
        <v>Non trouvé</v>
      </c>
      <c r="G179" s="8" t="str">
        <f>IFERROR(VLOOKUP(LOG_RESEAU[[#This Row],[Cell_ID]],Registre_Maintenance!A:D,4,FALSE),"Non trouvé")</f>
        <v>Non trouvé</v>
      </c>
      <c r="H179" s="6" t="str">
        <f>IFERROR(VLOOKUP(LOG_RESEAU[[#This Row],[Cell_ID]],Registre_Maintenance!A:E,5,FALSE),"Non trouvé")</f>
        <v>Non trouvé</v>
      </c>
      <c r="I179" s="6" t="str">
        <f>IFERROR(VLOOKUP(LOG_RESEAU[[#This Row],[Cell_ID]],Registre_Maintenance!A:F,6,FALSE),"Non trouvé")</f>
        <v>Non trouvé</v>
      </c>
      <c r="J179" s="6" t="str">
        <f t="shared" si="6"/>
        <v>Antenne inconnue</v>
      </c>
      <c r="K179" s="6">
        <f t="shared" si="7"/>
        <v>10</v>
      </c>
      <c r="L179" s="6">
        <f t="shared" si="8"/>
        <v>738</v>
      </c>
    </row>
    <row r="180" spans="1:12" ht="15.75" x14ac:dyDescent="0.25">
      <c r="A180" s="6" t="s">
        <v>866</v>
      </c>
      <c r="B180" s="7">
        <v>45226.729166666657</v>
      </c>
      <c r="C180" s="6">
        <v>62</v>
      </c>
      <c r="D180" s="6" t="s">
        <v>800</v>
      </c>
      <c r="E180" s="8" t="str">
        <f>IFERROR(VLOOKUP(LOG_RESEAU[[#This Row],[Cell_ID]],Registre_Maintenance!A:B,2,FALSE),"Non trouvé")</f>
        <v>Non trouvé</v>
      </c>
      <c r="F180" s="8" t="str">
        <f>IFERROR(VLOOKUP(LOG_RESEAU[[#This Row],[Cell_ID]],Registre_Maintenance!A:C,3,FALSE),"Non trouvé")</f>
        <v>Non trouvé</v>
      </c>
      <c r="G180" s="8" t="str">
        <f>IFERROR(VLOOKUP(LOG_RESEAU[[#This Row],[Cell_ID]],Registre_Maintenance!A:D,4,FALSE),"Non trouvé")</f>
        <v>Non trouvé</v>
      </c>
      <c r="H180" s="6" t="str">
        <f>IFERROR(VLOOKUP(LOG_RESEAU[[#This Row],[Cell_ID]],Registre_Maintenance!A:E,5,FALSE),"Non trouvé")</f>
        <v>Non trouvé</v>
      </c>
      <c r="I180" s="6" t="str">
        <f>IFERROR(VLOOKUP(LOG_RESEAU[[#This Row],[Cell_ID]],Registre_Maintenance!A:F,6,FALSE),"Non trouvé")</f>
        <v>Non trouvé</v>
      </c>
      <c r="J180" s="6" t="str">
        <f t="shared" si="6"/>
        <v>Antenne inconnue</v>
      </c>
      <c r="K180" s="6">
        <f t="shared" si="7"/>
        <v>10</v>
      </c>
      <c r="L180" s="6">
        <f t="shared" si="8"/>
        <v>738</v>
      </c>
    </row>
    <row r="181" spans="1:12" ht="15.75" x14ac:dyDescent="0.25">
      <c r="A181" s="6" t="s">
        <v>866</v>
      </c>
      <c r="B181" s="7">
        <v>45206.572222222218</v>
      </c>
      <c r="C181" s="6">
        <v>10</v>
      </c>
      <c r="D181" s="6" t="s">
        <v>794</v>
      </c>
      <c r="E181" s="8" t="str">
        <f>IFERROR(VLOOKUP(LOG_RESEAU[[#This Row],[Cell_ID]],Registre_Maintenance!A:B,2,FALSE),"Non trouvé")</f>
        <v>Non trouvé</v>
      </c>
      <c r="F181" s="8" t="str">
        <f>IFERROR(VLOOKUP(LOG_RESEAU[[#This Row],[Cell_ID]],Registre_Maintenance!A:C,3,FALSE),"Non trouvé")</f>
        <v>Non trouvé</v>
      </c>
      <c r="G181" s="8" t="str">
        <f>IFERROR(VLOOKUP(LOG_RESEAU[[#This Row],[Cell_ID]],Registre_Maintenance!A:D,4,FALSE),"Non trouvé")</f>
        <v>Non trouvé</v>
      </c>
      <c r="H181" s="6" t="str">
        <f>IFERROR(VLOOKUP(LOG_RESEAU[[#This Row],[Cell_ID]],Registre_Maintenance!A:E,5,FALSE),"Non trouvé")</f>
        <v>Non trouvé</v>
      </c>
      <c r="I181" s="6" t="str">
        <f>IFERROR(VLOOKUP(LOG_RESEAU[[#This Row],[Cell_ID]],Registre_Maintenance!A:F,6,FALSE),"Non trouvé")</f>
        <v>Non trouvé</v>
      </c>
      <c r="J181" s="6" t="str">
        <f t="shared" si="6"/>
        <v>Antenne inconnue</v>
      </c>
      <c r="K181" s="6">
        <f t="shared" si="7"/>
        <v>10</v>
      </c>
      <c r="L181" s="6">
        <f t="shared" si="8"/>
        <v>738</v>
      </c>
    </row>
    <row r="182" spans="1:12" ht="15.75" x14ac:dyDescent="0.25">
      <c r="A182" s="6" t="s">
        <v>876</v>
      </c>
      <c r="B182" s="7">
        <v>45213.621527777781</v>
      </c>
      <c r="C182" s="6">
        <v>14</v>
      </c>
      <c r="D182" s="6" t="s">
        <v>792</v>
      </c>
      <c r="E182" s="8" t="str">
        <f>IFERROR(VLOOKUP(LOG_RESEAU[[#This Row],[Cell_ID]],Registre_Maintenance!A:B,2,FALSE),"Non trouvé")</f>
        <v>Ituri</v>
      </c>
      <c r="F182" s="8">
        <f>IFERROR(VLOOKUP(LOG_RESEAU[[#This Row],[Cell_ID]],Registre_Maintenance!A:C,3,FALSE),"Non trouvé")</f>
        <v>-7.0076900000000002</v>
      </c>
      <c r="G182" s="8">
        <f>IFERROR(VLOOKUP(LOG_RESEAU[[#This Row],[Cell_ID]],Registre_Maintenance!A:D,4,FALSE),"Non trouvé")</f>
        <v>27.367121999999998</v>
      </c>
      <c r="H182" s="6" t="str">
        <f>IFERROR(VLOOKUP(LOG_RESEAU[[#This Row],[Cell_ID]],Registre_Maintenance!A:E,5,FALSE),"Non trouvé")</f>
        <v>3G</v>
      </c>
      <c r="I182" s="6" t="str">
        <f>IFERROR(VLOOKUP(LOG_RESEAU[[#This Row],[Cell_ID]],Registre_Maintenance!A:F,6,FALSE),"Non trouvé")</f>
        <v>Nokia</v>
      </c>
      <c r="J182" s="6" t="str">
        <f t="shared" si="6"/>
        <v>OK</v>
      </c>
      <c r="K182" s="6">
        <f t="shared" si="7"/>
        <v>7</v>
      </c>
      <c r="L182" s="6">
        <f t="shared" si="8"/>
        <v>471</v>
      </c>
    </row>
    <row r="183" spans="1:12" ht="15.75" x14ac:dyDescent="0.25">
      <c r="A183" s="6" t="s">
        <v>876</v>
      </c>
      <c r="B183" s="7">
        <v>45208.505555555559</v>
      </c>
      <c r="C183" s="6">
        <v>61</v>
      </c>
      <c r="D183" s="6" t="s">
        <v>800</v>
      </c>
      <c r="E183" s="8" t="str">
        <f>IFERROR(VLOOKUP(LOG_RESEAU[[#This Row],[Cell_ID]],Registre_Maintenance!A:B,2,FALSE),"Non trouvé")</f>
        <v>Ituri</v>
      </c>
      <c r="F183" s="8">
        <f>IFERROR(VLOOKUP(LOG_RESEAU[[#This Row],[Cell_ID]],Registre_Maintenance!A:C,3,FALSE),"Non trouvé")</f>
        <v>-7.0076900000000002</v>
      </c>
      <c r="G183" s="8">
        <f>IFERROR(VLOOKUP(LOG_RESEAU[[#This Row],[Cell_ID]],Registre_Maintenance!A:D,4,FALSE),"Non trouvé")</f>
        <v>27.367121999999998</v>
      </c>
      <c r="H183" s="6" t="str">
        <f>IFERROR(VLOOKUP(LOG_RESEAU[[#This Row],[Cell_ID]],Registre_Maintenance!A:E,5,FALSE),"Non trouvé")</f>
        <v>3G</v>
      </c>
      <c r="I183" s="6" t="str">
        <f>IFERROR(VLOOKUP(LOG_RESEAU[[#This Row],[Cell_ID]],Registre_Maintenance!A:F,6,FALSE),"Non trouvé")</f>
        <v>Nokia</v>
      </c>
      <c r="J183" s="6" t="str">
        <f t="shared" si="6"/>
        <v>OK</v>
      </c>
      <c r="K183" s="6">
        <f t="shared" si="7"/>
        <v>7</v>
      </c>
      <c r="L183" s="6">
        <f t="shared" si="8"/>
        <v>471</v>
      </c>
    </row>
    <row r="184" spans="1:12" ht="15.75" x14ac:dyDescent="0.25">
      <c r="A184" s="6" t="s">
        <v>876</v>
      </c>
      <c r="B184" s="7">
        <v>45215.10833333333</v>
      </c>
      <c r="C184" s="6">
        <v>73</v>
      </c>
      <c r="D184" s="6" t="s">
        <v>800</v>
      </c>
      <c r="E184" s="8" t="str">
        <f>IFERROR(VLOOKUP(LOG_RESEAU[[#This Row],[Cell_ID]],Registre_Maintenance!A:B,2,FALSE),"Non trouvé")</f>
        <v>Ituri</v>
      </c>
      <c r="F184" s="8">
        <f>IFERROR(VLOOKUP(LOG_RESEAU[[#This Row],[Cell_ID]],Registre_Maintenance!A:C,3,FALSE),"Non trouvé")</f>
        <v>-7.0076900000000002</v>
      </c>
      <c r="G184" s="8">
        <f>IFERROR(VLOOKUP(LOG_RESEAU[[#This Row],[Cell_ID]],Registre_Maintenance!A:D,4,FALSE),"Non trouvé")</f>
        <v>27.367121999999998</v>
      </c>
      <c r="H184" s="6" t="str">
        <f>IFERROR(VLOOKUP(LOG_RESEAU[[#This Row],[Cell_ID]],Registre_Maintenance!A:E,5,FALSE),"Non trouvé")</f>
        <v>3G</v>
      </c>
      <c r="I184" s="6" t="str">
        <f>IFERROR(VLOOKUP(LOG_RESEAU[[#This Row],[Cell_ID]],Registre_Maintenance!A:F,6,FALSE),"Non trouvé")</f>
        <v>Nokia</v>
      </c>
      <c r="J184" s="6" t="str">
        <f t="shared" si="6"/>
        <v>OK</v>
      </c>
      <c r="K184" s="6">
        <f t="shared" si="7"/>
        <v>7</v>
      </c>
      <c r="L184" s="6">
        <f t="shared" si="8"/>
        <v>471</v>
      </c>
    </row>
    <row r="185" spans="1:12" ht="15.75" x14ac:dyDescent="0.25">
      <c r="A185" s="6" t="s">
        <v>876</v>
      </c>
      <c r="B185" s="7">
        <v>45200.220138888893</v>
      </c>
      <c r="C185" s="6">
        <v>78</v>
      </c>
      <c r="D185" s="6" t="s">
        <v>794</v>
      </c>
      <c r="E185" s="8" t="str">
        <f>IFERROR(VLOOKUP(LOG_RESEAU[[#This Row],[Cell_ID]],Registre_Maintenance!A:B,2,FALSE),"Non trouvé")</f>
        <v>Ituri</v>
      </c>
      <c r="F185" s="8">
        <f>IFERROR(VLOOKUP(LOG_RESEAU[[#This Row],[Cell_ID]],Registre_Maintenance!A:C,3,FALSE),"Non trouvé")</f>
        <v>-7.0076900000000002</v>
      </c>
      <c r="G185" s="8">
        <f>IFERROR(VLOOKUP(LOG_RESEAU[[#This Row],[Cell_ID]],Registre_Maintenance!A:D,4,FALSE),"Non trouvé")</f>
        <v>27.367121999999998</v>
      </c>
      <c r="H185" s="6" t="str">
        <f>IFERROR(VLOOKUP(LOG_RESEAU[[#This Row],[Cell_ID]],Registre_Maintenance!A:E,5,FALSE),"Non trouvé")</f>
        <v>3G</v>
      </c>
      <c r="I185" s="6" t="str">
        <f>IFERROR(VLOOKUP(LOG_RESEAU[[#This Row],[Cell_ID]],Registre_Maintenance!A:F,6,FALSE),"Non trouvé")</f>
        <v>Nokia</v>
      </c>
      <c r="J185" s="6" t="str">
        <f t="shared" si="6"/>
        <v>OK</v>
      </c>
      <c r="K185" s="6">
        <f t="shared" si="7"/>
        <v>7</v>
      </c>
      <c r="L185" s="6">
        <f t="shared" si="8"/>
        <v>471</v>
      </c>
    </row>
    <row r="186" spans="1:12" ht="15.75" x14ac:dyDescent="0.25">
      <c r="A186" s="6" t="s">
        <v>876</v>
      </c>
      <c r="B186" s="7">
        <v>45229.670138888891</v>
      </c>
      <c r="C186" s="6">
        <v>56</v>
      </c>
      <c r="D186" s="6" t="s">
        <v>800</v>
      </c>
      <c r="E186" s="8" t="str">
        <f>IFERROR(VLOOKUP(LOG_RESEAU[[#This Row],[Cell_ID]],Registre_Maintenance!A:B,2,FALSE),"Non trouvé")</f>
        <v>Ituri</v>
      </c>
      <c r="F186" s="8">
        <f>IFERROR(VLOOKUP(LOG_RESEAU[[#This Row],[Cell_ID]],Registre_Maintenance!A:C,3,FALSE),"Non trouvé")</f>
        <v>-7.0076900000000002</v>
      </c>
      <c r="G186" s="8">
        <f>IFERROR(VLOOKUP(LOG_RESEAU[[#This Row],[Cell_ID]],Registre_Maintenance!A:D,4,FALSE),"Non trouvé")</f>
        <v>27.367121999999998</v>
      </c>
      <c r="H186" s="6" t="str">
        <f>IFERROR(VLOOKUP(LOG_RESEAU[[#This Row],[Cell_ID]],Registre_Maintenance!A:E,5,FALSE),"Non trouvé")</f>
        <v>3G</v>
      </c>
      <c r="I186" s="6" t="str">
        <f>IFERROR(VLOOKUP(LOG_RESEAU[[#This Row],[Cell_ID]],Registre_Maintenance!A:F,6,FALSE),"Non trouvé")</f>
        <v>Nokia</v>
      </c>
      <c r="J186" s="6" t="str">
        <f t="shared" si="6"/>
        <v>OK</v>
      </c>
      <c r="K186" s="6">
        <f t="shared" si="7"/>
        <v>7</v>
      </c>
      <c r="L186" s="6">
        <f t="shared" si="8"/>
        <v>471</v>
      </c>
    </row>
    <row r="187" spans="1:12" ht="15.75" x14ac:dyDescent="0.25">
      <c r="A187" s="6" t="s">
        <v>876</v>
      </c>
      <c r="B187" s="7">
        <v>45219.101388888892</v>
      </c>
      <c r="C187" s="6">
        <v>75</v>
      </c>
      <c r="D187" s="6" t="s">
        <v>794</v>
      </c>
      <c r="E187" s="8" t="str">
        <f>IFERROR(VLOOKUP(LOG_RESEAU[[#This Row],[Cell_ID]],Registre_Maintenance!A:B,2,FALSE),"Non trouvé")</f>
        <v>Ituri</v>
      </c>
      <c r="F187" s="8">
        <f>IFERROR(VLOOKUP(LOG_RESEAU[[#This Row],[Cell_ID]],Registre_Maintenance!A:C,3,FALSE),"Non trouvé")</f>
        <v>-7.0076900000000002</v>
      </c>
      <c r="G187" s="8">
        <f>IFERROR(VLOOKUP(LOG_RESEAU[[#This Row],[Cell_ID]],Registre_Maintenance!A:D,4,FALSE),"Non trouvé")</f>
        <v>27.367121999999998</v>
      </c>
      <c r="H187" s="6" t="str">
        <f>IFERROR(VLOOKUP(LOG_RESEAU[[#This Row],[Cell_ID]],Registre_Maintenance!A:E,5,FALSE),"Non trouvé")</f>
        <v>3G</v>
      </c>
      <c r="I187" s="6" t="str">
        <f>IFERROR(VLOOKUP(LOG_RESEAU[[#This Row],[Cell_ID]],Registre_Maintenance!A:F,6,FALSE),"Non trouvé")</f>
        <v>Nokia</v>
      </c>
      <c r="J187" s="6" t="str">
        <f t="shared" si="6"/>
        <v>OK</v>
      </c>
      <c r="K187" s="6">
        <f t="shared" si="7"/>
        <v>7</v>
      </c>
      <c r="L187" s="6">
        <f t="shared" si="8"/>
        <v>471</v>
      </c>
    </row>
    <row r="188" spans="1:12" ht="15.75" x14ac:dyDescent="0.25">
      <c r="A188" s="6" t="s">
        <v>876</v>
      </c>
      <c r="B188" s="7">
        <v>45211.61041666667</v>
      </c>
      <c r="C188" s="6">
        <v>114</v>
      </c>
      <c r="D188" s="6" t="s">
        <v>794</v>
      </c>
      <c r="E188" s="8" t="str">
        <f>IFERROR(VLOOKUP(LOG_RESEAU[[#This Row],[Cell_ID]],Registre_Maintenance!A:B,2,FALSE),"Non trouvé")</f>
        <v>Ituri</v>
      </c>
      <c r="F188" s="8">
        <f>IFERROR(VLOOKUP(LOG_RESEAU[[#This Row],[Cell_ID]],Registre_Maintenance!A:C,3,FALSE),"Non trouvé")</f>
        <v>-7.0076900000000002</v>
      </c>
      <c r="G188" s="8">
        <f>IFERROR(VLOOKUP(LOG_RESEAU[[#This Row],[Cell_ID]],Registre_Maintenance!A:D,4,FALSE),"Non trouvé")</f>
        <v>27.367121999999998</v>
      </c>
      <c r="H188" s="6" t="str">
        <f>IFERROR(VLOOKUP(LOG_RESEAU[[#This Row],[Cell_ID]],Registre_Maintenance!A:E,5,FALSE),"Non trouvé")</f>
        <v>3G</v>
      </c>
      <c r="I188" s="6" t="str">
        <f>IFERROR(VLOOKUP(LOG_RESEAU[[#This Row],[Cell_ID]],Registre_Maintenance!A:F,6,FALSE),"Non trouvé")</f>
        <v>Nokia</v>
      </c>
      <c r="J188" s="6" t="str">
        <f t="shared" si="6"/>
        <v>OK</v>
      </c>
      <c r="K188" s="6">
        <f t="shared" si="7"/>
        <v>7</v>
      </c>
      <c r="L188" s="6">
        <f t="shared" si="8"/>
        <v>471</v>
      </c>
    </row>
    <row r="189" spans="1:12" ht="15.75" x14ac:dyDescent="0.25">
      <c r="A189" s="6" t="s">
        <v>931</v>
      </c>
      <c r="B189" s="7">
        <v>45209.268750000003</v>
      </c>
      <c r="C189" s="6">
        <v>24</v>
      </c>
      <c r="D189" s="6" t="s">
        <v>792</v>
      </c>
      <c r="E189" s="8" t="str">
        <f>IFERROR(VLOOKUP(LOG_RESEAU[[#This Row],[Cell_ID]],Registre_Maintenance!A:B,2,FALSE),"Non trouvé")</f>
        <v>Ituri</v>
      </c>
      <c r="F189" s="8">
        <f>IFERROR(VLOOKUP(LOG_RESEAU[[#This Row],[Cell_ID]],Registre_Maintenance!A:C,3,FALSE),"Non trouvé")</f>
        <v>-0.767455</v>
      </c>
      <c r="G189" s="8">
        <f>IFERROR(VLOOKUP(LOG_RESEAU[[#This Row],[Cell_ID]],Registre_Maintenance!A:D,4,FALSE),"Non trouvé")</f>
        <v>30.924261000000001</v>
      </c>
      <c r="H189" s="6" t="str">
        <f>IFERROR(VLOOKUP(LOG_RESEAU[[#This Row],[Cell_ID]],Registre_Maintenance!A:E,5,FALSE),"Non trouvé")</f>
        <v>3G</v>
      </c>
      <c r="I189" s="6" t="str">
        <f>IFERROR(VLOOKUP(LOG_RESEAU[[#This Row],[Cell_ID]],Registre_Maintenance!A:F,6,FALSE),"Non trouvé")</f>
        <v>Huawei</v>
      </c>
      <c r="J189" s="6" t="str">
        <f t="shared" si="6"/>
        <v>OK</v>
      </c>
      <c r="K189" s="6">
        <f t="shared" si="7"/>
        <v>2</v>
      </c>
      <c r="L189" s="6">
        <f t="shared" si="8"/>
        <v>128</v>
      </c>
    </row>
    <row r="190" spans="1:12" ht="15.75" x14ac:dyDescent="0.25">
      <c r="A190" s="6" t="s">
        <v>931</v>
      </c>
      <c r="B190" s="7">
        <v>45205.929861111108</v>
      </c>
      <c r="C190" s="6">
        <v>104</v>
      </c>
      <c r="D190" s="6" t="s">
        <v>792</v>
      </c>
      <c r="E190" s="8" t="str">
        <f>IFERROR(VLOOKUP(LOG_RESEAU[[#This Row],[Cell_ID]],Registre_Maintenance!A:B,2,FALSE),"Non trouvé")</f>
        <v>Ituri</v>
      </c>
      <c r="F190" s="8">
        <f>IFERROR(VLOOKUP(LOG_RESEAU[[#This Row],[Cell_ID]],Registre_Maintenance!A:C,3,FALSE),"Non trouvé")</f>
        <v>-0.767455</v>
      </c>
      <c r="G190" s="8">
        <f>IFERROR(VLOOKUP(LOG_RESEAU[[#This Row],[Cell_ID]],Registre_Maintenance!A:D,4,FALSE),"Non trouvé")</f>
        <v>30.924261000000001</v>
      </c>
      <c r="H190" s="6" t="str">
        <f>IFERROR(VLOOKUP(LOG_RESEAU[[#This Row],[Cell_ID]],Registre_Maintenance!A:E,5,FALSE),"Non trouvé")</f>
        <v>3G</v>
      </c>
      <c r="I190" s="6" t="str">
        <f>IFERROR(VLOOKUP(LOG_RESEAU[[#This Row],[Cell_ID]],Registre_Maintenance!A:F,6,FALSE),"Non trouvé")</f>
        <v>Huawei</v>
      </c>
      <c r="J190" s="6" t="str">
        <f t="shared" si="6"/>
        <v>OK</v>
      </c>
      <c r="K190" s="6">
        <f t="shared" si="7"/>
        <v>2</v>
      </c>
      <c r="L190" s="6">
        <f t="shared" si="8"/>
        <v>128</v>
      </c>
    </row>
    <row r="191" spans="1:12" ht="15.75" x14ac:dyDescent="0.25">
      <c r="A191" s="6" t="s">
        <v>893</v>
      </c>
      <c r="B191" s="7">
        <v>45201.670138888891</v>
      </c>
      <c r="C191" s="6">
        <v>93</v>
      </c>
      <c r="D191" s="6" t="s">
        <v>800</v>
      </c>
      <c r="E191" s="8" t="str">
        <f>IFERROR(VLOOKUP(LOG_RESEAU[[#This Row],[Cell_ID]],Registre_Maintenance!A:B,2,FALSE),"Non trouvé")</f>
        <v>Mongala</v>
      </c>
      <c r="F191" s="8">
        <f>IFERROR(VLOOKUP(LOG_RESEAU[[#This Row],[Cell_ID]],Registre_Maintenance!A:C,3,FALSE),"Non trouvé")</f>
        <v>4.0988100000000003</v>
      </c>
      <c r="G191" s="8">
        <f>IFERROR(VLOOKUP(LOG_RESEAU[[#This Row],[Cell_ID]],Registre_Maintenance!A:D,4,FALSE),"Non trouvé")</f>
        <v>29.843810999999999</v>
      </c>
      <c r="H191" s="6" t="str">
        <f>IFERROR(VLOOKUP(LOG_RESEAU[[#This Row],[Cell_ID]],Registre_Maintenance!A:E,5,FALSE),"Non trouvé")</f>
        <v>3G</v>
      </c>
      <c r="I191" s="6" t="str">
        <f>IFERROR(VLOOKUP(LOG_RESEAU[[#This Row],[Cell_ID]],Registre_Maintenance!A:F,6,FALSE),"Non trouvé")</f>
        <v>Huawei</v>
      </c>
      <c r="J191" s="6" t="str">
        <f t="shared" si="6"/>
        <v>OK</v>
      </c>
      <c r="K191" s="6">
        <f t="shared" si="7"/>
        <v>5</v>
      </c>
      <c r="L191" s="6">
        <f t="shared" si="8"/>
        <v>400</v>
      </c>
    </row>
    <row r="192" spans="1:12" ht="15.75" x14ac:dyDescent="0.25">
      <c r="A192" s="6" t="s">
        <v>893</v>
      </c>
      <c r="B192" s="7">
        <v>45208.563194444447</v>
      </c>
      <c r="C192" s="6">
        <v>84</v>
      </c>
      <c r="D192" s="6" t="s">
        <v>792</v>
      </c>
      <c r="E192" s="8" t="str">
        <f>IFERROR(VLOOKUP(LOG_RESEAU[[#This Row],[Cell_ID]],Registre_Maintenance!A:B,2,FALSE),"Non trouvé")</f>
        <v>Mongala</v>
      </c>
      <c r="F192" s="8">
        <f>IFERROR(VLOOKUP(LOG_RESEAU[[#This Row],[Cell_ID]],Registre_Maintenance!A:C,3,FALSE),"Non trouvé")</f>
        <v>4.0988100000000003</v>
      </c>
      <c r="G192" s="8">
        <f>IFERROR(VLOOKUP(LOG_RESEAU[[#This Row],[Cell_ID]],Registre_Maintenance!A:D,4,FALSE),"Non trouvé")</f>
        <v>29.843810999999999</v>
      </c>
      <c r="H192" s="6" t="str">
        <f>IFERROR(VLOOKUP(LOG_RESEAU[[#This Row],[Cell_ID]],Registre_Maintenance!A:E,5,FALSE),"Non trouvé")</f>
        <v>3G</v>
      </c>
      <c r="I192" s="6" t="str">
        <f>IFERROR(VLOOKUP(LOG_RESEAU[[#This Row],[Cell_ID]],Registre_Maintenance!A:F,6,FALSE),"Non trouvé")</f>
        <v>Huawei</v>
      </c>
      <c r="J192" s="6" t="str">
        <f t="shared" si="6"/>
        <v>OK</v>
      </c>
      <c r="K192" s="6">
        <f t="shared" si="7"/>
        <v>5</v>
      </c>
      <c r="L192" s="6">
        <f t="shared" si="8"/>
        <v>400</v>
      </c>
    </row>
    <row r="193" spans="1:12" ht="15.75" x14ac:dyDescent="0.25">
      <c r="A193" s="6" t="s">
        <v>893</v>
      </c>
      <c r="B193" s="7">
        <v>45203.950694444437</v>
      </c>
      <c r="C193" s="6">
        <v>115</v>
      </c>
      <c r="D193" s="6" t="s">
        <v>792</v>
      </c>
      <c r="E193" s="8" t="str">
        <f>IFERROR(VLOOKUP(LOG_RESEAU[[#This Row],[Cell_ID]],Registre_Maintenance!A:B,2,FALSE),"Non trouvé")</f>
        <v>Mongala</v>
      </c>
      <c r="F193" s="8">
        <f>IFERROR(VLOOKUP(LOG_RESEAU[[#This Row],[Cell_ID]],Registre_Maintenance!A:C,3,FALSE),"Non trouvé")</f>
        <v>4.0988100000000003</v>
      </c>
      <c r="G193" s="8">
        <f>IFERROR(VLOOKUP(LOG_RESEAU[[#This Row],[Cell_ID]],Registre_Maintenance!A:D,4,FALSE),"Non trouvé")</f>
        <v>29.843810999999999</v>
      </c>
      <c r="H193" s="6" t="str">
        <f>IFERROR(VLOOKUP(LOG_RESEAU[[#This Row],[Cell_ID]],Registre_Maintenance!A:E,5,FALSE),"Non trouvé")</f>
        <v>3G</v>
      </c>
      <c r="I193" s="6" t="str">
        <f>IFERROR(VLOOKUP(LOG_RESEAU[[#This Row],[Cell_ID]],Registre_Maintenance!A:F,6,FALSE),"Non trouvé")</f>
        <v>Huawei</v>
      </c>
      <c r="J193" s="6" t="str">
        <f t="shared" si="6"/>
        <v>OK</v>
      </c>
      <c r="K193" s="6">
        <f t="shared" si="7"/>
        <v>5</v>
      </c>
      <c r="L193" s="6">
        <f t="shared" si="8"/>
        <v>400</v>
      </c>
    </row>
    <row r="194" spans="1:12" ht="15.75" x14ac:dyDescent="0.25">
      <c r="A194" s="6" t="s">
        <v>893</v>
      </c>
      <c r="B194" s="7">
        <v>45218.675694444442</v>
      </c>
      <c r="C194" s="6">
        <v>30</v>
      </c>
      <c r="D194" s="6" t="s">
        <v>792</v>
      </c>
      <c r="E194" s="8" t="str">
        <f>IFERROR(VLOOKUP(LOG_RESEAU[[#This Row],[Cell_ID]],Registre_Maintenance!A:B,2,FALSE),"Non trouvé")</f>
        <v>Mongala</v>
      </c>
      <c r="F194" s="8">
        <f>IFERROR(VLOOKUP(LOG_RESEAU[[#This Row],[Cell_ID]],Registre_Maintenance!A:C,3,FALSE),"Non trouvé")</f>
        <v>4.0988100000000003</v>
      </c>
      <c r="G194" s="8">
        <f>IFERROR(VLOOKUP(LOG_RESEAU[[#This Row],[Cell_ID]],Registre_Maintenance!A:D,4,FALSE),"Non trouvé")</f>
        <v>29.843810999999999</v>
      </c>
      <c r="H194" s="6" t="str">
        <f>IFERROR(VLOOKUP(LOG_RESEAU[[#This Row],[Cell_ID]],Registre_Maintenance!A:E,5,FALSE),"Non trouvé")</f>
        <v>3G</v>
      </c>
      <c r="I194" s="6" t="str">
        <f>IFERROR(VLOOKUP(LOG_RESEAU[[#This Row],[Cell_ID]],Registre_Maintenance!A:F,6,FALSE),"Non trouvé")</f>
        <v>Huawei</v>
      </c>
      <c r="J194" s="6" t="str">
        <f t="shared" ref="J194:J257" si="9">IF(ISERROR(SEARCH("Non trouvé",F194)),"OK","Antenne inconnue")</f>
        <v>OK</v>
      </c>
      <c r="K194" s="6">
        <f t="shared" ref="K194:K257" si="10">COUNTIF(A:A,A194)</f>
        <v>5</v>
      </c>
      <c r="L194" s="6">
        <f t="shared" ref="L194:L257" si="11">SUMIF(A:A,A194,C:C)</f>
        <v>400</v>
      </c>
    </row>
    <row r="195" spans="1:12" ht="15.75" x14ac:dyDescent="0.25">
      <c r="A195" s="6" t="s">
        <v>893</v>
      </c>
      <c r="B195" s="7">
        <v>45202.35</v>
      </c>
      <c r="C195" s="6">
        <v>78</v>
      </c>
      <c r="D195" s="6" t="s">
        <v>794</v>
      </c>
      <c r="E195" s="8" t="str">
        <f>IFERROR(VLOOKUP(LOG_RESEAU[[#This Row],[Cell_ID]],Registre_Maintenance!A:B,2,FALSE),"Non trouvé")</f>
        <v>Mongala</v>
      </c>
      <c r="F195" s="8">
        <f>IFERROR(VLOOKUP(LOG_RESEAU[[#This Row],[Cell_ID]],Registre_Maintenance!A:C,3,FALSE),"Non trouvé")</f>
        <v>4.0988100000000003</v>
      </c>
      <c r="G195" s="8">
        <f>IFERROR(VLOOKUP(LOG_RESEAU[[#This Row],[Cell_ID]],Registre_Maintenance!A:D,4,FALSE),"Non trouvé")</f>
        <v>29.843810999999999</v>
      </c>
      <c r="H195" s="6" t="str">
        <f>IFERROR(VLOOKUP(LOG_RESEAU[[#This Row],[Cell_ID]],Registre_Maintenance!A:E,5,FALSE),"Non trouvé")</f>
        <v>3G</v>
      </c>
      <c r="I195" s="6" t="str">
        <f>IFERROR(VLOOKUP(LOG_RESEAU[[#This Row],[Cell_ID]],Registre_Maintenance!A:F,6,FALSE),"Non trouvé")</f>
        <v>Huawei</v>
      </c>
      <c r="J195" s="6" t="str">
        <f t="shared" si="9"/>
        <v>OK</v>
      </c>
      <c r="K195" s="6">
        <f t="shared" si="10"/>
        <v>5</v>
      </c>
      <c r="L195" s="6">
        <f t="shared" si="11"/>
        <v>400</v>
      </c>
    </row>
    <row r="196" spans="1:12" ht="15.75" x14ac:dyDescent="0.25">
      <c r="A196" s="6" t="s">
        <v>845</v>
      </c>
      <c r="B196" s="7">
        <v>45230.029861111107</v>
      </c>
      <c r="C196" s="6">
        <v>49</v>
      </c>
      <c r="D196" s="6" t="s">
        <v>800</v>
      </c>
      <c r="E196" s="8" t="str">
        <f>IFERROR(VLOOKUP(LOG_RESEAU[[#This Row],[Cell_ID]],Registre_Maintenance!A:B,2,FALSE),"Non trouvé")</f>
        <v>Tshopo</v>
      </c>
      <c r="F196" s="8">
        <f>IFERROR(VLOOKUP(LOG_RESEAU[[#This Row],[Cell_ID]],Registre_Maintenance!A:C,3,FALSE),"Non trouvé")</f>
        <v>1.472051</v>
      </c>
      <c r="G196" s="8">
        <f>IFERROR(VLOOKUP(LOG_RESEAU[[#This Row],[Cell_ID]],Registre_Maintenance!A:D,4,FALSE),"Non trouvé")</f>
        <v>17.36289</v>
      </c>
      <c r="H196" s="6" t="str">
        <f>IFERROR(VLOOKUP(LOG_RESEAU[[#This Row],[Cell_ID]],Registre_Maintenance!A:E,5,FALSE),"Non trouvé")</f>
        <v>4G</v>
      </c>
      <c r="I196" s="6" t="str">
        <f>IFERROR(VLOOKUP(LOG_RESEAU[[#This Row],[Cell_ID]],Registre_Maintenance!A:F,6,FALSE),"Non trouvé")</f>
        <v>Huawei</v>
      </c>
      <c r="J196" s="6" t="str">
        <f t="shared" si="9"/>
        <v>OK</v>
      </c>
      <c r="K196" s="6">
        <f t="shared" si="10"/>
        <v>5</v>
      </c>
      <c r="L196" s="6">
        <f t="shared" si="11"/>
        <v>444</v>
      </c>
    </row>
    <row r="197" spans="1:12" ht="15.75" x14ac:dyDescent="0.25">
      <c r="A197" s="6" t="s">
        <v>845</v>
      </c>
      <c r="B197" s="7">
        <v>45226.321527777778</v>
      </c>
      <c r="C197" s="6">
        <v>119</v>
      </c>
      <c r="D197" s="6" t="s">
        <v>794</v>
      </c>
      <c r="E197" s="8" t="str">
        <f>IFERROR(VLOOKUP(LOG_RESEAU[[#This Row],[Cell_ID]],Registre_Maintenance!A:B,2,FALSE),"Non trouvé")</f>
        <v>Tshopo</v>
      </c>
      <c r="F197" s="8">
        <f>IFERROR(VLOOKUP(LOG_RESEAU[[#This Row],[Cell_ID]],Registre_Maintenance!A:C,3,FALSE),"Non trouvé")</f>
        <v>1.472051</v>
      </c>
      <c r="G197" s="8">
        <f>IFERROR(VLOOKUP(LOG_RESEAU[[#This Row],[Cell_ID]],Registre_Maintenance!A:D,4,FALSE),"Non trouvé")</f>
        <v>17.36289</v>
      </c>
      <c r="H197" s="6" t="str">
        <f>IFERROR(VLOOKUP(LOG_RESEAU[[#This Row],[Cell_ID]],Registre_Maintenance!A:E,5,FALSE),"Non trouvé")</f>
        <v>4G</v>
      </c>
      <c r="I197" s="6" t="str">
        <f>IFERROR(VLOOKUP(LOG_RESEAU[[#This Row],[Cell_ID]],Registre_Maintenance!A:F,6,FALSE),"Non trouvé")</f>
        <v>Huawei</v>
      </c>
      <c r="J197" s="6" t="str">
        <f t="shared" si="9"/>
        <v>OK</v>
      </c>
      <c r="K197" s="6">
        <f t="shared" si="10"/>
        <v>5</v>
      </c>
      <c r="L197" s="6">
        <f t="shared" si="11"/>
        <v>444</v>
      </c>
    </row>
    <row r="198" spans="1:12" ht="15.75" x14ac:dyDescent="0.25">
      <c r="A198" s="6" t="s">
        <v>845</v>
      </c>
      <c r="B198" s="7">
        <v>45224.652777777781</v>
      </c>
      <c r="C198" s="6">
        <v>119</v>
      </c>
      <c r="D198" s="6" t="s">
        <v>792</v>
      </c>
      <c r="E198" s="8" t="str">
        <f>IFERROR(VLOOKUP(LOG_RESEAU[[#This Row],[Cell_ID]],Registre_Maintenance!A:B,2,FALSE),"Non trouvé")</f>
        <v>Tshopo</v>
      </c>
      <c r="F198" s="8">
        <f>IFERROR(VLOOKUP(LOG_RESEAU[[#This Row],[Cell_ID]],Registre_Maintenance!A:C,3,FALSE),"Non trouvé")</f>
        <v>1.472051</v>
      </c>
      <c r="G198" s="8">
        <f>IFERROR(VLOOKUP(LOG_RESEAU[[#This Row],[Cell_ID]],Registre_Maintenance!A:D,4,FALSE),"Non trouvé")</f>
        <v>17.36289</v>
      </c>
      <c r="H198" s="6" t="str">
        <f>IFERROR(VLOOKUP(LOG_RESEAU[[#This Row],[Cell_ID]],Registre_Maintenance!A:E,5,FALSE),"Non trouvé")</f>
        <v>4G</v>
      </c>
      <c r="I198" s="6" t="str">
        <f>IFERROR(VLOOKUP(LOG_RESEAU[[#This Row],[Cell_ID]],Registre_Maintenance!A:F,6,FALSE),"Non trouvé")</f>
        <v>Huawei</v>
      </c>
      <c r="J198" s="6" t="str">
        <f t="shared" si="9"/>
        <v>OK</v>
      </c>
      <c r="K198" s="6">
        <f t="shared" si="10"/>
        <v>5</v>
      </c>
      <c r="L198" s="6">
        <f t="shared" si="11"/>
        <v>444</v>
      </c>
    </row>
    <row r="199" spans="1:12" ht="15.75" x14ac:dyDescent="0.25">
      <c r="A199" s="6" t="s">
        <v>845</v>
      </c>
      <c r="B199" s="7">
        <v>45228.938194444447</v>
      </c>
      <c r="C199" s="6">
        <v>83</v>
      </c>
      <c r="D199" s="6" t="s">
        <v>800</v>
      </c>
      <c r="E199" s="8" t="str">
        <f>IFERROR(VLOOKUP(LOG_RESEAU[[#This Row],[Cell_ID]],Registre_Maintenance!A:B,2,FALSE),"Non trouvé")</f>
        <v>Tshopo</v>
      </c>
      <c r="F199" s="8">
        <f>IFERROR(VLOOKUP(LOG_RESEAU[[#This Row],[Cell_ID]],Registre_Maintenance!A:C,3,FALSE),"Non trouvé")</f>
        <v>1.472051</v>
      </c>
      <c r="G199" s="8">
        <f>IFERROR(VLOOKUP(LOG_RESEAU[[#This Row],[Cell_ID]],Registre_Maintenance!A:D,4,FALSE),"Non trouvé")</f>
        <v>17.36289</v>
      </c>
      <c r="H199" s="6" t="str">
        <f>IFERROR(VLOOKUP(LOG_RESEAU[[#This Row],[Cell_ID]],Registre_Maintenance!A:E,5,FALSE),"Non trouvé")</f>
        <v>4G</v>
      </c>
      <c r="I199" s="6" t="str">
        <f>IFERROR(VLOOKUP(LOG_RESEAU[[#This Row],[Cell_ID]],Registre_Maintenance!A:F,6,FALSE),"Non trouvé")</f>
        <v>Huawei</v>
      </c>
      <c r="J199" s="6" t="str">
        <f t="shared" si="9"/>
        <v>OK</v>
      </c>
      <c r="K199" s="6">
        <f t="shared" si="10"/>
        <v>5</v>
      </c>
      <c r="L199" s="6">
        <f t="shared" si="11"/>
        <v>444</v>
      </c>
    </row>
    <row r="200" spans="1:12" ht="15.75" x14ac:dyDescent="0.25">
      <c r="A200" s="6" t="s">
        <v>845</v>
      </c>
      <c r="B200" s="7">
        <v>45201.511805555558</v>
      </c>
      <c r="C200" s="6">
        <v>74</v>
      </c>
      <c r="D200" s="6" t="s">
        <v>794</v>
      </c>
      <c r="E200" s="8" t="str">
        <f>IFERROR(VLOOKUP(LOG_RESEAU[[#This Row],[Cell_ID]],Registre_Maintenance!A:B,2,FALSE),"Non trouvé")</f>
        <v>Tshopo</v>
      </c>
      <c r="F200" s="8">
        <f>IFERROR(VLOOKUP(LOG_RESEAU[[#This Row],[Cell_ID]],Registre_Maintenance!A:C,3,FALSE),"Non trouvé")</f>
        <v>1.472051</v>
      </c>
      <c r="G200" s="8">
        <f>IFERROR(VLOOKUP(LOG_RESEAU[[#This Row],[Cell_ID]],Registre_Maintenance!A:D,4,FALSE),"Non trouvé")</f>
        <v>17.36289</v>
      </c>
      <c r="H200" s="6" t="str">
        <f>IFERROR(VLOOKUP(LOG_RESEAU[[#This Row],[Cell_ID]],Registre_Maintenance!A:E,5,FALSE),"Non trouvé")</f>
        <v>4G</v>
      </c>
      <c r="I200" s="6" t="str">
        <f>IFERROR(VLOOKUP(LOG_RESEAU[[#This Row],[Cell_ID]],Registre_Maintenance!A:F,6,FALSE),"Non trouvé")</f>
        <v>Huawei</v>
      </c>
      <c r="J200" s="6" t="str">
        <f t="shared" si="9"/>
        <v>OK</v>
      </c>
      <c r="K200" s="6">
        <f t="shared" si="10"/>
        <v>5</v>
      </c>
      <c r="L200" s="6">
        <f t="shared" si="11"/>
        <v>444</v>
      </c>
    </row>
    <row r="201" spans="1:12" ht="15.75" x14ac:dyDescent="0.25">
      <c r="A201" s="6" t="s">
        <v>1009</v>
      </c>
      <c r="B201" s="7">
        <v>45221.461111111108</v>
      </c>
      <c r="C201" s="6">
        <v>74</v>
      </c>
      <c r="D201" s="6" t="s">
        <v>794</v>
      </c>
      <c r="E201" s="8" t="str">
        <f>IFERROR(VLOOKUP(LOG_RESEAU[[#This Row],[Cell_ID]],Registre_Maintenance!A:B,2,FALSE),"Non trouvé")</f>
        <v>Haut-Katanga</v>
      </c>
      <c r="F201" s="8">
        <f>IFERROR(VLOOKUP(LOG_RESEAU[[#This Row],[Cell_ID]],Registre_Maintenance!A:C,3,FALSE),"Non trouvé")</f>
        <v>0.16841400000000001</v>
      </c>
      <c r="G201" s="8">
        <f>IFERROR(VLOOKUP(LOG_RESEAU[[#This Row],[Cell_ID]],Registre_Maintenance!A:D,4,FALSE),"Non trouvé")</f>
        <v>30.029876999999999</v>
      </c>
      <c r="H201" s="6" t="str">
        <f>IFERROR(VLOOKUP(LOG_RESEAU[[#This Row],[Cell_ID]],Registre_Maintenance!A:E,5,FALSE),"Non trouvé")</f>
        <v>5G</v>
      </c>
      <c r="I201" s="6" t="str">
        <f>IFERROR(VLOOKUP(LOG_RESEAU[[#This Row],[Cell_ID]],Registre_Maintenance!A:F,6,FALSE),"Non trouvé")</f>
        <v>Huawei</v>
      </c>
      <c r="J201" s="6" t="str">
        <f t="shared" si="9"/>
        <v>OK</v>
      </c>
      <c r="K201" s="6">
        <f t="shared" si="10"/>
        <v>3</v>
      </c>
      <c r="L201" s="6">
        <f t="shared" si="11"/>
        <v>268</v>
      </c>
    </row>
    <row r="202" spans="1:12" ht="15.75" x14ac:dyDescent="0.25">
      <c r="A202" s="6" t="s">
        <v>1009</v>
      </c>
      <c r="B202" s="7">
        <v>45216.583333333343</v>
      </c>
      <c r="C202" s="6">
        <v>78</v>
      </c>
      <c r="D202" s="6" t="s">
        <v>792</v>
      </c>
      <c r="E202" s="8" t="str">
        <f>IFERROR(VLOOKUP(LOG_RESEAU[[#This Row],[Cell_ID]],Registre_Maintenance!A:B,2,FALSE),"Non trouvé")</f>
        <v>Haut-Katanga</v>
      </c>
      <c r="F202" s="8">
        <f>IFERROR(VLOOKUP(LOG_RESEAU[[#This Row],[Cell_ID]],Registre_Maintenance!A:C,3,FALSE),"Non trouvé")</f>
        <v>0.16841400000000001</v>
      </c>
      <c r="G202" s="8">
        <f>IFERROR(VLOOKUP(LOG_RESEAU[[#This Row],[Cell_ID]],Registre_Maintenance!A:D,4,FALSE),"Non trouvé")</f>
        <v>30.029876999999999</v>
      </c>
      <c r="H202" s="6" t="str">
        <f>IFERROR(VLOOKUP(LOG_RESEAU[[#This Row],[Cell_ID]],Registre_Maintenance!A:E,5,FALSE),"Non trouvé")</f>
        <v>5G</v>
      </c>
      <c r="I202" s="6" t="str">
        <f>IFERROR(VLOOKUP(LOG_RESEAU[[#This Row],[Cell_ID]],Registre_Maintenance!A:F,6,FALSE),"Non trouvé")</f>
        <v>Huawei</v>
      </c>
      <c r="J202" s="6" t="str">
        <f t="shared" si="9"/>
        <v>OK</v>
      </c>
      <c r="K202" s="6">
        <f t="shared" si="10"/>
        <v>3</v>
      </c>
      <c r="L202" s="6">
        <f t="shared" si="11"/>
        <v>268</v>
      </c>
    </row>
    <row r="203" spans="1:12" ht="15.75" x14ac:dyDescent="0.25">
      <c r="A203" s="6" t="s">
        <v>1009</v>
      </c>
      <c r="B203" s="7">
        <v>45223.736111111109</v>
      </c>
      <c r="C203" s="6">
        <v>116</v>
      </c>
      <c r="D203" s="6" t="s">
        <v>800</v>
      </c>
      <c r="E203" s="8" t="str">
        <f>IFERROR(VLOOKUP(LOG_RESEAU[[#This Row],[Cell_ID]],Registre_Maintenance!A:B,2,FALSE),"Non trouvé")</f>
        <v>Haut-Katanga</v>
      </c>
      <c r="F203" s="8">
        <f>IFERROR(VLOOKUP(LOG_RESEAU[[#This Row],[Cell_ID]],Registre_Maintenance!A:C,3,FALSE),"Non trouvé")</f>
        <v>0.16841400000000001</v>
      </c>
      <c r="G203" s="8">
        <f>IFERROR(VLOOKUP(LOG_RESEAU[[#This Row],[Cell_ID]],Registre_Maintenance!A:D,4,FALSE),"Non trouvé")</f>
        <v>30.029876999999999</v>
      </c>
      <c r="H203" s="6" t="str">
        <f>IFERROR(VLOOKUP(LOG_RESEAU[[#This Row],[Cell_ID]],Registre_Maintenance!A:E,5,FALSE),"Non trouvé")</f>
        <v>5G</v>
      </c>
      <c r="I203" s="6" t="str">
        <f>IFERROR(VLOOKUP(LOG_RESEAU[[#This Row],[Cell_ID]],Registre_Maintenance!A:F,6,FALSE),"Non trouvé")</f>
        <v>Huawei</v>
      </c>
      <c r="J203" s="6" t="str">
        <f t="shared" si="9"/>
        <v>OK</v>
      </c>
      <c r="K203" s="6">
        <f t="shared" si="10"/>
        <v>3</v>
      </c>
      <c r="L203" s="6">
        <f t="shared" si="11"/>
        <v>268</v>
      </c>
    </row>
    <row r="204" spans="1:12" ht="15.75" x14ac:dyDescent="0.25">
      <c r="A204" s="6" t="s">
        <v>973</v>
      </c>
      <c r="B204" s="7">
        <v>45219.801388888889</v>
      </c>
      <c r="C204" s="6">
        <v>117</v>
      </c>
      <c r="D204" s="6" t="s">
        <v>794</v>
      </c>
      <c r="E204" s="8" t="str">
        <f>IFERROR(VLOOKUP(LOG_RESEAU[[#This Row],[Cell_ID]],Registre_Maintenance!A:B,2,FALSE),"Non trouvé")</f>
        <v>Kasai-Central</v>
      </c>
      <c r="F204" s="8">
        <f>IFERROR(VLOOKUP(LOG_RESEAU[[#This Row],[Cell_ID]],Registre_Maintenance!A:C,3,FALSE),"Non trouvé")</f>
        <v>-10.735106</v>
      </c>
      <c r="G204" s="8">
        <f>IFERROR(VLOOKUP(LOG_RESEAU[[#This Row],[Cell_ID]],Registre_Maintenance!A:D,4,FALSE),"Non trouvé")</f>
        <v>27.868673999999999</v>
      </c>
      <c r="H204" s="6" t="str">
        <f>IFERROR(VLOOKUP(LOG_RESEAU[[#This Row],[Cell_ID]],Registre_Maintenance!A:E,5,FALSE),"Non trouvé")</f>
        <v>3G</v>
      </c>
      <c r="I204" s="6" t="str">
        <f>IFERROR(VLOOKUP(LOG_RESEAU[[#This Row],[Cell_ID]],Registre_Maintenance!A:F,6,FALSE),"Non trouvé")</f>
        <v>Ericsson</v>
      </c>
      <c r="J204" s="6" t="str">
        <f t="shared" si="9"/>
        <v>OK</v>
      </c>
      <c r="K204" s="6">
        <f t="shared" si="10"/>
        <v>2</v>
      </c>
      <c r="L204" s="6">
        <f t="shared" si="11"/>
        <v>210</v>
      </c>
    </row>
    <row r="205" spans="1:12" ht="15.75" x14ac:dyDescent="0.25">
      <c r="A205" s="6" t="s">
        <v>973</v>
      </c>
      <c r="B205" s="7">
        <v>45217.578472222223</v>
      </c>
      <c r="C205" s="6">
        <v>93</v>
      </c>
      <c r="D205" s="6" t="s">
        <v>800</v>
      </c>
      <c r="E205" s="8" t="str">
        <f>IFERROR(VLOOKUP(LOG_RESEAU[[#This Row],[Cell_ID]],Registre_Maintenance!A:B,2,FALSE),"Non trouvé")</f>
        <v>Kasai-Central</v>
      </c>
      <c r="F205" s="8">
        <f>IFERROR(VLOOKUP(LOG_RESEAU[[#This Row],[Cell_ID]],Registre_Maintenance!A:C,3,FALSE),"Non trouvé")</f>
        <v>-10.735106</v>
      </c>
      <c r="G205" s="8">
        <f>IFERROR(VLOOKUP(LOG_RESEAU[[#This Row],[Cell_ID]],Registre_Maintenance!A:D,4,FALSE),"Non trouvé")</f>
        <v>27.868673999999999</v>
      </c>
      <c r="H205" s="6" t="str">
        <f>IFERROR(VLOOKUP(LOG_RESEAU[[#This Row],[Cell_ID]],Registre_Maintenance!A:E,5,FALSE),"Non trouvé")</f>
        <v>3G</v>
      </c>
      <c r="I205" s="6" t="str">
        <f>IFERROR(VLOOKUP(LOG_RESEAU[[#This Row],[Cell_ID]],Registre_Maintenance!A:F,6,FALSE),"Non trouvé")</f>
        <v>Ericsson</v>
      </c>
      <c r="J205" s="6" t="str">
        <f t="shared" si="9"/>
        <v>OK</v>
      </c>
      <c r="K205" s="6">
        <f t="shared" si="10"/>
        <v>2</v>
      </c>
      <c r="L205" s="6">
        <f t="shared" si="11"/>
        <v>210</v>
      </c>
    </row>
    <row r="206" spans="1:12" hidden="1" x14ac:dyDescent="0.25">
      <c r="A206" s="2"/>
      <c r="B206" s="2">
        <v>45226.722916666673</v>
      </c>
      <c r="C206" s="2">
        <v>14</v>
      </c>
      <c r="D206" s="2" t="s">
        <v>794</v>
      </c>
      <c r="E206" s="3" t="str">
        <f>IFERROR(VLOOKUP(LOG_RESEAU[[#This Row],[Cell_ID]],Registre_Maintenance!A:B,2,FALSE),"Non trouvé")</f>
        <v>Non trouvé</v>
      </c>
      <c r="F206" s="3" t="str">
        <f>IFERROR(VLOOKUP(LOG_RESEAU[[#This Row],[Cell_ID]],Registre_Maintenance!A:C,3,FALSE),"Non trouvé")</f>
        <v>Non trouvé</v>
      </c>
      <c r="G206" s="3" t="str">
        <f>IFERROR(VLOOKUP(LOG_RESEAU[[#This Row],[Cell_ID]],Registre_Maintenance!A:D,4,FALSE),"Non trouvé")</f>
        <v>Non trouvé</v>
      </c>
      <c r="H206" s="2" t="str">
        <f>IFERROR(VLOOKUP(LOG_RESEAU[[#This Row],[Cell_ID]],Registre_Maintenance!A:E,5,FALSE),"Non trouvé")</f>
        <v>Non trouvé</v>
      </c>
      <c r="I206" s="2" t="str">
        <f>IFERROR(VLOOKUP(LOG_RESEAU[[#This Row],[Cell_ID]],Registre_Maintenance!A:F,6,FALSE),"Non trouvé")</f>
        <v>Non trouvé</v>
      </c>
      <c r="J206" s="2" t="str">
        <f t="shared" si="9"/>
        <v>Antenne inconnue</v>
      </c>
      <c r="K206" s="2">
        <f t="shared" si="10"/>
        <v>0</v>
      </c>
      <c r="L206" s="2">
        <f t="shared" si="11"/>
        <v>0</v>
      </c>
    </row>
    <row r="207" spans="1:12" ht="15.75" x14ac:dyDescent="0.25">
      <c r="A207" s="6" t="s">
        <v>996</v>
      </c>
      <c r="B207" s="7">
        <v>45210.054166666669</v>
      </c>
      <c r="C207" s="6">
        <v>53</v>
      </c>
      <c r="D207" s="6" t="s">
        <v>792</v>
      </c>
      <c r="E207" s="8" t="str">
        <f>IFERROR(VLOOKUP(LOG_RESEAU[[#This Row],[Cell_ID]],Registre_Maintenance!A:B,2,FALSE),"Non trouvé")</f>
        <v>Non trouvé</v>
      </c>
      <c r="F207" s="8" t="str">
        <f>IFERROR(VLOOKUP(LOG_RESEAU[[#This Row],[Cell_ID]],Registre_Maintenance!A:C,3,FALSE),"Non trouvé")</f>
        <v>Non trouvé</v>
      </c>
      <c r="G207" s="8" t="str">
        <f>IFERROR(VLOOKUP(LOG_RESEAU[[#This Row],[Cell_ID]],Registre_Maintenance!A:D,4,FALSE),"Non trouvé")</f>
        <v>Non trouvé</v>
      </c>
      <c r="H207" s="6" t="str">
        <f>IFERROR(VLOOKUP(LOG_RESEAU[[#This Row],[Cell_ID]],Registre_Maintenance!A:E,5,FALSE),"Non trouvé")</f>
        <v>Non trouvé</v>
      </c>
      <c r="I207" s="6" t="str">
        <f>IFERROR(VLOOKUP(LOG_RESEAU[[#This Row],[Cell_ID]],Registre_Maintenance!A:F,6,FALSE),"Non trouvé")</f>
        <v>Non trouvé</v>
      </c>
      <c r="J207" s="6" t="str">
        <f t="shared" si="9"/>
        <v>Antenne inconnue</v>
      </c>
      <c r="K207" s="6">
        <f t="shared" si="10"/>
        <v>7</v>
      </c>
      <c r="L207" s="6">
        <f t="shared" si="11"/>
        <v>435</v>
      </c>
    </row>
    <row r="208" spans="1:12" ht="15.75" x14ac:dyDescent="0.25">
      <c r="A208" s="6" t="s">
        <v>996</v>
      </c>
      <c r="B208" s="7">
        <v>45230.002083333333</v>
      </c>
      <c r="C208" s="6">
        <v>22</v>
      </c>
      <c r="D208" s="6" t="s">
        <v>792</v>
      </c>
      <c r="E208" s="8" t="str">
        <f>IFERROR(VLOOKUP(LOG_RESEAU[[#This Row],[Cell_ID]],Registre_Maintenance!A:B,2,FALSE),"Non trouvé")</f>
        <v>Non trouvé</v>
      </c>
      <c r="F208" s="8" t="str">
        <f>IFERROR(VLOOKUP(LOG_RESEAU[[#This Row],[Cell_ID]],Registre_Maintenance!A:C,3,FALSE),"Non trouvé")</f>
        <v>Non trouvé</v>
      </c>
      <c r="G208" s="8" t="str">
        <f>IFERROR(VLOOKUP(LOG_RESEAU[[#This Row],[Cell_ID]],Registre_Maintenance!A:D,4,FALSE),"Non trouvé")</f>
        <v>Non trouvé</v>
      </c>
      <c r="H208" s="6" t="str">
        <f>IFERROR(VLOOKUP(LOG_RESEAU[[#This Row],[Cell_ID]],Registre_Maintenance!A:E,5,FALSE),"Non trouvé")</f>
        <v>Non trouvé</v>
      </c>
      <c r="I208" s="6" t="str">
        <f>IFERROR(VLOOKUP(LOG_RESEAU[[#This Row],[Cell_ID]],Registre_Maintenance!A:F,6,FALSE),"Non trouvé")</f>
        <v>Non trouvé</v>
      </c>
      <c r="J208" s="6" t="str">
        <f t="shared" si="9"/>
        <v>Antenne inconnue</v>
      </c>
      <c r="K208" s="6">
        <f t="shared" si="10"/>
        <v>7</v>
      </c>
      <c r="L208" s="6">
        <f t="shared" si="11"/>
        <v>435</v>
      </c>
    </row>
    <row r="209" spans="1:12" ht="15.75" x14ac:dyDescent="0.25">
      <c r="A209" s="6" t="s">
        <v>996</v>
      </c>
      <c r="B209" s="7">
        <v>45204.345833333333</v>
      </c>
      <c r="C209" s="6">
        <v>82</v>
      </c>
      <c r="D209" s="6" t="s">
        <v>794</v>
      </c>
      <c r="E209" s="8" t="str">
        <f>IFERROR(VLOOKUP(LOG_RESEAU[[#This Row],[Cell_ID]],Registre_Maintenance!A:B,2,FALSE),"Non trouvé")</f>
        <v>Non trouvé</v>
      </c>
      <c r="F209" s="8" t="str">
        <f>IFERROR(VLOOKUP(LOG_RESEAU[[#This Row],[Cell_ID]],Registre_Maintenance!A:C,3,FALSE),"Non trouvé")</f>
        <v>Non trouvé</v>
      </c>
      <c r="G209" s="8" t="str">
        <f>IFERROR(VLOOKUP(LOG_RESEAU[[#This Row],[Cell_ID]],Registre_Maintenance!A:D,4,FALSE),"Non trouvé")</f>
        <v>Non trouvé</v>
      </c>
      <c r="H209" s="6" t="str">
        <f>IFERROR(VLOOKUP(LOG_RESEAU[[#This Row],[Cell_ID]],Registre_Maintenance!A:E,5,FALSE),"Non trouvé")</f>
        <v>Non trouvé</v>
      </c>
      <c r="I209" s="6" t="str">
        <f>IFERROR(VLOOKUP(LOG_RESEAU[[#This Row],[Cell_ID]],Registre_Maintenance!A:F,6,FALSE),"Non trouvé")</f>
        <v>Non trouvé</v>
      </c>
      <c r="J209" s="6" t="str">
        <f t="shared" si="9"/>
        <v>Antenne inconnue</v>
      </c>
      <c r="K209" s="6">
        <f t="shared" si="10"/>
        <v>7</v>
      </c>
      <c r="L209" s="6">
        <f t="shared" si="11"/>
        <v>435</v>
      </c>
    </row>
    <row r="210" spans="1:12" ht="15.75" x14ac:dyDescent="0.25">
      <c r="A210" s="6" t="s">
        <v>996</v>
      </c>
      <c r="B210" s="7">
        <v>45214.05972222222</v>
      </c>
      <c r="C210" s="6">
        <v>66</v>
      </c>
      <c r="D210" s="6" t="s">
        <v>792</v>
      </c>
      <c r="E210" s="8" t="str">
        <f>IFERROR(VLOOKUP(LOG_RESEAU[[#This Row],[Cell_ID]],Registre_Maintenance!A:B,2,FALSE),"Non trouvé")</f>
        <v>Non trouvé</v>
      </c>
      <c r="F210" s="8" t="str">
        <f>IFERROR(VLOOKUP(LOG_RESEAU[[#This Row],[Cell_ID]],Registre_Maintenance!A:C,3,FALSE),"Non trouvé")</f>
        <v>Non trouvé</v>
      </c>
      <c r="G210" s="8" t="str">
        <f>IFERROR(VLOOKUP(LOG_RESEAU[[#This Row],[Cell_ID]],Registre_Maintenance!A:D,4,FALSE),"Non trouvé")</f>
        <v>Non trouvé</v>
      </c>
      <c r="H210" s="6" t="str">
        <f>IFERROR(VLOOKUP(LOG_RESEAU[[#This Row],[Cell_ID]],Registre_Maintenance!A:E,5,FALSE),"Non trouvé")</f>
        <v>Non trouvé</v>
      </c>
      <c r="I210" s="6" t="str">
        <f>IFERROR(VLOOKUP(LOG_RESEAU[[#This Row],[Cell_ID]],Registre_Maintenance!A:F,6,FALSE),"Non trouvé")</f>
        <v>Non trouvé</v>
      </c>
      <c r="J210" s="6" t="str">
        <f t="shared" si="9"/>
        <v>Antenne inconnue</v>
      </c>
      <c r="K210" s="6">
        <f t="shared" si="10"/>
        <v>7</v>
      </c>
      <c r="L210" s="6">
        <f t="shared" si="11"/>
        <v>435</v>
      </c>
    </row>
    <row r="211" spans="1:12" ht="15.75" x14ac:dyDescent="0.25">
      <c r="A211" s="6" t="s">
        <v>1013</v>
      </c>
      <c r="B211" s="7">
        <v>45211.292361111111</v>
      </c>
      <c r="C211" s="6">
        <v>72</v>
      </c>
      <c r="D211" s="6" t="s">
        <v>792</v>
      </c>
      <c r="E211" s="8" t="str">
        <f>IFERROR(VLOOKUP(LOG_RESEAU[[#This Row],[Cell_ID]],Registre_Maintenance!A:B,2,FALSE),"Non trouvé")</f>
        <v>Non trouvé</v>
      </c>
      <c r="F211" s="8" t="str">
        <f>IFERROR(VLOOKUP(LOG_RESEAU[[#This Row],[Cell_ID]],Registre_Maintenance!A:C,3,FALSE),"Non trouvé")</f>
        <v>Non trouvé</v>
      </c>
      <c r="G211" s="8" t="str">
        <f>IFERROR(VLOOKUP(LOG_RESEAU[[#This Row],[Cell_ID]],Registre_Maintenance!A:D,4,FALSE),"Non trouvé")</f>
        <v>Non trouvé</v>
      </c>
      <c r="H211" s="6" t="str">
        <f>IFERROR(VLOOKUP(LOG_RESEAU[[#This Row],[Cell_ID]],Registre_Maintenance!A:E,5,FALSE),"Non trouvé")</f>
        <v>Non trouvé</v>
      </c>
      <c r="I211" s="6" t="str">
        <f>IFERROR(VLOOKUP(LOG_RESEAU[[#This Row],[Cell_ID]],Registre_Maintenance!A:F,6,FALSE),"Non trouvé")</f>
        <v>Non trouvé</v>
      </c>
      <c r="J211" s="6" t="str">
        <f t="shared" si="9"/>
        <v>Antenne inconnue</v>
      </c>
      <c r="K211" s="6">
        <f t="shared" si="10"/>
        <v>7</v>
      </c>
      <c r="L211" s="6">
        <f t="shared" si="11"/>
        <v>435</v>
      </c>
    </row>
    <row r="212" spans="1:12" ht="15.75" x14ac:dyDescent="0.25">
      <c r="A212" s="6" t="s">
        <v>996</v>
      </c>
      <c r="B212" s="7">
        <v>45224.083333333343</v>
      </c>
      <c r="C212" s="6">
        <v>31</v>
      </c>
      <c r="D212" s="6" t="s">
        <v>794</v>
      </c>
      <c r="E212" s="8" t="str">
        <f>IFERROR(VLOOKUP(LOG_RESEAU[[#This Row],[Cell_ID]],Registre_Maintenance!A:B,2,FALSE),"Non trouvé")</f>
        <v>Non trouvé</v>
      </c>
      <c r="F212" s="8" t="str">
        <f>IFERROR(VLOOKUP(LOG_RESEAU[[#This Row],[Cell_ID]],Registre_Maintenance!A:C,3,FALSE),"Non trouvé")</f>
        <v>Non trouvé</v>
      </c>
      <c r="G212" s="8" t="str">
        <f>IFERROR(VLOOKUP(LOG_RESEAU[[#This Row],[Cell_ID]],Registre_Maintenance!A:D,4,FALSE),"Non trouvé")</f>
        <v>Non trouvé</v>
      </c>
      <c r="H212" s="6" t="str">
        <f>IFERROR(VLOOKUP(LOG_RESEAU[[#This Row],[Cell_ID]],Registre_Maintenance!A:E,5,FALSE),"Non trouvé")</f>
        <v>Non trouvé</v>
      </c>
      <c r="I212" s="6" t="str">
        <f>IFERROR(VLOOKUP(LOG_RESEAU[[#This Row],[Cell_ID]],Registre_Maintenance!A:F,6,FALSE),"Non trouvé")</f>
        <v>Non trouvé</v>
      </c>
      <c r="J212" s="6" t="str">
        <f t="shared" si="9"/>
        <v>Antenne inconnue</v>
      </c>
      <c r="K212" s="6">
        <f t="shared" si="10"/>
        <v>7</v>
      </c>
      <c r="L212" s="6">
        <f t="shared" si="11"/>
        <v>435</v>
      </c>
    </row>
    <row r="213" spans="1:12" ht="15.75" x14ac:dyDescent="0.25">
      <c r="A213" s="6" t="s">
        <v>996</v>
      </c>
      <c r="B213" s="7">
        <v>45228.269444444442</v>
      </c>
      <c r="C213" s="6">
        <v>109</v>
      </c>
      <c r="D213" s="6" t="s">
        <v>800</v>
      </c>
      <c r="E213" s="8" t="str">
        <f>IFERROR(VLOOKUP(LOG_RESEAU[[#This Row],[Cell_ID]],Registre_Maintenance!A:B,2,FALSE),"Non trouvé")</f>
        <v>Non trouvé</v>
      </c>
      <c r="F213" s="8" t="str">
        <f>IFERROR(VLOOKUP(LOG_RESEAU[[#This Row],[Cell_ID]],Registre_Maintenance!A:C,3,FALSE),"Non trouvé")</f>
        <v>Non trouvé</v>
      </c>
      <c r="G213" s="8" t="str">
        <f>IFERROR(VLOOKUP(LOG_RESEAU[[#This Row],[Cell_ID]],Registre_Maintenance!A:D,4,FALSE),"Non trouvé")</f>
        <v>Non trouvé</v>
      </c>
      <c r="H213" s="6" t="str">
        <f>IFERROR(VLOOKUP(LOG_RESEAU[[#This Row],[Cell_ID]],Registre_Maintenance!A:E,5,FALSE),"Non trouvé")</f>
        <v>Non trouvé</v>
      </c>
      <c r="I213" s="6" t="str">
        <f>IFERROR(VLOOKUP(LOG_RESEAU[[#This Row],[Cell_ID]],Registre_Maintenance!A:F,6,FALSE),"Non trouvé")</f>
        <v>Non trouvé</v>
      </c>
      <c r="J213" s="6" t="str">
        <f t="shared" si="9"/>
        <v>Antenne inconnue</v>
      </c>
      <c r="K213" s="6">
        <f t="shared" si="10"/>
        <v>7</v>
      </c>
      <c r="L213" s="6">
        <f t="shared" si="11"/>
        <v>435</v>
      </c>
    </row>
    <row r="214" spans="1:12" ht="15.75" x14ac:dyDescent="0.25">
      <c r="A214" s="6" t="s">
        <v>940</v>
      </c>
      <c r="B214" s="7">
        <v>45229.727777777778</v>
      </c>
      <c r="C214" s="6">
        <v>24</v>
      </c>
      <c r="D214" s="6" t="s">
        <v>794</v>
      </c>
      <c r="E214" s="8" t="str">
        <f>IFERROR(VLOOKUP(LOG_RESEAU[[#This Row],[Cell_ID]],Registre_Maintenance!A:B,2,FALSE),"Non trouvé")</f>
        <v>Nord-Kivu</v>
      </c>
      <c r="F214" s="8">
        <f>IFERROR(VLOOKUP(LOG_RESEAU[[#This Row],[Cell_ID]],Registre_Maintenance!A:C,3,FALSE),"Non trouvé")</f>
        <v>-6.5529849999999996</v>
      </c>
      <c r="G214" s="8">
        <f>IFERROR(VLOOKUP(LOG_RESEAU[[#This Row],[Cell_ID]],Registre_Maintenance!A:D,4,FALSE),"Non trouvé")</f>
        <v>21.990606</v>
      </c>
      <c r="H214" s="6" t="str">
        <f>IFERROR(VLOOKUP(LOG_RESEAU[[#This Row],[Cell_ID]],Registre_Maintenance!A:E,5,FALSE),"Non trouvé")</f>
        <v>3G</v>
      </c>
      <c r="I214" s="6" t="str">
        <f>IFERROR(VLOOKUP(LOG_RESEAU[[#This Row],[Cell_ID]],Registre_Maintenance!A:F,6,FALSE),"Non trouvé")</f>
        <v>Huawei</v>
      </c>
      <c r="J214" s="6" t="str">
        <f t="shared" si="9"/>
        <v>OK</v>
      </c>
      <c r="K214" s="6">
        <f t="shared" si="10"/>
        <v>7</v>
      </c>
      <c r="L214" s="6">
        <f t="shared" si="11"/>
        <v>512</v>
      </c>
    </row>
    <row r="215" spans="1:12" ht="15.75" x14ac:dyDescent="0.25">
      <c r="A215" s="6" t="s">
        <v>940</v>
      </c>
      <c r="B215" s="7">
        <v>45208.328472222223</v>
      </c>
      <c r="C215" s="6">
        <v>84</v>
      </c>
      <c r="D215" s="6" t="s">
        <v>792</v>
      </c>
      <c r="E215" s="8" t="str">
        <f>IFERROR(VLOOKUP(LOG_RESEAU[[#This Row],[Cell_ID]],Registre_Maintenance!A:B,2,FALSE),"Non trouvé")</f>
        <v>Nord-Kivu</v>
      </c>
      <c r="F215" s="8">
        <f>IFERROR(VLOOKUP(LOG_RESEAU[[#This Row],[Cell_ID]],Registre_Maintenance!A:C,3,FALSE),"Non trouvé")</f>
        <v>-6.5529849999999996</v>
      </c>
      <c r="G215" s="8">
        <f>IFERROR(VLOOKUP(LOG_RESEAU[[#This Row],[Cell_ID]],Registre_Maintenance!A:D,4,FALSE),"Non trouvé")</f>
        <v>21.990606</v>
      </c>
      <c r="H215" s="6" t="str">
        <f>IFERROR(VLOOKUP(LOG_RESEAU[[#This Row],[Cell_ID]],Registre_Maintenance!A:E,5,FALSE),"Non trouvé")</f>
        <v>3G</v>
      </c>
      <c r="I215" s="6" t="str">
        <f>IFERROR(VLOOKUP(LOG_RESEAU[[#This Row],[Cell_ID]],Registre_Maintenance!A:F,6,FALSE),"Non trouvé")</f>
        <v>Huawei</v>
      </c>
      <c r="J215" s="6" t="str">
        <f t="shared" si="9"/>
        <v>OK</v>
      </c>
      <c r="K215" s="6">
        <f t="shared" si="10"/>
        <v>7</v>
      </c>
      <c r="L215" s="6">
        <f t="shared" si="11"/>
        <v>512</v>
      </c>
    </row>
    <row r="216" spans="1:12" ht="15.75" x14ac:dyDescent="0.25">
      <c r="A216" s="6" t="s">
        <v>940</v>
      </c>
      <c r="B216" s="7">
        <v>45200.095833333333</v>
      </c>
      <c r="C216" s="6">
        <v>102</v>
      </c>
      <c r="D216" s="6" t="s">
        <v>792</v>
      </c>
      <c r="E216" s="8" t="str">
        <f>IFERROR(VLOOKUP(LOG_RESEAU[[#This Row],[Cell_ID]],Registre_Maintenance!A:B,2,FALSE),"Non trouvé")</f>
        <v>Nord-Kivu</v>
      </c>
      <c r="F216" s="8">
        <f>IFERROR(VLOOKUP(LOG_RESEAU[[#This Row],[Cell_ID]],Registre_Maintenance!A:C,3,FALSE),"Non trouvé")</f>
        <v>-6.5529849999999996</v>
      </c>
      <c r="G216" s="8">
        <f>IFERROR(VLOOKUP(LOG_RESEAU[[#This Row],[Cell_ID]],Registre_Maintenance!A:D,4,FALSE),"Non trouvé")</f>
        <v>21.990606</v>
      </c>
      <c r="H216" s="6" t="str">
        <f>IFERROR(VLOOKUP(LOG_RESEAU[[#This Row],[Cell_ID]],Registre_Maintenance!A:E,5,FALSE),"Non trouvé")</f>
        <v>3G</v>
      </c>
      <c r="I216" s="6" t="str">
        <f>IFERROR(VLOOKUP(LOG_RESEAU[[#This Row],[Cell_ID]],Registre_Maintenance!A:F,6,FALSE),"Non trouvé")</f>
        <v>Huawei</v>
      </c>
      <c r="J216" s="6" t="str">
        <f t="shared" si="9"/>
        <v>OK</v>
      </c>
      <c r="K216" s="6">
        <f t="shared" si="10"/>
        <v>7</v>
      </c>
      <c r="L216" s="6">
        <f t="shared" si="11"/>
        <v>512</v>
      </c>
    </row>
    <row r="217" spans="1:12" ht="15.75" x14ac:dyDescent="0.25">
      <c r="A217" s="6" t="s">
        <v>940</v>
      </c>
      <c r="B217" s="7">
        <v>45221.724999999999</v>
      </c>
      <c r="C217" s="6">
        <v>97</v>
      </c>
      <c r="D217" s="6" t="s">
        <v>794</v>
      </c>
      <c r="E217" s="8" t="str">
        <f>IFERROR(VLOOKUP(LOG_RESEAU[[#This Row],[Cell_ID]],Registre_Maintenance!A:B,2,FALSE),"Non trouvé")</f>
        <v>Nord-Kivu</v>
      </c>
      <c r="F217" s="8">
        <f>IFERROR(VLOOKUP(LOG_RESEAU[[#This Row],[Cell_ID]],Registre_Maintenance!A:C,3,FALSE),"Non trouvé")</f>
        <v>-6.5529849999999996</v>
      </c>
      <c r="G217" s="8">
        <f>IFERROR(VLOOKUP(LOG_RESEAU[[#This Row],[Cell_ID]],Registre_Maintenance!A:D,4,FALSE),"Non trouvé")</f>
        <v>21.990606</v>
      </c>
      <c r="H217" s="6" t="str">
        <f>IFERROR(VLOOKUP(LOG_RESEAU[[#This Row],[Cell_ID]],Registre_Maintenance!A:E,5,FALSE),"Non trouvé")</f>
        <v>3G</v>
      </c>
      <c r="I217" s="6" t="str">
        <f>IFERROR(VLOOKUP(LOG_RESEAU[[#This Row],[Cell_ID]],Registre_Maintenance!A:F,6,FALSE),"Non trouvé")</f>
        <v>Huawei</v>
      </c>
      <c r="J217" s="6" t="str">
        <f t="shared" si="9"/>
        <v>OK</v>
      </c>
      <c r="K217" s="6">
        <f t="shared" si="10"/>
        <v>7</v>
      </c>
      <c r="L217" s="6">
        <f t="shared" si="11"/>
        <v>512</v>
      </c>
    </row>
    <row r="218" spans="1:12" ht="15.75" x14ac:dyDescent="0.25">
      <c r="A218" s="6" t="s">
        <v>940</v>
      </c>
      <c r="B218" s="7">
        <v>45217.068749999999</v>
      </c>
      <c r="C218" s="6">
        <v>66</v>
      </c>
      <c r="D218" s="6" t="s">
        <v>792</v>
      </c>
      <c r="E218" s="8" t="str">
        <f>IFERROR(VLOOKUP(LOG_RESEAU[[#This Row],[Cell_ID]],Registre_Maintenance!A:B,2,FALSE),"Non trouvé")</f>
        <v>Nord-Kivu</v>
      </c>
      <c r="F218" s="8">
        <f>IFERROR(VLOOKUP(LOG_RESEAU[[#This Row],[Cell_ID]],Registre_Maintenance!A:C,3,FALSE),"Non trouvé")</f>
        <v>-6.5529849999999996</v>
      </c>
      <c r="G218" s="8">
        <f>IFERROR(VLOOKUP(LOG_RESEAU[[#This Row],[Cell_ID]],Registre_Maintenance!A:D,4,FALSE),"Non trouvé")</f>
        <v>21.990606</v>
      </c>
      <c r="H218" s="6" t="str">
        <f>IFERROR(VLOOKUP(LOG_RESEAU[[#This Row],[Cell_ID]],Registre_Maintenance!A:E,5,FALSE),"Non trouvé")</f>
        <v>3G</v>
      </c>
      <c r="I218" s="6" t="str">
        <f>IFERROR(VLOOKUP(LOG_RESEAU[[#This Row],[Cell_ID]],Registre_Maintenance!A:F,6,FALSE),"Non trouvé")</f>
        <v>Huawei</v>
      </c>
      <c r="J218" s="6" t="str">
        <f t="shared" si="9"/>
        <v>OK</v>
      </c>
      <c r="K218" s="6">
        <f t="shared" si="10"/>
        <v>7</v>
      </c>
      <c r="L218" s="6">
        <f t="shared" si="11"/>
        <v>512</v>
      </c>
    </row>
    <row r="219" spans="1:12" ht="15.75" x14ac:dyDescent="0.25">
      <c r="A219" s="6" t="s">
        <v>940</v>
      </c>
      <c r="B219" s="7">
        <v>45216.546527777777</v>
      </c>
      <c r="C219" s="6">
        <v>78</v>
      </c>
      <c r="D219" s="6" t="s">
        <v>800</v>
      </c>
      <c r="E219" s="8" t="str">
        <f>IFERROR(VLOOKUP(LOG_RESEAU[[#This Row],[Cell_ID]],Registre_Maintenance!A:B,2,FALSE),"Non trouvé")</f>
        <v>Nord-Kivu</v>
      </c>
      <c r="F219" s="8">
        <f>IFERROR(VLOOKUP(LOG_RESEAU[[#This Row],[Cell_ID]],Registre_Maintenance!A:C,3,FALSE),"Non trouvé")</f>
        <v>-6.5529849999999996</v>
      </c>
      <c r="G219" s="8">
        <f>IFERROR(VLOOKUP(LOG_RESEAU[[#This Row],[Cell_ID]],Registre_Maintenance!A:D,4,FALSE),"Non trouvé")</f>
        <v>21.990606</v>
      </c>
      <c r="H219" s="6" t="str">
        <f>IFERROR(VLOOKUP(LOG_RESEAU[[#This Row],[Cell_ID]],Registre_Maintenance!A:E,5,FALSE),"Non trouvé")</f>
        <v>3G</v>
      </c>
      <c r="I219" s="6" t="str">
        <f>IFERROR(VLOOKUP(LOG_RESEAU[[#This Row],[Cell_ID]],Registre_Maintenance!A:F,6,FALSE),"Non trouvé")</f>
        <v>Huawei</v>
      </c>
      <c r="J219" s="6" t="str">
        <f t="shared" si="9"/>
        <v>OK</v>
      </c>
      <c r="K219" s="6">
        <f t="shared" si="10"/>
        <v>7</v>
      </c>
      <c r="L219" s="6">
        <f t="shared" si="11"/>
        <v>512</v>
      </c>
    </row>
    <row r="220" spans="1:12" ht="15.75" x14ac:dyDescent="0.25">
      <c r="A220" s="6" t="s">
        <v>940</v>
      </c>
      <c r="B220" s="7">
        <v>45202.161805555559</v>
      </c>
      <c r="C220" s="6">
        <v>61</v>
      </c>
      <c r="D220" s="6" t="s">
        <v>800</v>
      </c>
      <c r="E220" s="8" t="str">
        <f>IFERROR(VLOOKUP(LOG_RESEAU[[#This Row],[Cell_ID]],Registre_Maintenance!A:B,2,FALSE),"Non trouvé")</f>
        <v>Nord-Kivu</v>
      </c>
      <c r="F220" s="8">
        <f>IFERROR(VLOOKUP(LOG_RESEAU[[#This Row],[Cell_ID]],Registre_Maintenance!A:C,3,FALSE),"Non trouvé")</f>
        <v>-6.5529849999999996</v>
      </c>
      <c r="G220" s="8">
        <f>IFERROR(VLOOKUP(LOG_RESEAU[[#This Row],[Cell_ID]],Registre_Maintenance!A:D,4,FALSE),"Non trouvé")</f>
        <v>21.990606</v>
      </c>
      <c r="H220" s="6" t="str">
        <f>IFERROR(VLOOKUP(LOG_RESEAU[[#This Row],[Cell_ID]],Registre_Maintenance!A:E,5,FALSE),"Non trouvé")</f>
        <v>3G</v>
      </c>
      <c r="I220" s="6" t="str">
        <f>IFERROR(VLOOKUP(LOG_RESEAU[[#This Row],[Cell_ID]],Registre_Maintenance!A:F,6,FALSE),"Non trouvé")</f>
        <v>Huawei</v>
      </c>
      <c r="J220" s="6" t="str">
        <f t="shared" si="9"/>
        <v>OK</v>
      </c>
      <c r="K220" s="6">
        <f t="shared" si="10"/>
        <v>7</v>
      </c>
      <c r="L220" s="6">
        <f t="shared" si="11"/>
        <v>512</v>
      </c>
    </row>
    <row r="221" spans="1:12" ht="15.75" x14ac:dyDescent="0.25">
      <c r="A221" s="6" t="s">
        <v>883</v>
      </c>
      <c r="B221" s="7">
        <v>45226.003472222219</v>
      </c>
      <c r="C221" s="6">
        <v>8</v>
      </c>
      <c r="D221" s="6" t="s">
        <v>800</v>
      </c>
      <c r="E221" s="8" t="str">
        <f>IFERROR(VLOOKUP(LOG_RESEAU[[#This Row],[Cell_ID]],Registre_Maintenance!A:B,2,FALSE),"Non trouvé")</f>
        <v>Nord-Kivu</v>
      </c>
      <c r="F221" s="8">
        <f>IFERROR(VLOOKUP(LOG_RESEAU[[#This Row],[Cell_ID]],Registre_Maintenance!A:C,3,FALSE),"Non trouvé")</f>
        <v>-0.17258100000000001</v>
      </c>
      <c r="G221" s="8">
        <f>IFERROR(VLOOKUP(LOG_RESEAU[[#This Row],[Cell_ID]],Registre_Maintenance!A:D,4,FALSE),"Non trouvé")</f>
        <v>23.775555000000001</v>
      </c>
      <c r="H221" s="6" t="str">
        <f>IFERROR(VLOOKUP(LOG_RESEAU[[#This Row],[Cell_ID]],Registre_Maintenance!A:E,5,FALSE),"Non trouvé")</f>
        <v>5G</v>
      </c>
      <c r="I221" s="6" t="str">
        <f>IFERROR(VLOOKUP(LOG_RESEAU[[#This Row],[Cell_ID]],Registre_Maintenance!A:F,6,FALSE),"Non trouvé")</f>
        <v>Nokia</v>
      </c>
      <c r="J221" s="6" t="str">
        <f t="shared" si="9"/>
        <v>OK</v>
      </c>
      <c r="K221" s="6">
        <f t="shared" si="10"/>
        <v>5</v>
      </c>
      <c r="L221" s="6">
        <f t="shared" si="11"/>
        <v>254</v>
      </c>
    </row>
    <row r="222" spans="1:12" ht="15.75" x14ac:dyDescent="0.25">
      <c r="A222" s="6" t="s">
        <v>883</v>
      </c>
      <c r="B222" s="7">
        <v>45217.926388888889</v>
      </c>
      <c r="C222" s="6">
        <v>63</v>
      </c>
      <c r="D222" s="6" t="s">
        <v>794</v>
      </c>
      <c r="E222" s="8" t="str">
        <f>IFERROR(VLOOKUP(LOG_RESEAU[[#This Row],[Cell_ID]],Registre_Maintenance!A:B,2,FALSE),"Non trouvé")</f>
        <v>Nord-Kivu</v>
      </c>
      <c r="F222" s="8">
        <f>IFERROR(VLOOKUP(LOG_RESEAU[[#This Row],[Cell_ID]],Registre_Maintenance!A:C,3,FALSE),"Non trouvé")</f>
        <v>-0.17258100000000001</v>
      </c>
      <c r="G222" s="8">
        <f>IFERROR(VLOOKUP(LOG_RESEAU[[#This Row],[Cell_ID]],Registre_Maintenance!A:D,4,FALSE),"Non trouvé")</f>
        <v>23.775555000000001</v>
      </c>
      <c r="H222" s="6" t="str">
        <f>IFERROR(VLOOKUP(LOG_RESEAU[[#This Row],[Cell_ID]],Registre_Maintenance!A:E,5,FALSE),"Non trouvé")</f>
        <v>5G</v>
      </c>
      <c r="I222" s="6" t="str">
        <f>IFERROR(VLOOKUP(LOG_RESEAU[[#This Row],[Cell_ID]],Registre_Maintenance!A:F,6,FALSE),"Non trouvé")</f>
        <v>Nokia</v>
      </c>
      <c r="J222" s="6" t="str">
        <f t="shared" si="9"/>
        <v>OK</v>
      </c>
      <c r="K222" s="6">
        <f t="shared" si="10"/>
        <v>5</v>
      </c>
      <c r="L222" s="6">
        <f t="shared" si="11"/>
        <v>254</v>
      </c>
    </row>
    <row r="223" spans="1:12" ht="15.75" x14ac:dyDescent="0.25">
      <c r="A223" s="6" t="s">
        <v>883</v>
      </c>
      <c r="B223" s="7">
        <v>45213.446527777778</v>
      </c>
      <c r="C223" s="6">
        <v>47</v>
      </c>
      <c r="D223" s="6" t="s">
        <v>794</v>
      </c>
      <c r="E223" s="8" t="str">
        <f>IFERROR(VLOOKUP(LOG_RESEAU[[#This Row],[Cell_ID]],Registre_Maintenance!A:B,2,FALSE),"Non trouvé")</f>
        <v>Nord-Kivu</v>
      </c>
      <c r="F223" s="8">
        <f>IFERROR(VLOOKUP(LOG_RESEAU[[#This Row],[Cell_ID]],Registre_Maintenance!A:C,3,FALSE),"Non trouvé")</f>
        <v>-0.17258100000000001</v>
      </c>
      <c r="G223" s="8">
        <f>IFERROR(VLOOKUP(LOG_RESEAU[[#This Row],[Cell_ID]],Registre_Maintenance!A:D,4,FALSE),"Non trouvé")</f>
        <v>23.775555000000001</v>
      </c>
      <c r="H223" s="6" t="str">
        <f>IFERROR(VLOOKUP(LOG_RESEAU[[#This Row],[Cell_ID]],Registre_Maintenance!A:E,5,FALSE),"Non trouvé")</f>
        <v>5G</v>
      </c>
      <c r="I223" s="6" t="str">
        <f>IFERROR(VLOOKUP(LOG_RESEAU[[#This Row],[Cell_ID]],Registre_Maintenance!A:F,6,FALSE),"Non trouvé")</f>
        <v>Nokia</v>
      </c>
      <c r="J223" s="6" t="str">
        <f t="shared" si="9"/>
        <v>OK</v>
      </c>
      <c r="K223" s="6">
        <f t="shared" si="10"/>
        <v>5</v>
      </c>
      <c r="L223" s="6">
        <f t="shared" si="11"/>
        <v>254</v>
      </c>
    </row>
    <row r="224" spans="1:12" ht="15.75" x14ac:dyDescent="0.25">
      <c r="A224" s="6" t="s">
        <v>883</v>
      </c>
      <c r="B224" s="7">
        <v>45222.82708333333</v>
      </c>
      <c r="C224" s="6">
        <v>33</v>
      </c>
      <c r="D224" s="6" t="s">
        <v>794</v>
      </c>
      <c r="E224" s="8" t="str">
        <f>IFERROR(VLOOKUP(LOG_RESEAU[[#This Row],[Cell_ID]],Registre_Maintenance!A:B,2,FALSE),"Non trouvé")</f>
        <v>Nord-Kivu</v>
      </c>
      <c r="F224" s="8">
        <f>IFERROR(VLOOKUP(LOG_RESEAU[[#This Row],[Cell_ID]],Registre_Maintenance!A:C,3,FALSE),"Non trouvé")</f>
        <v>-0.17258100000000001</v>
      </c>
      <c r="G224" s="8">
        <f>IFERROR(VLOOKUP(LOG_RESEAU[[#This Row],[Cell_ID]],Registre_Maintenance!A:D,4,FALSE),"Non trouvé")</f>
        <v>23.775555000000001</v>
      </c>
      <c r="H224" s="6" t="str">
        <f>IFERROR(VLOOKUP(LOG_RESEAU[[#This Row],[Cell_ID]],Registre_Maintenance!A:E,5,FALSE),"Non trouvé")</f>
        <v>5G</v>
      </c>
      <c r="I224" s="6" t="str">
        <f>IFERROR(VLOOKUP(LOG_RESEAU[[#This Row],[Cell_ID]],Registre_Maintenance!A:F,6,FALSE),"Non trouvé")</f>
        <v>Nokia</v>
      </c>
      <c r="J224" s="6" t="str">
        <f t="shared" si="9"/>
        <v>OK</v>
      </c>
      <c r="K224" s="6">
        <f t="shared" si="10"/>
        <v>5</v>
      </c>
      <c r="L224" s="6">
        <f t="shared" si="11"/>
        <v>254</v>
      </c>
    </row>
    <row r="225" spans="1:12" ht="15.75" x14ac:dyDescent="0.25">
      <c r="A225" s="6" t="s">
        <v>883</v>
      </c>
      <c r="B225" s="7">
        <v>45205.463888888888</v>
      </c>
      <c r="C225" s="6">
        <v>103</v>
      </c>
      <c r="D225" s="6" t="s">
        <v>794</v>
      </c>
      <c r="E225" s="8" t="str">
        <f>IFERROR(VLOOKUP(LOG_RESEAU[[#This Row],[Cell_ID]],Registre_Maintenance!A:B,2,FALSE),"Non trouvé")</f>
        <v>Nord-Kivu</v>
      </c>
      <c r="F225" s="8">
        <f>IFERROR(VLOOKUP(LOG_RESEAU[[#This Row],[Cell_ID]],Registre_Maintenance!A:C,3,FALSE),"Non trouvé")</f>
        <v>-0.17258100000000001</v>
      </c>
      <c r="G225" s="8">
        <f>IFERROR(VLOOKUP(LOG_RESEAU[[#This Row],[Cell_ID]],Registre_Maintenance!A:D,4,FALSE),"Non trouvé")</f>
        <v>23.775555000000001</v>
      </c>
      <c r="H225" s="6" t="str">
        <f>IFERROR(VLOOKUP(LOG_RESEAU[[#This Row],[Cell_ID]],Registre_Maintenance!A:E,5,FALSE),"Non trouvé")</f>
        <v>5G</v>
      </c>
      <c r="I225" s="6" t="str">
        <f>IFERROR(VLOOKUP(LOG_RESEAU[[#This Row],[Cell_ID]],Registre_Maintenance!A:F,6,FALSE),"Non trouvé")</f>
        <v>Nokia</v>
      </c>
      <c r="J225" s="6" t="str">
        <f t="shared" si="9"/>
        <v>OK</v>
      </c>
      <c r="K225" s="6">
        <f t="shared" si="10"/>
        <v>5</v>
      </c>
      <c r="L225" s="6">
        <f t="shared" si="11"/>
        <v>254</v>
      </c>
    </row>
    <row r="226" spans="1:12" ht="15.75" x14ac:dyDescent="0.25">
      <c r="A226" s="6" t="s">
        <v>828</v>
      </c>
      <c r="B226" s="7">
        <v>45217.321527777778</v>
      </c>
      <c r="C226" s="6">
        <v>59</v>
      </c>
      <c r="D226" s="6" t="s">
        <v>792</v>
      </c>
      <c r="E226" s="8" t="str">
        <f>IFERROR(VLOOKUP(LOG_RESEAU[[#This Row],[Cell_ID]],Registre_Maintenance!A:B,2,FALSE),"Non trouvé")</f>
        <v>Non trouvé</v>
      </c>
      <c r="F226" s="8" t="str">
        <f>IFERROR(VLOOKUP(LOG_RESEAU[[#This Row],[Cell_ID]],Registre_Maintenance!A:C,3,FALSE),"Non trouvé")</f>
        <v>Non trouvé</v>
      </c>
      <c r="G226" s="8" t="str">
        <f>IFERROR(VLOOKUP(LOG_RESEAU[[#This Row],[Cell_ID]],Registre_Maintenance!A:D,4,FALSE),"Non trouvé")</f>
        <v>Non trouvé</v>
      </c>
      <c r="H226" s="6" t="str">
        <f>IFERROR(VLOOKUP(LOG_RESEAU[[#This Row],[Cell_ID]],Registre_Maintenance!A:E,5,FALSE),"Non trouvé")</f>
        <v>Non trouvé</v>
      </c>
      <c r="I226" s="6" t="str">
        <f>IFERROR(VLOOKUP(LOG_RESEAU[[#This Row],[Cell_ID]],Registre_Maintenance!A:F,6,FALSE),"Non trouvé")</f>
        <v>Non trouvé</v>
      </c>
      <c r="J226" s="6" t="str">
        <f t="shared" si="9"/>
        <v>Antenne inconnue</v>
      </c>
      <c r="K226" s="6">
        <f t="shared" si="10"/>
        <v>5</v>
      </c>
      <c r="L226" s="6">
        <f t="shared" si="11"/>
        <v>374</v>
      </c>
    </row>
    <row r="227" spans="1:12" ht="15.75" x14ac:dyDescent="0.25">
      <c r="A227" s="6" t="s">
        <v>828</v>
      </c>
      <c r="B227" s="7">
        <v>45221.517361111109</v>
      </c>
      <c r="C227" s="6">
        <v>115</v>
      </c>
      <c r="D227" s="6" t="s">
        <v>794</v>
      </c>
      <c r="E227" s="8" t="str">
        <f>IFERROR(VLOOKUP(LOG_RESEAU[[#This Row],[Cell_ID]],Registre_Maintenance!A:B,2,FALSE),"Non trouvé")</f>
        <v>Non trouvé</v>
      </c>
      <c r="F227" s="8" t="str">
        <f>IFERROR(VLOOKUP(LOG_RESEAU[[#This Row],[Cell_ID]],Registre_Maintenance!A:C,3,FALSE),"Non trouvé")</f>
        <v>Non trouvé</v>
      </c>
      <c r="G227" s="8" t="str">
        <f>IFERROR(VLOOKUP(LOG_RESEAU[[#This Row],[Cell_ID]],Registre_Maintenance!A:D,4,FALSE),"Non trouvé")</f>
        <v>Non trouvé</v>
      </c>
      <c r="H227" s="6" t="str">
        <f>IFERROR(VLOOKUP(LOG_RESEAU[[#This Row],[Cell_ID]],Registre_Maintenance!A:E,5,FALSE),"Non trouvé")</f>
        <v>Non trouvé</v>
      </c>
      <c r="I227" s="6" t="str">
        <f>IFERROR(VLOOKUP(LOG_RESEAU[[#This Row],[Cell_ID]],Registre_Maintenance!A:F,6,FALSE),"Non trouvé")</f>
        <v>Non trouvé</v>
      </c>
      <c r="J227" s="6" t="str">
        <f t="shared" si="9"/>
        <v>Antenne inconnue</v>
      </c>
      <c r="K227" s="6">
        <f t="shared" si="10"/>
        <v>5</v>
      </c>
      <c r="L227" s="6">
        <f t="shared" si="11"/>
        <v>374</v>
      </c>
    </row>
    <row r="228" spans="1:12" ht="15.75" x14ac:dyDescent="0.25">
      <c r="A228" s="6" t="s">
        <v>828</v>
      </c>
      <c r="B228" s="7" t="s">
        <v>969</v>
      </c>
      <c r="C228" s="6">
        <v>112</v>
      </c>
      <c r="D228" s="6" t="s">
        <v>792</v>
      </c>
      <c r="E228" s="8" t="str">
        <f>IFERROR(VLOOKUP(LOG_RESEAU[[#This Row],[Cell_ID]],Registre_Maintenance!A:B,2,FALSE),"Non trouvé")</f>
        <v>Non trouvé</v>
      </c>
      <c r="F228" s="8" t="str">
        <f>IFERROR(VLOOKUP(LOG_RESEAU[[#This Row],[Cell_ID]],Registre_Maintenance!A:C,3,FALSE),"Non trouvé")</f>
        <v>Non trouvé</v>
      </c>
      <c r="G228" s="8" t="str">
        <f>IFERROR(VLOOKUP(LOG_RESEAU[[#This Row],[Cell_ID]],Registre_Maintenance!A:D,4,FALSE),"Non trouvé")</f>
        <v>Non trouvé</v>
      </c>
      <c r="H228" s="6" t="str">
        <f>IFERROR(VLOOKUP(LOG_RESEAU[[#This Row],[Cell_ID]],Registre_Maintenance!A:E,5,FALSE),"Non trouvé")</f>
        <v>Non trouvé</v>
      </c>
      <c r="I228" s="6" t="str">
        <f>IFERROR(VLOOKUP(LOG_RESEAU[[#This Row],[Cell_ID]],Registre_Maintenance!A:F,6,FALSE),"Non trouvé")</f>
        <v>Non trouvé</v>
      </c>
      <c r="J228" s="6" t="str">
        <f t="shared" si="9"/>
        <v>Antenne inconnue</v>
      </c>
      <c r="K228" s="6">
        <f t="shared" si="10"/>
        <v>5</v>
      </c>
      <c r="L228" s="6">
        <f t="shared" si="11"/>
        <v>374</v>
      </c>
    </row>
    <row r="229" spans="1:12" ht="15.75" x14ac:dyDescent="0.25">
      <c r="A229" s="6" t="s">
        <v>828</v>
      </c>
      <c r="B229" s="7">
        <v>45202.388888888891</v>
      </c>
      <c r="C229" s="6">
        <v>27</v>
      </c>
      <c r="D229" s="6" t="s">
        <v>794</v>
      </c>
      <c r="E229" s="8" t="str">
        <f>IFERROR(VLOOKUP(LOG_RESEAU[[#This Row],[Cell_ID]],Registre_Maintenance!A:B,2,FALSE),"Non trouvé")</f>
        <v>Non trouvé</v>
      </c>
      <c r="F229" s="8" t="str">
        <f>IFERROR(VLOOKUP(LOG_RESEAU[[#This Row],[Cell_ID]],Registre_Maintenance!A:C,3,FALSE),"Non trouvé")</f>
        <v>Non trouvé</v>
      </c>
      <c r="G229" s="8" t="str">
        <f>IFERROR(VLOOKUP(LOG_RESEAU[[#This Row],[Cell_ID]],Registre_Maintenance!A:D,4,FALSE),"Non trouvé")</f>
        <v>Non trouvé</v>
      </c>
      <c r="H229" s="6" t="str">
        <f>IFERROR(VLOOKUP(LOG_RESEAU[[#This Row],[Cell_ID]],Registre_Maintenance!A:E,5,FALSE),"Non trouvé")</f>
        <v>Non trouvé</v>
      </c>
      <c r="I229" s="6" t="str">
        <f>IFERROR(VLOOKUP(LOG_RESEAU[[#This Row],[Cell_ID]],Registre_Maintenance!A:F,6,FALSE),"Non trouvé")</f>
        <v>Non trouvé</v>
      </c>
      <c r="J229" s="6" t="str">
        <f t="shared" si="9"/>
        <v>Antenne inconnue</v>
      </c>
      <c r="K229" s="6">
        <f t="shared" si="10"/>
        <v>5</v>
      </c>
      <c r="L229" s="6">
        <f t="shared" si="11"/>
        <v>374</v>
      </c>
    </row>
    <row r="230" spans="1:12" ht="15.75" x14ac:dyDescent="0.25">
      <c r="A230" s="6" t="s">
        <v>828</v>
      </c>
      <c r="B230" s="7">
        <v>45201.856944444437</v>
      </c>
      <c r="C230" s="6">
        <v>61</v>
      </c>
      <c r="D230" s="6" t="s">
        <v>794</v>
      </c>
      <c r="E230" s="8" t="str">
        <f>IFERROR(VLOOKUP(LOG_RESEAU[[#This Row],[Cell_ID]],Registre_Maintenance!A:B,2,FALSE),"Non trouvé")</f>
        <v>Non trouvé</v>
      </c>
      <c r="F230" s="8" t="str">
        <f>IFERROR(VLOOKUP(LOG_RESEAU[[#This Row],[Cell_ID]],Registre_Maintenance!A:C,3,FALSE),"Non trouvé")</f>
        <v>Non trouvé</v>
      </c>
      <c r="G230" s="8" t="str">
        <f>IFERROR(VLOOKUP(LOG_RESEAU[[#This Row],[Cell_ID]],Registre_Maintenance!A:D,4,FALSE),"Non trouvé")</f>
        <v>Non trouvé</v>
      </c>
      <c r="H230" s="6" t="str">
        <f>IFERROR(VLOOKUP(LOG_RESEAU[[#This Row],[Cell_ID]],Registre_Maintenance!A:E,5,FALSE),"Non trouvé")</f>
        <v>Non trouvé</v>
      </c>
      <c r="I230" s="6" t="str">
        <f>IFERROR(VLOOKUP(LOG_RESEAU[[#This Row],[Cell_ID]],Registre_Maintenance!A:F,6,FALSE),"Non trouvé")</f>
        <v>Non trouvé</v>
      </c>
      <c r="J230" s="6" t="str">
        <f t="shared" si="9"/>
        <v>Antenne inconnue</v>
      </c>
      <c r="K230" s="6">
        <f t="shared" si="10"/>
        <v>5</v>
      </c>
      <c r="L230" s="6">
        <f t="shared" si="11"/>
        <v>374</v>
      </c>
    </row>
    <row r="231" spans="1:12" ht="15.75" x14ac:dyDescent="0.25">
      <c r="A231" s="6" t="s">
        <v>812</v>
      </c>
      <c r="B231" s="7">
        <v>45227.484722222223</v>
      </c>
      <c r="C231" s="6">
        <v>107</v>
      </c>
      <c r="D231" s="6" t="s">
        <v>794</v>
      </c>
      <c r="E231" s="8" t="str">
        <f>IFERROR(VLOOKUP(LOG_RESEAU[[#This Row],[Cell_ID]],Registre_Maintenance!A:B,2,FALSE),"Non trouvé")</f>
        <v>Non trouvé</v>
      </c>
      <c r="F231" s="8" t="str">
        <f>IFERROR(VLOOKUP(LOG_RESEAU[[#This Row],[Cell_ID]],Registre_Maintenance!A:C,3,FALSE),"Non trouvé")</f>
        <v>Non trouvé</v>
      </c>
      <c r="G231" s="8" t="str">
        <f>IFERROR(VLOOKUP(LOG_RESEAU[[#This Row],[Cell_ID]],Registre_Maintenance!A:D,4,FALSE),"Non trouvé")</f>
        <v>Non trouvé</v>
      </c>
      <c r="H231" s="6" t="str">
        <f>IFERROR(VLOOKUP(LOG_RESEAU[[#This Row],[Cell_ID]],Registre_Maintenance!A:E,5,FALSE),"Non trouvé")</f>
        <v>Non trouvé</v>
      </c>
      <c r="I231" s="6" t="str">
        <f>IFERROR(VLOOKUP(LOG_RESEAU[[#This Row],[Cell_ID]],Registre_Maintenance!A:F,6,FALSE),"Non trouvé")</f>
        <v>Non trouvé</v>
      </c>
      <c r="J231" s="6" t="str">
        <f t="shared" si="9"/>
        <v>Antenne inconnue</v>
      </c>
      <c r="K231" s="6">
        <f t="shared" si="10"/>
        <v>3</v>
      </c>
      <c r="L231" s="6">
        <f t="shared" si="11"/>
        <v>247</v>
      </c>
    </row>
    <row r="232" spans="1:12" ht="15.75" x14ac:dyDescent="0.25">
      <c r="A232" s="6" t="s">
        <v>812</v>
      </c>
      <c r="B232" s="7">
        <v>45200.830555555563</v>
      </c>
      <c r="C232" s="6">
        <v>76</v>
      </c>
      <c r="D232" s="6" t="s">
        <v>792</v>
      </c>
      <c r="E232" s="8" t="str">
        <f>IFERROR(VLOOKUP(LOG_RESEAU[[#This Row],[Cell_ID]],Registre_Maintenance!A:B,2,FALSE),"Non trouvé")</f>
        <v>Non trouvé</v>
      </c>
      <c r="F232" s="8" t="str">
        <f>IFERROR(VLOOKUP(LOG_RESEAU[[#This Row],[Cell_ID]],Registre_Maintenance!A:C,3,FALSE),"Non trouvé")</f>
        <v>Non trouvé</v>
      </c>
      <c r="G232" s="8" t="str">
        <f>IFERROR(VLOOKUP(LOG_RESEAU[[#This Row],[Cell_ID]],Registre_Maintenance!A:D,4,FALSE),"Non trouvé")</f>
        <v>Non trouvé</v>
      </c>
      <c r="H232" s="6" t="str">
        <f>IFERROR(VLOOKUP(LOG_RESEAU[[#This Row],[Cell_ID]],Registre_Maintenance!A:E,5,FALSE),"Non trouvé")</f>
        <v>Non trouvé</v>
      </c>
      <c r="I232" s="6" t="str">
        <f>IFERROR(VLOOKUP(LOG_RESEAU[[#This Row],[Cell_ID]],Registre_Maintenance!A:F,6,FALSE),"Non trouvé")</f>
        <v>Non trouvé</v>
      </c>
      <c r="J232" s="6" t="str">
        <f t="shared" si="9"/>
        <v>Antenne inconnue</v>
      </c>
      <c r="K232" s="6">
        <f t="shared" si="10"/>
        <v>3</v>
      </c>
      <c r="L232" s="6">
        <f t="shared" si="11"/>
        <v>247</v>
      </c>
    </row>
    <row r="233" spans="1:12" ht="15.75" x14ac:dyDescent="0.25">
      <c r="A233" s="6" t="s">
        <v>812</v>
      </c>
      <c r="B233" s="7">
        <v>45220.452777777777</v>
      </c>
      <c r="C233" s="6">
        <v>64</v>
      </c>
      <c r="D233" s="6" t="s">
        <v>794</v>
      </c>
      <c r="E233" s="8" t="str">
        <f>IFERROR(VLOOKUP(LOG_RESEAU[[#This Row],[Cell_ID]],Registre_Maintenance!A:B,2,FALSE),"Non trouvé")</f>
        <v>Non trouvé</v>
      </c>
      <c r="F233" s="8" t="str">
        <f>IFERROR(VLOOKUP(LOG_RESEAU[[#This Row],[Cell_ID]],Registre_Maintenance!A:C,3,FALSE),"Non trouvé")</f>
        <v>Non trouvé</v>
      </c>
      <c r="G233" s="8" t="str">
        <f>IFERROR(VLOOKUP(LOG_RESEAU[[#This Row],[Cell_ID]],Registre_Maintenance!A:D,4,FALSE),"Non trouvé")</f>
        <v>Non trouvé</v>
      </c>
      <c r="H233" s="6" t="str">
        <f>IFERROR(VLOOKUP(LOG_RESEAU[[#This Row],[Cell_ID]],Registre_Maintenance!A:E,5,FALSE),"Non trouvé")</f>
        <v>Non trouvé</v>
      </c>
      <c r="I233" s="6" t="str">
        <f>IFERROR(VLOOKUP(LOG_RESEAU[[#This Row],[Cell_ID]],Registre_Maintenance!A:F,6,FALSE),"Non trouvé")</f>
        <v>Non trouvé</v>
      </c>
      <c r="J233" s="6" t="str">
        <f t="shared" si="9"/>
        <v>Antenne inconnue</v>
      </c>
      <c r="K233" s="6">
        <f t="shared" si="10"/>
        <v>3</v>
      </c>
      <c r="L233" s="6">
        <f t="shared" si="11"/>
        <v>247</v>
      </c>
    </row>
    <row r="234" spans="1:12" ht="15.75" x14ac:dyDescent="0.25">
      <c r="A234" s="6" t="s">
        <v>894</v>
      </c>
      <c r="B234" s="7">
        <v>45227.309027777781</v>
      </c>
      <c r="C234" s="6">
        <v>20</v>
      </c>
      <c r="D234" s="6" t="s">
        <v>794</v>
      </c>
      <c r="E234" s="8" t="str">
        <f>IFERROR(VLOOKUP(LOG_RESEAU[[#This Row],[Cell_ID]],Registre_Maintenance!A:B,2,FALSE),"Non trouvé")</f>
        <v>Equateur</v>
      </c>
      <c r="F234" s="8">
        <f>IFERROR(VLOOKUP(LOG_RESEAU[[#This Row],[Cell_ID]],Registre_Maintenance!A:C,3,FALSE),"Non trouvé")</f>
        <v>-6.7420359999999997</v>
      </c>
      <c r="G234" s="8">
        <f>IFERROR(VLOOKUP(LOG_RESEAU[[#This Row],[Cell_ID]],Registre_Maintenance!A:D,4,FALSE),"Non trouvé")</f>
        <v>28.905578999999999</v>
      </c>
      <c r="H234" s="6" t="str">
        <f>IFERROR(VLOOKUP(LOG_RESEAU[[#This Row],[Cell_ID]],Registre_Maintenance!A:E,5,FALSE),"Non trouvé")</f>
        <v>3G</v>
      </c>
      <c r="I234" s="6" t="str">
        <f>IFERROR(VLOOKUP(LOG_RESEAU[[#This Row],[Cell_ID]],Registre_Maintenance!A:F,6,FALSE),"Non trouvé")</f>
        <v>Huawei</v>
      </c>
      <c r="J234" s="6" t="str">
        <f t="shared" si="9"/>
        <v>OK</v>
      </c>
      <c r="K234" s="6">
        <f t="shared" si="10"/>
        <v>9</v>
      </c>
      <c r="L234" s="6">
        <f t="shared" si="11"/>
        <v>554</v>
      </c>
    </row>
    <row r="235" spans="1:12" ht="15.75" x14ac:dyDescent="0.25">
      <c r="A235" s="6" t="s">
        <v>894</v>
      </c>
      <c r="B235" s="7">
        <v>45209.303472222222</v>
      </c>
      <c r="C235" s="6">
        <v>112</v>
      </c>
      <c r="D235" s="6" t="s">
        <v>792</v>
      </c>
      <c r="E235" s="8" t="str">
        <f>IFERROR(VLOOKUP(LOG_RESEAU[[#This Row],[Cell_ID]],Registre_Maintenance!A:B,2,FALSE),"Non trouvé")</f>
        <v>Equateur</v>
      </c>
      <c r="F235" s="8">
        <f>IFERROR(VLOOKUP(LOG_RESEAU[[#This Row],[Cell_ID]],Registre_Maintenance!A:C,3,FALSE),"Non trouvé")</f>
        <v>-6.7420359999999997</v>
      </c>
      <c r="G235" s="8">
        <f>IFERROR(VLOOKUP(LOG_RESEAU[[#This Row],[Cell_ID]],Registre_Maintenance!A:D,4,FALSE),"Non trouvé")</f>
        <v>28.905578999999999</v>
      </c>
      <c r="H235" s="6" t="str">
        <f>IFERROR(VLOOKUP(LOG_RESEAU[[#This Row],[Cell_ID]],Registre_Maintenance!A:E,5,FALSE),"Non trouvé")</f>
        <v>3G</v>
      </c>
      <c r="I235" s="6" t="str">
        <f>IFERROR(VLOOKUP(LOG_RESEAU[[#This Row],[Cell_ID]],Registre_Maintenance!A:F,6,FALSE),"Non trouvé")</f>
        <v>Huawei</v>
      </c>
      <c r="J235" s="6" t="str">
        <f t="shared" si="9"/>
        <v>OK</v>
      </c>
      <c r="K235" s="6">
        <f t="shared" si="10"/>
        <v>9</v>
      </c>
      <c r="L235" s="6">
        <f t="shared" si="11"/>
        <v>554</v>
      </c>
    </row>
    <row r="236" spans="1:12" ht="15.75" x14ac:dyDescent="0.25">
      <c r="A236" s="6" t="s">
        <v>894</v>
      </c>
      <c r="B236" s="7">
        <v>45226.628472222219</v>
      </c>
      <c r="C236" s="6">
        <v>56</v>
      </c>
      <c r="D236" s="6" t="s">
        <v>800</v>
      </c>
      <c r="E236" s="8" t="str">
        <f>IFERROR(VLOOKUP(LOG_RESEAU[[#This Row],[Cell_ID]],Registre_Maintenance!A:B,2,FALSE),"Non trouvé")</f>
        <v>Equateur</v>
      </c>
      <c r="F236" s="8">
        <f>IFERROR(VLOOKUP(LOG_RESEAU[[#This Row],[Cell_ID]],Registre_Maintenance!A:C,3,FALSE),"Non trouvé")</f>
        <v>-6.7420359999999997</v>
      </c>
      <c r="G236" s="8">
        <f>IFERROR(VLOOKUP(LOG_RESEAU[[#This Row],[Cell_ID]],Registre_Maintenance!A:D,4,FALSE),"Non trouvé")</f>
        <v>28.905578999999999</v>
      </c>
      <c r="H236" s="6" t="str">
        <f>IFERROR(VLOOKUP(LOG_RESEAU[[#This Row],[Cell_ID]],Registre_Maintenance!A:E,5,FALSE),"Non trouvé")</f>
        <v>3G</v>
      </c>
      <c r="I236" s="6" t="str">
        <f>IFERROR(VLOOKUP(LOG_RESEAU[[#This Row],[Cell_ID]],Registre_Maintenance!A:F,6,FALSE),"Non trouvé")</f>
        <v>Huawei</v>
      </c>
      <c r="J236" s="6" t="str">
        <f t="shared" si="9"/>
        <v>OK</v>
      </c>
      <c r="K236" s="6">
        <f t="shared" si="10"/>
        <v>9</v>
      </c>
      <c r="L236" s="6">
        <f t="shared" si="11"/>
        <v>554</v>
      </c>
    </row>
    <row r="237" spans="1:12" ht="15.75" x14ac:dyDescent="0.25">
      <c r="A237" s="6" t="s">
        <v>894</v>
      </c>
      <c r="B237" s="7">
        <v>45202.367361111108</v>
      </c>
      <c r="C237" s="6">
        <v>77</v>
      </c>
      <c r="D237" s="6" t="s">
        <v>800</v>
      </c>
      <c r="E237" s="8" t="str">
        <f>IFERROR(VLOOKUP(LOG_RESEAU[[#This Row],[Cell_ID]],Registre_Maintenance!A:B,2,FALSE),"Non trouvé")</f>
        <v>Equateur</v>
      </c>
      <c r="F237" s="8">
        <f>IFERROR(VLOOKUP(LOG_RESEAU[[#This Row],[Cell_ID]],Registre_Maintenance!A:C,3,FALSE),"Non trouvé")</f>
        <v>-6.7420359999999997</v>
      </c>
      <c r="G237" s="8">
        <f>IFERROR(VLOOKUP(LOG_RESEAU[[#This Row],[Cell_ID]],Registre_Maintenance!A:D,4,FALSE),"Non trouvé")</f>
        <v>28.905578999999999</v>
      </c>
      <c r="H237" s="6" t="str">
        <f>IFERROR(VLOOKUP(LOG_RESEAU[[#This Row],[Cell_ID]],Registre_Maintenance!A:E,5,FALSE),"Non trouvé")</f>
        <v>3G</v>
      </c>
      <c r="I237" s="6" t="str">
        <f>IFERROR(VLOOKUP(LOG_RESEAU[[#This Row],[Cell_ID]],Registre_Maintenance!A:F,6,FALSE),"Non trouvé")</f>
        <v>Huawei</v>
      </c>
      <c r="J237" s="6" t="str">
        <f t="shared" si="9"/>
        <v>OK</v>
      </c>
      <c r="K237" s="6">
        <f t="shared" si="10"/>
        <v>9</v>
      </c>
      <c r="L237" s="6">
        <f t="shared" si="11"/>
        <v>554</v>
      </c>
    </row>
    <row r="238" spans="1:12" ht="15.75" x14ac:dyDescent="0.25">
      <c r="A238" s="6" t="s">
        <v>894</v>
      </c>
      <c r="B238" s="7">
        <v>45230.423611111109</v>
      </c>
      <c r="C238" s="6">
        <v>39</v>
      </c>
      <c r="D238" s="6" t="s">
        <v>792</v>
      </c>
      <c r="E238" s="8" t="str">
        <f>IFERROR(VLOOKUP(LOG_RESEAU[[#This Row],[Cell_ID]],Registre_Maintenance!A:B,2,FALSE),"Non trouvé")</f>
        <v>Equateur</v>
      </c>
      <c r="F238" s="8">
        <f>IFERROR(VLOOKUP(LOG_RESEAU[[#This Row],[Cell_ID]],Registre_Maintenance!A:C,3,FALSE),"Non trouvé")</f>
        <v>-6.7420359999999997</v>
      </c>
      <c r="G238" s="8">
        <f>IFERROR(VLOOKUP(LOG_RESEAU[[#This Row],[Cell_ID]],Registre_Maintenance!A:D,4,FALSE),"Non trouvé")</f>
        <v>28.905578999999999</v>
      </c>
      <c r="H238" s="6" t="str">
        <f>IFERROR(VLOOKUP(LOG_RESEAU[[#This Row],[Cell_ID]],Registre_Maintenance!A:E,5,FALSE),"Non trouvé")</f>
        <v>3G</v>
      </c>
      <c r="I238" s="6" t="str">
        <f>IFERROR(VLOOKUP(LOG_RESEAU[[#This Row],[Cell_ID]],Registre_Maintenance!A:F,6,FALSE),"Non trouvé")</f>
        <v>Huawei</v>
      </c>
      <c r="J238" s="6" t="str">
        <f t="shared" si="9"/>
        <v>OK</v>
      </c>
      <c r="K238" s="6">
        <f t="shared" si="10"/>
        <v>9</v>
      </c>
      <c r="L238" s="6">
        <f t="shared" si="11"/>
        <v>554</v>
      </c>
    </row>
    <row r="239" spans="1:12" ht="15.75" x14ac:dyDescent="0.25">
      <c r="A239" s="6" t="s">
        <v>894</v>
      </c>
      <c r="B239" s="7">
        <v>45225.811805555553</v>
      </c>
      <c r="C239" s="6">
        <v>29</v>
      </c>
      <c r="D239" s="6" t="s">
        <v>794</v>
      </c>
      <c r="E239" s="8" t="str">
        <f>IFERROR(VLOOKUP(LOG_RESEAU[[#This Row],[Cell_ID]],Registre_Maintenance!A:B,2,FALSE),"Non trouvé")</f>
        <v>Equateur</v>
      </c>
      <c r="F239" s="8">
        <f>IFERROR(VLOOKUP(LOG_RESEAU[[#This Row],[Cell_ID]],Registre_Maintenance!A:C,3,FALSE),"Non trouvé")</f>
        <v>-6.7420359999999997</v>
      </c>
      <c r="G239" s="8">
        <f>IFERROR(VLOOKUP(LOG_RESEAU[[#This Row],[Cell_ID]],Registre_Maintenance!A:D,4,FALSE),"Non trouvé")</f>
        <v>28.905578999999999</v>
      </c>
      <c r="H239" s="6" t="str">
        <f>IFERROR(VLOOKUP(LOG_RESEAU[[#This Row],[Cell_ID]],Registre_Maintenance!A:E,5,FALSE),"Non trouvé")</f>
        <v>3G</v>
      </c>
      <c r="I239" s="6" t="str">
        <f>IFERROR(VLOOKUP(LOG_RESEAU[[#This Row],[Cell_ID]],Registre_Maintenance!A:F,6,FALSE),"Non trouvé")</f>
        <v>Huawei</v>
      </c>
      <c r="J239" s="6" t="str">
        <f t="shared" si="9"/>
        <v>OK</v>
      </c>
      <c r="K239" s="6">
        <f t="shared" si="10"/>
        <v>9</v>
      </c>
      <c r="L239" s="6">
        <f t="shared" si="11"/>
        <v>554</v>
      </c>
    </row>
    <row r="240" spans="1:12" ht="15.75" x14ac:dyDescent="0.25">
      <c r="A240" s="6" t="s">
        <v>894</v>
      </c>
      <c r="B240" s="7">
        <v>45215.611111111109</v>
      </c>
      <c r="C240" s="6">
        <v>119</v>
      </c>
      <c r="D240" s="6" t="s">
        <v>794</v>
      </c>
      <c r="E240" s="8" t="str">
        <f>IFERROR(VLOOKUP(LOG_RESEAU[[#This Row],[Cell_ID]],Registre_Maintenance!A:B,2,FALSE),"Non trouvé")</f>
        <v>Equateur</v>
      </c>
      <c r="F240" s="8">
        <f>IFERROR(VLOOKUP(LOG_RESEAU[[#This Row],[Cell_ID]],Registre_Maintenance!A:C,3,FALSE),"Non trouvé")</f>
        <v>-6.7420359999999997</v>
      </c>
      <c r="G240" s="8">
        <f>IFERROR(VLOOKUP(LOG_RESEAU[[#This Row],[Cell_ID]],Registre_Maintenance!A:D,4,FALSE),"Non trouvé")</f>
        <v>28.905578999999999</v>
      </c>
      <c r="H240" s="6" t="str">
        <f>IFERROR(VLOOKUP(LOG_RESEAU[[#This Row],[Cell_ID]],Registre_Maintenance!A:E,5,FALSE),"Non trouvé")</f>
        <v>3G</v>
      </c>
      <c r="I240" s="6" t="str">
        <f>IFERROR(VLOOKUP(LOG_RESEAU[[#This Row],[Cell_ID]],Registre_Maintenance!A:F,6,FALSE),"Non trouvé")</f>
        <v>Huawei</v>
      </c>
      <c r="J240" s="6" t="str">
        <f t="shared" si="9"/>
        <v>OK</v>
      </c>
      <c r="K240" s="6">
        <f t="shared" si="10"/>
        <v>9</v>
      </c>
      <c r="L240" s="6">
        <f t="shared" si="11"/>
        <v>554</v>
      </c>
    </row>
    <row r="241" spans="1:12" ht="15.75" x14ac:dyDescent="0.25">
      <c r="A241" s="6" t="s">
        <v>894</v>
      </c>
      <c r="B241" s="7">
        <v>45224.745138888888</v>
      </c>
      <c r="C241" s="6">
        <v>20</v>
      </c>
      <c r="D241" s="6" t="s">
        <v>794</v>
      </c>
      <c r="E241" s="8" t="str">
        <f>IFERROR(VLOOKUP(LOG_RESEAU[[#This Row],[Cell_ID]],Registre_Maintenance!A:B,2,FALSE),"Non trouvé")</f>
        <v>Equateur</v>
      </c>
      <c r="F241" s="8">
        <f>IFERROR(VLOOKUP(LOG_RESEAU[[#This Row],[Cell_ID]],Registre_Maintenance!A:C,3,FALSE),"Non trouvé")</f>
        <v>-6.7420359999999997</v>
      </c>
      <c r="G241" s="8">
        <f>IFERROR(VLOOKUP(LOG_RESEAU[[#This Row],[Cell_ID]],Registre_Maintenance!A:D,4,FALSE),"Non trouvé")</f>
        <v>28.905578999999999</v>
      </c>
      <c r="H241" s="6" t="str">
        <f>IFERROR(VLOOKUP(LOG_RESEAU[[#This Row],[Cell_ID]],Registre_Maintenance!A:E,5,FALSE),"Non trouvé")</f>
        <v>3G</v>
      </c>
      <c r="I241" s="6" t="str">
        <f>IFERROR(VLOOKUP(LOG_RESEAU[[#This Row],[Cell_ID]],Registre_Maintenance!A:F,6,FALSE),"Non trouvé")</f>
        <v>Huawei</v>
      </c>
      <c r="J241" s="6" t="str">
        <f t="shared" si="9"/>
        <v>OK</v>
      </c>
      <c r="K241" s="6">
        <f t="shared" si="10"/>
        <v>9</v>
      </c>
      <c r="L241" s="6">
        <f t="shared" si="11"/>
        <v>554</v>
      </c>
    </row>
    <row r="242" spans="1:12" ht="15.75" x14ac:dyDescent="0.25">
      <c r="A242" s="6" t="s">
        <v>894</v>
      </c>
      <c r="B242" s="7">
        <v>45214.31527777778</v>
      </c>
      <c r="C242" s="6">
        <v>82</v>
      </c>
      <c r="D242" s="6" t="s">
        <v>792</v>
      </c>
      <c r="E242" s="8" t="str">
        <f>IFERROR(VLOOKUP(LOG_RESEAU[[#This Row],[Cell_ID]],Registre_Maintenance!A:B,2,FALSE),"Non trouvé")</f>
        <v>Equateur</v>
      </c>
      <c r="F242" s="8">
        <f>IFERROR(VLOOKUP(LOG_RESEAU[[#This Row],[Cell_ID]],Registre_Maintenance!A:C,3,FALSE),"Non trouvé")</f>
        <v>-6.7420359999999997</v>
      </c>
      <c r="G242" s="8">
        <f>IFERROR(VLOOKUP(LOG_RESEAU[[#This Row],[Cell_ID]],Registre_Maintenance!A:D,4,FALSE),"Non trouvé")</f>
        <v>28.905578999999999</v>
      </c>
      <c r="H242" s="6" t="str">
        <f>IFERROR(VLOOKUP(LOG_RESEAU[[#This Row],[Cell_ID]],Registre_Maintenance!A:E,5,FALSE),"Non trouvé")</f>
        <v>3G</v>
      </c>
      <c r="I242" s="6" t="str">
        <f>IFERROR(VLOOKUP(LOG_RESEAU[[#This Row],[Cell_ID]],Registre_Maintenance!A:F,6,FALSE),"Non trouvé")</f>
        <v>Huawei</v>
      </c>
      <c r="J242" s="6" t="str">
        <f t="shared" si="9"/>
        <v>OK</v>
      </c>
      <c r="K242" s="6">
        <f t="shared" si="10"/>
        <v>9</v>
      </c>
      <c r="L242" s="6">
        <f t="shared" si="11"/>
        <v>554</v>
      </c>
    </row>
    <row r="243" spans="1:12" ht="15.75" x14ac:dyDescent="0.25">
      <c r="A243" s="6" t="s">
        <v>847</v>
      </c>
      <c r="B243" s="7">
        <v>45228.741666666669</v>
      </c>
      <c r="C243" s="6">
        <v>10</v>
      </c>
      <c r="D243" s="6" t="s">
        <v>792</v>
      </c>
      <c r="E243" s="8" t="str">
        <f>IFERROR(VLOOKUP(LOG_RESEAU[[#This Row],[Cell_ID]],Registre_Maintenance!A:B,2,FALSE),"Non trouvé")</f>
        <v>Non trouvé</v>
      </c>
      <c r="F243" s="8" t="str">
        <f>IFERROR(VLOOKUP(LOG_RESEAU[[#This Row],[Cell_ID]],Registre_Maintenance!A:C,3,FALSE),"Non trouvé")</f>
        <v>Non trouvé</v>
      </c>
      <c r="G243" s="8" t="str">
        <f>IFERROR(VLOOKUP(LOG_RESEAU[[#This Row],[Cell_ID]],Registre_Maintenance!A:D,4,FALSE),"Non trouvé")</f>
        <v>Non trouvé</v>
      </c>
      <c r="H243" s="6" t="str">
        <f>IFERROR(VLOOKUP(LOG_RESEAU[[#This Row],[Cell_ID]],Registre_Maintenance!A:E,5,FALSE),"Non trouvé")</f>
        <v>Non trouvé</v>
      </c>
      <c r="I243" s="6" t="str">
        <f>IFERROR(VLOOKUP(LOG_RESEAU[[#This Row],[Cell_ID]],Registre_Maintenance!A:F,6,FALSE),"Non trouvé")</f>
        <v>Non trouvé</v>
      </c>
      <c r="J243" s="6" t="str">
        <f t="shared" si="9"/>
        <v>Antenne inconnue</v>
      </c>
      <c r="K243" s="6">
        <f t="shared" si="10"/>
        <v>4</v>
      </c>
      <c r="L243" s="6">
        <f t="shared" si="11"/>
        <v>190</v>
      </c>
    </row>
    <row r="244" spans="1:12" ht="15.75" x14ac:dyDescent="0.25">
      <c r="A244" s="6" t="s">
        <v>847</v>
      </c>
      <c r="B244" s="7">
        <v>45208.688194444447</v>
      </c>
      <c r="C244" s="6">
        <v>27</v>
      </c>
      <c r="D244" s="6" t="s">
        <v>792</v>
      </c>
      <c r="E244" s="8" t="str">
        <f>IFERROR(VLOOKUP(LOG_RESEAU[[#This Row],[Cell_ID]],Registre_Maintenance!A:B,2,FALSE),"Non trouvé")</f>
        <v>Non trouvé</v>
      </c>
      <c r="F244" s="8" t="str">
        <f>IFERROR(VLOOKUP(LOG_RESEAU[[#This Row],[Cell_ID]],Registre_Maintenance!A:C,3,FALSE),"Non trouvé")</f>
        <v>Non trouvé</v>
      </c>
      <c r="G244" s="8" t="str">
        <f>IFERROR(VLOOKUP(LOG_RESEAU[[#This Row],[Cell_ID]],Registre_Maintenance!A:D,4,FALSE),"Non trouvé")</f>
        <v>Non trouvé</v>
      </c>
      <c r="H244" s="6" t="str">
        <f>IFERROR(VLOOKUP(LOG_RESEAU[[#This Row],[Cell_ID]],Registre_Maintenance!A:E,5,FALSE),"Non trouvé")</f>
        <v>Non trouvé</v>
      </c>
      <c r="I244" s="6" t="str">
        <f>IFERROR(VLOOKUP(LOG_RESEAU[[#This Row],[Cell_ID]],Registre_Maintenance!A:F,6,FALSE),"Non trouvé")</f>
        <v>Non trouvé</v>
      </c>
      <c r="J244" s="6" t="str">
        <f t="shared" si="9"/>
        <v>Antenne inconnue</v>
      </c>
      <c r="K244" s="6">
        <f t="shared" si="10"/>
        <v>4</v>
      </c>
      <c r="L244" s="6">
        <f t="shared" si="11"/>
        <v>190</v>
      </c>
    </row>
    <row r="245" spans="1:12" ht="15.75" x14ac:dyDescent="0.25">
      <c r="A245" s="6" t="s">
        <v>847</v>
      </c>
      <c r="B245" s="7">
        <v>45222.19027777778</v>
      </c>
      <c r="C245" s="6">
        <v>35</v>
      </c>
      <c r="D245" s="6" t="s">
        <v>800</v>
      </c>
      <c r="E245" s="8" t="str">
        <f>IFERROR(VLOOKUP(LOG_RESEAU[[#This Row],[Cell_ID]],Registre_Maintenance!A:B,2,FALSE),"Non trouvé")</f>
        <v>Non trouvé</v>
      </c>
      <c r="F245" s="8" t="str">
        <f>IFERROR(VLOOKUP(LOG_RESEAU[[#This Row],[Cell_ID]],Registre_Maintenance!A:C,3,FALSE),"Non trouvé")</f>
        <v>Non trouvé</v>
      </c>
      <c r="G245" s="8" t="str">
        <f>IFERROR(VLOOKUP(LOG_RESEAU[[#This Row],[Cell_ID]],Registre_Maintenance!A:D,4,FALSE),"Non trouvé")</f>
        <v>Non trouvé</v>
      </c>
      <c r="H245" s="6" t="str">
        <f>IFERROR(VLOOKUP(LOG_RESEAU[[#This Row],[Cell_ID]],Registre_Maintenance!A:E,5,FALSE),"Non trouvé")</f>
        <v>Non trouvé</v>
      </c>
      <c r="I245" s="6" t="str">
        <f>IFERROR(VLOOKUP(LOG_RESEAU[[#This Row],[Cell_ID]],Registre_Maintenance!A:F,6,FALSE),"Non trouvé")</f>
        <v>Non trouvé</v>
      </c>
      <c r="J245" s="6" t="str">
        <f t="shared" si="9"/>
        <v>Antenne inconnue</v>
      </c>
      <c r="K245" s="6">
        <f t="shared" si="10"/>
        <v>4</v>
      </c>
      <c r="L245" s="6">
        <f t="shared" si="11"/>
        <v>190</v>
      </c>
    </row>
    <row r="246" spans="1:12" ht="15.75" x14ac:dyDescent="0.25">
      <c r="A246" s="6" t="s">
        <v>847</v>
      </c>
      <c r="B246" s="7">
        <v>45223.451388888891</v>
      </c>
      <c r="C246" s="6">
        <v>118</v>
      </c>
      <c r="D246" s="6" t="s">
        <v>800</v>
      </c>
      <c r="E246" s="8" t="str">
        <f>IFERROR(VLOOKUP(LOG_RESEAU[[#This Row],[Cell_ID]],Registre_Maintenance!A:B,2,FALSE),"Non trouvé")</f>
        <v>Non trouvé</v>
      </c>
      <c r="F246" s="8" t="str">
        <f>IFERROR(VLOOKUP(LOG_RESEAU[[#This Row],[Cell_ID]],Registre_Maintenance!A:C,3,FALSE),"Non trouvé")</f>
        <v>Non trouvé</v>
      </c>
      <c r="G246" s="8" t="str">
        <f>IFERROR(VLOOKUP(LOG_RESEAU[[#This Row],[Cell_ID]],Registre_Maintenance!A:D,4,FALSE),"Non trouvé")</f>
        <v>Non trouvé</v>
      </c>
      <c r="H246" s="6" t="str">
        <f>IFERROR(VLOOKUP(LOG_RESEAU[[#This Row],[Cell_ID]],Registre_Maintenance!A:E,5,FALSE),"Non trouvé")</f>
        <v>Non trouvé</v>
      </c>
      <c r="I246" s="6" t="str">
        <f>IFERROR(VLOOKUP(LOG_RESEAU[[#This Row],[Cell_ID]],Registre_Maintenance!A:F,6,FALSE),"Non trouvé")</f>
        <v>Non trouvé</v>
      </c>
      <c r="J246" s="6" t="str">
        <f t="shared" si="9"/>
        <v>Antenne inconnue</v>
      </c>
      <c r="K246" s="6">
        <f t="shared" si="10"/>
        <v>4</v>
      </c>
      <c r="L246" s="6">
        <f t="shared" si="11"/>
        <v>190</v>
      </c>
    </row>
    <row r="247" spans="1:12" ht="15.75" x14ac:dyDescent="0.25">
      <c r="A247" s="6" t="s">
        <v>960</v>
      </c>
      <c r="B247" s="7">
        <v>45225.159722222219</v>
      </c>
      <c r="C247" s="6">
        <v>56</v>
      </c>
      <c r="D247" s="6" t="s">
        <v>800</v>
      </c>
      <c r="E247" s="8" t="str">
        <f>IFERROR(VLOOKUP(LOG_RESEAU[[#This Row],[Cell_ID]],Registre_Maintenance!A:B,2,FALSE),"Non trouvé")</f>
        <v>Non trouvé</v>
      </c>
      <c r="F247" s="8" t="str">
        <f>IFERROR(VLOOKUP(LOG_RESEAU[[#This Row],[Cell_ID]],Registre_Maintenance!A:C,3,FALSE),"Non trouvé")</f>
        <v>Non trouvé</v>
      </c>
      <c r="G247" s="8" t="str">
        <f>IFERROR(VLOOKUP(LOG_RESEAU[[#This Row],[Cell_ID]],Registre_Maintenance!A:D,4,FALSE),"Non trouvé")</f>
        <v>Non trouvé</v>
      </c>
      <c r="H247" s="6" t="str">
        <f>IFERROR(VLOOKUP(LOG_RESEAU[[#This Row],[Cell_ID]],Registre_Maintenance!A:E,5,FALSE),"Non trouvé")</f>
        <v>Non trouvé</v>
      </c>
      <c r="I247" s="6" t="str">
        <f>IFERROR(VLOOKUP(LOG_RESEAU[[#This Row],[Cell_ID]],Registre_Maintenance!A:F,6,FALSE),"Non trouvé")</f>
        <v>Non trouvé</v>
      </c>
      <c r="J247" s="6" t="str">
        <f t="shared" si="9"/>
        <v>Antenne inconnue</v>
      </c>
      <c r="K247" s="6">
        <f t="shared" si="10"/>
        <v>3</v>
      </c>
      <c r="L247" s="6">
        <f t="shared" si="11"/>
        <v>266</v>
      </c>
    </row>
    <row r="248" spans="1:12" ht="15.75" x14ac:dyDescent="0.25">
      <c r="A248" s="6" t="s">
        <v>960</v>
      </c>
      <c r="B248" s="7">
        <v>45227.335416666669</v>
      </c>
      <c r="C248" s="6">
        <v>90</v>
      </c>
      <c r="D248" s="6" t="s">
        <v>800</v>
      </c>
      <c r="E248" s="8" t="str">
        <f>IFERROR(VLOOKUP(LOG_RESEAU[[#This Row],[Cell_ID]],Registre_Maintenance!A:B,2,FALSE),"Non trouvé")</f>
        <v>Non trouvé</v>
      </c>
      <c r="F248" s="8" t="str">
        <f>IFERROR(VLOOKUP(LOG_RESEAU[[#This Row],[Cell_ID]],Registre_Maintenance!A:C,3,FALSE),"Non trouvé")</f>
        <v>Non trouvé</v>
      </c>
      <c r="G248" s="8" t="str">
        <f>IFERROR(VLOOKUP(LOG_RESEAU[[#This Row],[Cell_ID]],Registre_Maintenance!A:D,4,FALSE),"Non trouvé")</f>
        <v>Non trouvé</v>
      </c>
      <c r="H248" s="6" t="str">
        <f>IFERROR(VLOOKUP(LOG_RESEAU[[#This Row],[Cell_ID]],Registre_Maintenance!A:E,5,FALSE),"Non trouvé")</f>
        <v>Non trouvé</v>
      </c>
      <c r="I248" s="6" t="str">
        <f>IFERROR(VLOOKUP(LOG_RESEAU[[#This Row],[Cell_ID]],Registre_Maintenance!A:F,6,FALSE),"Non trouvé")</f>
        <v>Non trouvé</v>
      </c>
      <c r="J248" s="6" t="str">
        <f t="shared" si="9"/>
        <v>Antenne inconnue</v>
      </c>
      <c r="K248" s="6">
        <f t="shared" si="10"/>
        <v>3</v>
      </c>
      <c r="L248" s="6">
        <f t="shared" si="11"/>
        <v>266</v>
      </c>
    </row>
    <row r="249" spans="1:12" ht="15.75" x14ac:dyDescent="0.25">
      <c r="A249" s="6" t="s">
        <v>960</v>
      </c>
      <c r="B249" s="7">
        <v>45211.324305555558</v>
      </c>
      <c r="C249" s="6">
        <v>120</v>
      </c>
      <c r="D249" s="6" t="s">
        <v>792</v>
      </c>
      <c r="E249" s="8" t="str">
        <f>IFERROR(VLOOKUP(LOG_RESEAU[[#This Row],[Cell_ID]],Registre_Maintenance!A:B,2,FALSE),"Non trouvé")</f>
        <v>Non trouvé</v>
      </c>
      <c r="F249" s="8" t="str">
        <f>IFERROR(VLOOKUP(LOG_RESEAU[[#This Row],[Cell_ID]],Registre_Maintenance!A:C,3,FALSE),"Non trouvé")</f>
        <v>Non trouvé</v>
      </c>
      <c r="G249" s="8" t="str">
        <f>IFERROR(VLOOKUP(LOG_RESEAU[[#This Row],[Cell_ID]],Registre_Maintenance!A:D,4,FALSE),"Non trouvé")</f>
        <v>Non trouvé</v>
      </c>
      <c r="H249" s="6" t="str">
        <f>IFERROR(VLOOKUP(LOG_RESEAU[[#This Row],[Cell_ID]],Registre_Maintenance!A:E,5,FALSE),"Non trouvé")</f>
        <v>Non trouvé</v>
      </c>
      <c r="I249" s="6" t="str">
        <f>IFERROR(VLOOKUP(LOG_RESEAU[[#This Row],[Cell_ID]],Registre_Maintenance!A:F,6,FALSE),"Non trouvé")</f>
        <v>Non trouvé</v>
      </c>
      <c r="J249" s="6" t="str">
        <f t="shared" si="9"/>
        <v>Antenne inconnue</v>
      </c>
      <c r="K249" s="6">
        <f t="shared" si="10"/>
        <v>3</v>
      </c>
      <c r="L249" s="6">
        <f t="shared" si="11"/>
        <v>266</v>
      </c>
    </row>
    <row r="250" spans="1:12" ht="15.75" x14ac:dyDescent="0.25">
      <c r="A250" s="6" t="s">
        <v>934</v>
      </c>
      <c r="B250" s="7">
        <v>45209.32708333333</v>
      </c>
      <c r="C250" s="6">
        <v>41</v>
      </c>
      <c r="D250" s="6" t="s">
        <v>792</v>
      </c>
      <c r="E250" s="8" t="str">
        <f>IFERROR(VLOOKUP(LOG_RESEAU[[#This Row],[Cell_ID]],Registre_Maintenance!A:B,2,FALSE),"Non trouvé")</f>
        <v>Non trouvé</v>
      </c>
      <c r="F250" s="8" t="str">
        <f>IFERROR(VLOOKUP(LOG_RESEAU[[#This Row],[Cell_ID]],Registre_Maintenance!A:C,3,FALSE),"Non trouvé")</f>
        <v>Non trouvé</v>
      </c>
      <c r="G250" s="8" t="str">
        <f>IFERROR(VLOOKUP(LOG_RESEAU[[#This Row],[Cell_ID]],Registre_Maintenance!A:D,4,FALSE),"Non trouvé")</f>
        <v>Non trouvé</v>
      </c>
      <c r="H250" s="6" t="str">
        <f>IFERROR(VLOOKUP(LOG_RESEAU[[#This Row],[Cell_ID]],Registre_Maintenance!A:E,5,FALSE),"Non trouvé")</f>
        <v>Non trouvé</v>
      </c>
      <c r="I250" s="6" t="str">
        <f>IFERROR(VLOOKUP(LOG_RESEAU[[#This Row],[Cell_ID]],Registre_Maintenance!A:F,6,FALSE),"Non trouvé")</f>
        <v>Non trouvé</v>
      </c>
      <c r="J250" s="6" t="str">
        <f t="shared" si="9"/>
        <v>Antenne inconnue</v>
      </c>
      <c r="K250" s="6">
        <f t="shared" si="10"/>
        <v>4</v>
      </c>
      <c r="L250" s="6">
        <f t="shared" si="11"/>
        <v>194</v>
      </c>
    </row>
    <row r="251" spans="1:12" ht="15.75" x14ac:dyDescent="0.25">
      <c r="A251" s="6" t="s">
        <v>934</v>
      </c>
      <c r="B251" s="7">
        <v>45230.484027777777</v>
      </c>
      <c r="C251" s="6">
        <v>57</v>
      </c>
      <c r="D251" s="6" t="s">
        <v>800</v>
      </c>
      <c r="E251" s="8" t="str">
        <f>IFERROR(VLOOKUP(LOG_RESEAU[[#This Row],[Cell_ID]],Registre_Maintenance!A:B,2,FALSE),"Non trouvé")</f>
        <v>Non trouvé</v>
      </c>
      <c r="F251" s="8" t="str">
        <f>IFERROR(VLOOKUP(LOG_RESEAU[[#This Row],[Cell_ID]],Registre_Maintenance!A:C,3,FALSE),"Non trouvé")</f>
        <v>Non trouvé</v>
      </c>
      <c r="G251" s="8" t="str">
        <f>IFERROR(VLOOKUP(LOG_RESEAU[[#This Row],[Cell_ID]],Registre_Maintenance!A:D,4,FALSE),"Non trouvé")</f>
        <v>Non trouvé</v>
      </c>
      <c r="H251" s="6" t="str">
        <f>IFERROR(VLOOKUP(LOG_RESEAU[[#This Row],[Cell_ID]],Registre_Maintenance!A:E,5,FALSE),"Non trouvé")</f>
        <v>Non trouvé</v>
      </c>
      <c r="I251" s="6" t="str">
        <f>IFERROR(VLOOKUP(LOG_RESEAU[[#This Row],[Cell_ID]],Registre_Maintenance!A:F,6,FALSE),"Non trouvé")</f>
        <v>Non trouvé</v>
      </c>
      <c r="J251" s="6" t="str">
        <f t="shared" si="9"/>
        <v>Antenne inconnue</v>
      </c>
      <c r="K251" s="6">
        <f t="shared" si="10"/>
        <v>4</v>
      </c>
      <c r="L251" s="6">
        <f t="shared" si="11"/>
        <v>194</v>
      </c>
    </row>
    <row r="252" spans="1:12" ht="15.75" x14ac:dyDescent="0.25">
      <c r="A252" s="6" t="s">
        <v>934</v>
      </c>
      <c r="B252" s="7">
        <v>45224.211111111108</v>
      </c>
      <c r="C252" s="6">
        <v>37</v>
      </c>
      <c r="D252" s="6" t="s">
        <v>792</v>
      </c>
      <c r="E252" s="8" t="str">
        <f>IFERROR(VLOOKUP(LOG_RESEAU[[#This Row],[Cell_ID]],Registre_Maintenance!A:B,2,FALSE),"Non trouvé")</f>
        <v>Non trouvé</v>
      </c>
      <c r="F252" s="8" t="str">
        <f>IFERROR(VLOOKUP(LOG_RESEAU[[#This Row],[Cell_ID]],Registre_Maintenance!A:C,3,FALSE),"Non trouvé")</f>
        <v>Non trouvé</v>
      </c>
      <c r="G252" s="8" t="str">
        <f>IFERROR(VLOOKUP(LOG_RESEAU[[#This Row],[Cell_ID]],Registre_Maintenance!A:D,4,FALSE),"Non trouvé")</f>
        <v>Non trouvé</v>
      </c>
      <c r="H252" s="6" t="str">
        <f>IFERROR(VLOOKUP(LOG_RESEAU[[#This Row],[Cell_ID]],Registre_Maintenance!A:E,5,FALSE),"Non trouvé")</f>
        <v>Non trouvé</v>
      </c>
      <c r="I252" s="6" t="str">
        <f>IFERROR(VLOOKUP(LOG_RESEAU[[#This Row],[Cell_ID]],Registre_Maintenance!A:F,6,FALSE),"Non trouvé")</f>
        <v>Non trouvé</v>
      </c>
      <c r="J252" s="6" t="str">
        <f t="shared" si="9"/>
        <v>Antenne inconnue</v>
      </c>
      <c r="K252" s="6">
        <f t="shared" si="10"/>
        <v>4</v>
      </c>
      <c r="L252" s="6">
        <f t="shared" si="11"/>
        <v>194</v>
      </c>
    </row>
    <row r="253" spans="1:12" ht="15.75" x14ac:dyDescent="0.25">
      <c r="A253" s="6" t="s">
        <v>934</v>
      </c>
      <c r="B253" s="7">
        <v>45202.395138888889</v>
      </c>
      <c r="C253" s="6">
        <v>59</v>
      </c>
      <c r="D253" s="6" t="s">
        <v>794</v>
      </c>
      <c r="E253" s="8" t="str">
        <f>IFERROR(VLOOKUP(LOG_RESEAU[[#This Row],[Cell_ID]],Registre_Maintenance!A:B,2,FALSE),"Non trouvé")</f>
        <v>Non trouvé</v>
      </c>
      <c r="F253" s="8" t="str">
        <f>IFERROR(VLOOKUP(LOG_RESEAU[[#This Row],[Cell_ID]],Registre_Maintenance!A:C,3,FALSE),"Non trouvé")</f>
        <v>Non trouvé</v>
      </c>
      <c r="G253" s="8" t="str">
        <f>IFERROR(VLOOKUP(LOG_RESEAU[[#This Row],[Cell_ID]],Registre_Maintenance!A:D,4,FALSE),"Non trouvé")</f>
        <v>Non trouvé</v>
      </c>
      <c r="H253" s="6" t="str">
        <f>IFERROR(VLOOKUP(LOG_RESEAU[[#This Row],[Cell_ID]],Registre_Maintenance!A:E,5,FALSE),"Non trouvé")</f>
        <v>Non trouvé</v>
      </c>
      <c r="I253" s="6" t="str">
        <f>IFERROR(VLOOKUP(LOG_RESEAU[[#This Row],[Cell_ID]],Registre_Maintenance!A:F,6,FALSE),"Non trouvé")</f>
        <v>Non trouvé</v>
      </c>
      <c r="J253" s="6" t="str">
        <f t="shared" si="9"/>
        <v>Antenne inconnue</v>
      </c>
      <c r="K253" s="6">
        <f t="shared" si="10"/>
        <v>4</v>
      </c>
      <c r="L253" s="6">
        <f t="shared" si="11"/>
        <v>194</v>
      </c>
    </row>
    <row r="254" spans="1:12" ht="15.75" x14ac:dyDescent="0.25">
      <c r="A254" s="6" t="s">
        <v>997</v>
      </c>
      <c r="B254" s="7">
        <v>45201.409722222219</v>
      </c>
      <c r="C254" s="6">
        <v>72</v>
      </c>
      <c r="D254" s="6" t="s">
        <v>794</v>
      </c>
      <c r="E254" s="8" t="str">
        <f>IFERROR(VLOOKUP(LOG_RESEAU[[#This Row],[Cell_ID]],Registre_Maintenance!A:B,2,FALSE),"Non trouvé")</f>
        <v>Non trouvé</v>
      </c>
      <c r="F254" s="8" t="str">
        <f>IFERROR(VLOOKUP(LOG_RESEAU[[#This Row],[Cell_ID]],Registre_Maintenance!A:C,3,FALSE),"Non trouvé")</f>
        <v>Non trouvé</v>
      </c>
      <c r="G254" s="8" t="str">
        <f>IFERROR(VLOOKUP(LOG_RESEAU[[#This Row],[Cell_ID]],Registre_Maintenance!A:D,4,FALSE),"Non trouvé")</f>
        <v>Non trouvé</v>
      </c>
      <c r="H254" s="6" t="str">
        <f>IFERROR(VLOOKUP(LOG_RESEAU[[#This Row],[Cell_ID]],Registre_Maintenance!A:E,5,FALSE),"Non trouvé")</f>
        <v>Non trouvé</v>
      </c>
      <c r="I254" s="6" t="str">
        <f>IFERROR(VLOOKUP(LOG_RESEAU[[#This Row],[Cell_ID]],Registre_Maintenance!A:F,6,FALSE),"Non trouvé")</f>
        <v>Non trouvé</v>
      </c>
      <c r="J254" s="6" t="str">
        <f t="shared" si="9"/>
        <v>Antenne inconnue</v>
      </c>
      <c r="K254" s="6">
        <f t="shared" si="10"/>
        <v>4</v>
      </c>
      <c r="L254" s="6">
        <f t="shared" si="11"/>
        <v>189</v>
      </c>
    </row>
    <row r="255" spans="1:12" ht="15.75" x14ac:dyDescent="0.25">
      <c r="A255" s="6" t="s">
        <v>997</v>
      </c>
      <c r="B255" s="7">
        <v>45218.536111111112</v>
      </c>
      <c r="C255" s="6">
        <v>29</v>
      </c>
      <c r="D255" s="6" t="s">
        <v>792</v>
      </c>
      <c r="E255" s="8" t="str">
        <f>IFERROR(VLOOKUP(LOG_RESEAU[[#This Row],[Cell_ID]],Registre_Maintenance!A:B,2,FALSE),"Non trouvé")</f>
        <v>Non trouvé</v>
      </c>
      <c r="F255" s="8" t="str">
        <f>IFERROR(VLOOKUP(LOG_RESEAU[[#This Row],[Cell_ID]],Registre_Maintenance!A:C,3,FALSE),"Non trouvé")</f>
        <v>Non trouvé</v>
      </c>
      <c r="G255" s="8" t="str">
        <f>IFERROR(VLOOKUP(LOG_RESEAU[[#This Row],[Cell_ID]],Registre_Maintenance!A:D,4,FALSE),"Non trouvé")</f>
        <v>Non trouvé</v>
      </c>
      <c r="H255" s="6" t="str">
        <f>IFERROR(VLOOKUP(LOG_RESEAU[[#This Row],[Cell_ID]],Registre_Maintenance!A:E,5,FALSE),"Non trouvé")</f>
        <v>Non trouvé</v>
      </c>
      <c r="I255" s="6" t="str">
        <f>IFERROR(VLOOKUP(LOG_RESEAU[[#This Row],[Cell_ID]],Registre_Maintenance!A:F,6,FALSE),"Non trouvé")</f>
        <v>Non trouvé</v>
      </c>
      <c r="J255" s="6" t="str">
        <f t="shared" si="9"/>
        <v>Antenne inconnue</v>
      </c>
      <c r="K255" s="6">
        <f t="shared" si="10"/>
        <v>4</v>
      </c>
      <c r="L255" s="6">
        <f t="shared" si="11"/>
        <v>189</v>
      </c>
    </row>
    <row r="256" spans="1:12" ht="15.75" x14ac:dyDescent="0.25">
      <c r="A256" s="6" t="s">
        <v>997</v>
      </c>
      <c r="B256" s="7">
        <v>45205.480555555558</v>
      </c>
      <c r="C256" s="6">
        <v>43</v>
      </c>
      <c r="D256" s="6" t="s">
        <v>800</v>
      </c>
      <c r="E256" s="8" t="str">
        <f>IFERROR(VLOOKUP(LOG_RESEAU[[#This Row],[Cell_ID]],Registre_Maintenance!A:B,2,FALSE),"Non trouvé")</f>
        <v>Non trouvé</v>
      </c>
      <c r="F256" s="8" t="str">
        <f>IFERROR(VLOOKUP(LOG_RESEAU[[#This Row],[Cell_ID]],Registre_Maintenance!A:C,3,FALSE),"Non trouvé")</f>
        <v>Non trouvé</v>
      </c>
      <c r="G256" s="8" t="str">
        <f>IFERROR(VLOOKUP(LOG_RESEAU[[#This Row],[Cell_ID]],Registre_Maintenance!A:D,4,FALSE),"Non trouvé")</f>
        <v>Non trouvé</v>
      </c>
      <c r="H256" s="6" t="str">
        <f>IFERROR(VLOOKUP(LOG_RESEAU[[#This Row],[Cell_ID]],Registre_Maintenance!A:E,5,FALSE),"Non trouvé")</f>
        <v>Non trouvé</v>
      </c>
      <c r="I256" s="6" t="str">
        <f>IFERROR(VLOOKUP(LOG_RESEAU[[#This Row],[Cell_ID]],Registre_Maintenance!A:F,6,FALSE),"Non trouvé")</f>
        <v>Non trouvé</v>
      </c>
      <c r="J256" s="6" t="str">
        <f t="shared" si="9"/>
        <v>Antenne inconnue</v>
      </c>
      <c r="K256" s="6">
        <f t="shared" si="10"/>
        <v>4</v>
      </c>
      <c r="L256" s="6">
        <f t="shared" si="11"/>
        <v>189</v>
      </c>
    </row>
    <row r="257" spans="1:12" ht="15.75" x14ac:dyDescent="0.25">
      <c r="A257" s="6" t="s">
        <v>997</v>
      </c>
      <c r="B257" s="7">
        <v>45201.043055555558</v>
      </c>
      <c r="C257" s="6">
        <v>45</v>
      </c>
      <c r="D257" s="6" t="s">
        <v>800</v>
      </c>
      <c r="E257" s="8" t="str">
        <f>IFERROR(VLOOKUP(LOG_RESEAU[[#This Row],[Cell_ID]],Registre_Maintenance!A:B,2,FALSE),"Non trouvé")</f>
        <v>Non trouvé</v>
      </c>
      <c r="F257" s="8" t="str">
        <f>IFERROR(VLOOKUP(LOG_RESEAU[[#This Row],[Cell_ID]],Registre_Maintenance!A:C,3,FALSE),"Non trouvé")</f>
        <v>Non trouvé</v>
      </c>
      <c r="G257" s="8" t="str">
        <f>IFERROR(VLOOKUP(LOG_RESEAU[[#This Row],[Cell_ID]],Registre_Maintenance!A:D,4,FALSE),"Non trouvé")</f>
        <v>Non trouvé</v>
      </c>
      <c r="H257" s="6" t="str">
        <f>IFERROR(VLOOKUP(LOG_RESEAU[[#This Row],[Cell_ID]],Registre_Maintenance!A:E,5,FALSE),"Non trouvé")</f>
        <v>Non trouvé</v>
      </c>
      <c r="I257" s="6" t="str">
        <f>IFERROR(VLOOKUP(LOG_RESEAU[[#This Row],[Cell_ID]],Registre_Maintenance!A:F,6,FALSE),"Non trouvé")</f>
        <v>Non trouvé</v>
      </c>
      <c r="J257" s="6" t="str">
        <f t="shared" si="9"/>
        <v>Antenne inconnue</v>
      </c>
      <c r="K257" s="6">
        <f t="shared" si="10"/>
        <v>4</v>
      </c>
      <c r="L257" s="6">
        <f t="shared" si="11"/>
        <v>189</v>
      </c>
    </row>
    <row r="258" spans="1:12" ht="15.75" x14ac:dyDescent="0.25">
      <c r="A258" s="6" t="s">
        <v>854</v>
      </c>
      <c r="B258" s="7">
        <v>45224.231944444437</v>
      </c>
      <c r="C258" s="6">
        <v>90</v>
      </c>
      <c r="D258" s="6" t="s">
        <v>800</v>
      </c>
      <c r="E258" s="8" t="str">
        <f>IFERROR(VLOOKUP(LOG_RESEAU[[#This Row],[Cell_ID]],Registre_Maintenance!A:B,2,FALSE),"Non trouvé")</f>
        <v>Non trouvé</v>
      </c>
      <c r="F258" s="8" t="str">
        <f>IFERROR(VLOOKUP(LOG_RESEAU[[#This Row],[Cell_ID]],Registre_Maintenance!A:C,3,FALSE),"Non trouvé")</f>
        <v>Non trouvé</v>
      </c>
      <c r="G258" s="8" t="str">
        <f>IFERROR(VLOOKUP(LOG_RESEAU[[#This Row],[Cell_ID]],Registre_Maintenance!A:D,4,FALSE),"Non trouvé")</f>
        <v>Non trouvé</v>
      </c>
      <c r="H258" s="6" t="str">
        <f>IFERROR(VLOOKUP(LOG_RESEAU[[#This Row],[Cell_ID]],Registre_Maintenance!A:E,5,FALSE),"Non trouvé")</f>
        <v>Non trouvé</v>
      </c>
      <c r="I258" s="6" t="str">
        <f>IFERROR(VLOOKUP(LOG_RESEAU[[#This Row],[Cell_ID]],Registre_Maintenance!A:F,6,FALSE),"Non trouvé")</f>
        <v>Non trouvé</v>
      </c>
      <c r="J258" s="6" t="str">
        <f t="shared" ref="J258:J321" si="12">IF(ISERROR(SEARCH("Non trouvé",F258)),"OK","Antenne inconnue")</f>
        <v>Antenne inconnue</v>
      </c>
      <c r="K258" s="6">
        <f t="shared" ref="K258:K321" si="13">COUNTIF(A:A,A258)</f>
        <v>9</v>
      </c>
      <c r="L258" s="6">
        <f t="shared" ref="L258:L321" si="14">SUMIF(A:A,A258,C:C)</f>
        <v>617</v>
      </c>
    </row>
    <row r="259" spans="1:12" ht="15.75" x14ac:dyDescent="0.25">
      <c r="A259" s="6" t="s">
        <v>854</v>
      </c>
      <c r="B259" s="7">
        <v>45220.666666666657</v>
      </c>
      <c r="C259" s="6">
        <v>42</v>
      </c>
      <c r="D259" s="6" t="s">
        <v>794</v>
      </c>
      <c r="E259" s="8" t="str">
        <f>IFERROR(VLOOKUP(LOG_RESEAU[[#This Row],[Cell_ID]],Registre_Maintenance!A:B,2,FALSE),"Non trouvé")</f>
        <v>Non trouvé</v>
      </c>
      <c r="F259" s="8" t="str">
        <f>IFERROR(VLOOKUP(LOG_RESEAU[[#This Row],[Cell_ID]],Registre_Maintenance!A:C,3,FALSE),"Non trouvé")</f>
        <v>Non trouvé</v>
      </c>
      <c r="G259" s="8" t="str">
        <f>IFERROR(VLOOKUP(LOG_RESEAU[[#This Row],[Cell_ID]],Registre_Maintenance!A:D,4,FALSE),"Non trouvé")</f>
        <v>Non trouvé</v>
      </c>
      <c r="H259" s="6" t="str">
        <f>IFERROR(VLOOKUP(LOG_RESEAU[[#This Row],[Cell_ID]],Registre_Maintenance!A:E,5,FALSE),"Non trouvé")</f>
        <v>Non trouvé</v>
      </c>
      <c r="I259" s="6" t="str">
        <f>IFERROR(VLOOKUP(LOG_RESEAU[[#This Row],[Cell_ID]],Registre_Maintenance!A:F,6,FALSE),"Non trouvé")</f>
        <v>Non trouvé</v>
      </c>
      <c r="J259" s="6" t="str">
        <f t="shared" si="12"/>
        <v>Antenne inconnue</v>
      </c>
      <c r="K259" s="6">
        <f t="shared" si="13"/>
        <v>9</v>
      </c>
      <c r="L259" s="6">
        <f t="shared" si="14"/>
        <v>617</v>
      </c>
    </row>
    <row r="260" spans="1:12" ht="15.75" x14ac:dyDescent="0.25">
      <c r="A260" s="6" t="s">
        <v>854</v>
      </c>
      <c r="B260" s="7">
        <v>45212.428472222222</v>
      </c>
      <c r="C260" s="6">
        <v>103</v>
      </c>
      <c r="D260" s="6" t="s">
        <v>792</v>
      </c>
      <c r="E260" s="8" t="str">
        <f>IFERROR(VLOOKUP(LOG_RESEAU[[#This Row],[Cell_ID]],Registre_Maintenance!A:B,2,FALSE),"Non trouvé")</f>
        <v>Non trouvé</v>
      </c>
      <c r="F260" s="8" t="str">
        <f>IFERROR(VLOOKUP(LOG_RESEAU[[#This Row],[Cell_ID]],Registre_Maintenance!A:C,3,FALSE),"Non trouvé")</f>
        <v>Non trouvé</v>
      </c>
      <c r="G260" s="8" t="str">
        <f>IFERROR(VLOOKUP(LOG_RESEAU[[#This Row],[Cell_ID]],Registre_Maintenance!A:D,4,FALSE),"Non trouvé")</f>
        <v>Non trouvé</v>
      </c>
      <c r="H260" s="6" t="str">
        <f>IFERROR(VLOOKUP(LOG_RESEAU[[#This Row],[Cell_ID]],Registre_Maintenance!A:E,5,FALSE),"Non trouvé")</f>
        <v>Non trouvé</v>
      </c>
      <c r="I260" s="6" t="str">
        <f>IFERROR(VLOOKUP(LOG_RESEAU[[#This Row],[Cell_ID]],Registre_Maintenance!A:F,6,FALSE),"Non trouvé")</f>
        <v>Non trouvé</v>
      </c>
      <c r="J260" s="6" t="str">
        <f t="shared" si="12"/>
        <v>Antenne inconnue</v>
      </c>
      <c r="K260" s="6">
        <f t="shared" si="13"/>
        <v>9</v>
      </c>
      <c r="L260" s="6">
        <f t="shared" si="14"/>
        <v>617</v>
      </c>
    </row>
    <row r="261" spans="1:12" ht="15.75" x14ac:dyDescent="0.25">
      <c r="A261" s="6" t="s">
        <v>854</v>
      </c>
      <c r="B261" s="7">
        <v>45221.555555555547</v>
      </c>
      <c r="C261" s="6">
        <v>21</v>
      </c>
      <c r="D261" s="6" t="s">
        <v>800</v>
      </c>
      <c r="E261" s="8" t="str">
        <f>IFERROR(VLOOKUP(LOG_RESEAU[[#This Row],[Cell_ID]],Registre_Maintenance!A:B,2,FALSE),"Non trouvé")</f>
        <v>Non trouvé</v>
      </c>
      <c r="F261" s="8" t="str">
        <f>IFERROR(VLOOKUP(LOG_RESEAU[[#This Row],[Cell_ID]],Registre_Maintenance!A:C,3,FALSE),"Non trouvé")</f>
        <v>Non trouvé</v>
      </c>
      <c r="G261" s="8" t="str">
        <f>IFERROR(VLOOKUP(LOG_RESEAU[[#This Row],[Cell_ID]],Registre_Maintenance!A:D,4,FALSE),"Non trouvé")</f>
        <v>Non trouvé</v>
      </c>
      <c r="H261" s="6" t="str">
        <f>IFERROR(VLOOKUP(LOG_RESEAU[[#This Row],[Cell_ID]],Registre_Maintenance!A:E,5,FALSE),"Non trouvé")</f>
        <v>Non trouvé</v>
      </c>
      <c r="I261" s="6" t="str">
        <f>IFERROR(VLOOKUP(LOG_RESEAU[[#This Row],[Cell_ID]],Registre_Maintenance!A:F,6,FALSE),"Non trouvé")</f>
        <v>Non trouvé</v>
      </c>
      <c r="J261" s="6" t="str">
        <f t="shared" si="12"/>
        <v>Antenne inconnue</v>
      </c>
      <c r="K261" s="6">
        <f t="shared" si="13"/>
        <v>9</v>
      </c>
      <c r="L261" s="6">
        <f t="shared" si="14"/>
        <v>617</v>
      </c>
    </row>
    <row r="262" spans="1:12" ht="15.75" x14ac:dyDescent="0.25">
      <c r="A262" s="6" t="s">
        <v>854</v>
      </c>
      <c r="B262" s="7">
        <v>45204.986111111109</v>
      </c>
      <c r="C262" s="6">
        <v>113</v>
      </c>
      <c r="D262" s="6" t="s">
        <v>800</v>
      </c>
      <c r="E262" s="8" t="str">
        <f>IFERROR(VLOOKUP(LOG_RESEAU[[#This Row],[Cell_ID]],Registre_Maintenance!A:B,2,FALSE),"Non trouvé")</f>
        <v>Non trouvé</v>
      </c>
      <c r="F262" s="8" t="str">
        <f>IFERROR(VLOOKUP(LOG_RESEAU[[#This Row],[Cell_ID]],Registre_Maintenance!A:C,3,FALSE),"Non trouvé")</f>
        <v>Non trouvé</v>
      </c>
      <c r="G262" s="8" t="str">
        <f>IFERROR(VLOOKUP(LOG_RESEAU[[#This Row],[Cell_ID]],Registre_Maintenance!A:D,4,FALSE),"Non trouvé")</f>
        <v>Non trouvé</v>
      </c>
      <c r="H262" s="6" t="str">
        <f>IFERROR(VLOOKUP(LOG_RESEAU[[#This Row],[Cell_ID]],Registre_Maintenance!A:E,5,FALSE),"Non trouvé")</f>
        <v>Non trouvé</v>
      </c>
      <c r="I262" s="6" t="str">
        <f>IFERROR(VLOOKUP(LOG_RESEAU[[#This Row],[Cell_ID]],Registre_Maintenance!A:F,6,FALSE),"Non trouvé")</f>
        <v>Non trouvé</v>
      </c>
      <c r="J262" s="6" t="str">
        <f t="shared" si="12"/>
        <v>Antenne inconnue</v>
      </c>
      <c r="K262" s="6">
        <f t="shared" si="13"/>
        <v>9</v>
      </c>
      <c r="L262" s="6">
        <f t="shared" si="14"/>
        <v>617</v>
      </c>
    </row>
    <row r="263" spans="1:12" ht="15.75" x14ac:dyDescent="0.25">
      <c r="A263" s="6" t="s">
        <v>854</v>
      </c>
      <c r="B263" s="7">
        <v>45224.836111111108</v>
      </c>
      <c r="C263" s="6">
        <v>77</v>
      </c>
      <c r="D263" s="6" t="s">
        <v>800</v>
      </c>
      <c r="E263" s="8" t="str">
        <f>IFERROR(VLOOKUP(LOG_RESEAU[[#This Row],[Cell_ID]],Registre_Maintenance!A:B,2,FALSE),"Non trouvé")</f>
        <v>Non trouvé</v>
      </c>
      <c r="F263" s="8" t="str">
        <f>IFERROR(VLOOKUP(LOG_RESEAU[[#This Row],[Cell_ID]],Registre_Maintenance!A:C,3,FALSE),"Non trouvé")</f>
        <v>Non trouvé</v>
      </c>
      <c r="G263" s="8" t="str">
        <f>IFERROR(VLOOKUP(LOG_RESEAU[[#This Row],[Cell_ID]],Registre_Maintenance!A:D,4,FALSE),"Non trouvé")</f>
        <v>Non trouvé</v>
      </c>
      <c r="H263" s="6" t="str">
        <f>IFERROR(VLOOKUP(LOG_RESEAU[[#This Row],[Cell_ID]],Registre_Maintenance!A:E,5,FALSE),"Non trouvé")</f>
        <v>Non trouvé</v>
      </c>
      <c r="I263" s="6" t="str">
        <f>IFERROR(VLOOKUP(LOG_RESEAU[[#This Row],[Cell_ID]],Registre_Maintenance!A:F,6,FALSE),"Non trouvé")</f>
        <v>Non trouvé</v>
      </c>
      <c r="J263" s="6" t="str">
        <f t="shared" si="12"/>
        <v>Antenne inconnue</v>
      </c>
      <c r="K263" s="6">
        <f t="shared" si="13"/>
        <v>9</v>
      </c>
      <c r="L263" s="6">
        <f t="shared" si="14"/>
        <v>617</v>
      </c>
    </row>
    <row r="264" spans="1:12" ht="15.75" x14ac:dyDescent="0.25">
      <c r="A264" s="6" t="s">
        <v>854</v>
      </c>
      <c r="B264" s="7">
        <v>45227.135416666657</v>
      </c>
      <c r="C264" s="6">
        <v>13</v>
      </c>
      <c r="D264" s="6" t="s">
        <v>800</v>
      </c>
      <c r="E264" s="8" t="str">
        <f>IFERROR(VLOOKUP(LOG_RESEAU[[#This Row],[Cell_ID]],Registre_Maintenance!A:B,2,FALSE),"Non trouvé")</f>
        <v>Non trouvé</v>
      </c>
      <c r="F264" s="8" t="str">
        <f>IFERROR(VLOOKUP(LOG_RESEAU[[#This Row],[Cell_ID]],Registre_Maintenance!A:C,3,FALSE),"Non trouvé")</f>
        <v>Non trouvé</v>
      </c>
      <c r="G264" s="8" t="str">
        <f>IFERROR(VLOOKUP(LOG_RESEAU[[#This Row],[Cell_ID]],Registre_Maintenance!A:D,4,FALSE),"Non trouvé")</f>
        <v>Non trouvé</v>
      </c>
      <c r="H264" s="6" t="str">
        <f>IFERROR(VLOOKUP(LOG_RESEAU[[#This Row],[Cell_ID]],Registre_Maintenance!A:E,5,FALSE),"Non trouvé")</f>
        <v>Non trouvé</v>
      </c>
      <c r="I264" s="6" t="str">
        <f>IFERROR(VLOOKUP(LOG_RESEAU[[#This Row],[Cell_ID]],Registre_Maintenance!A:F,6,FALSE),"Non trouvé")</f>
        <v>Non trouvé</v>
      </c>
      <c r="J264" s="6" t="str">
        <f t="shared" si="12"/>
        <v>Antenne inconnue</v>
      </c>
      <c r="K264" s="6">
        <f t="shared" si="13"/>
        <v>9</v>
      </c>
      <c r="L264" s="6">
        <f t="shared" si="14"/>
        <v>617</v>
      </c>
    </row>
    <row r="265" spans="1:12" ht="15.75" x14ac:dyDescent="0.25">
      <c r="A265" s="6" t="s">
        <v>854</v>
      </c>
      <c r="B265" s="7">
        <v>45214.113194444442</v>
      </c>
      <c r="C265" s="6">
        <v>47</v>
      </c>
      <c r="D265" s="6" t="s">
        <v>792</v>
      </c>
      <c r="E265" s="8" t="str">
        <f>IFERROR(VLOOKUP(LOG_RESEAU[[#This Row],[Cell_ID]],Registre_Maintenance!A:B,2,FALSE),"Non trouvé")</f>
        <v>Non trouvé</v>
      </c>
      <c r="F265" s="8" t="str">
        <f>IFERROR(VLOOKUP(LOG_RESEAU[[#This Row],[Cell_ID]],Registre_Maintenance!A:C,3,FALSE),"Non trouvé")</f>
        <v>Non trouvé</v>
      </c>
      <c r="G265" s="8" t="str">
        <f>IFERROR(VLOOKUP(LOG_RESEAU[[#This Row],[Cell_ID]],Registre_Maintenance!A:D,4,FALSE),"Non trouvé")</f>
        <v>Non trouvé</v>
      </c>
      <c r="H265" s="6" t="str">
        <f>IFERROR(VLOOKUP(LOG_RESEAU[[#This Row],[Cell_ID]],Registre_Maintenance!A:E,5,FALSE),"Non trouvé")</f>
        <v>Non trouvé</v>
      </c>
      <c r="I265" s="6" t="str">
        <f>IFERROR(VLOOKUP(LOG_RESEAU[[#This Row],[Cell_ID]],Registre_Maintenance!A:F,6,FALSE),"Non trouvé")</f>
        <v>Non trouvé</v>
      </c>
      <c r="J265" s="6" t="str">
        <f t="shared" si="12"/>
        <v>Antenne inconnue</v>
      </c>
      <c r="K265" s="6">
        <f t="shared" si="13"/>
        <v>9</v>
      </c>
      <c r="L265" s="6">
        <f t="shared" si="14"/>
        <v>617</v>
      </c>
    </row>
    <row r="266" spans="1:12" ht="15.75" x14ac:dyDescent="0.25">
      <c r="A266" s="6" t="s">
        <v>854</v>
      </c>
      <c r="B266" s="7">
        <v>45220.230555555558</v>
      </c>
      <c r="C266" s="6">
        <v>111</v>
      </c>
      <c r="D266" s="6" t="s">
        <v>792</v>
      </c>
      <c r="E266" s="8" t="str">
        <f>IFERROR(VLOOKUP(LOG_RESEAU[[#This Row],[Cell_ID]],Registre_Maintenance!A:B,2,FALSE),"Non trouvé")</f>
        <v>Non trouvé</v>
      </c>
      <c r="F266" s="8" t="str">
        <f>IFERROR(VLOOKUP(LOG_RESEAU[[#This Row],[Cell_ID]],Registre_Maintenance!A:C,3,FALSE),"Non trouvé")</f>
        <v>Non trouvé</v>
      </c>
      <c r="G266" s="8" t="str">
        <f>IFERROR(VLOOKUP(LOG_RESEAU[[#This Row],[Cell_ID]],Registre_Maintenance!A:D,4,FALSE),"Non trouvé")</f>
        <v>Non trouvé</v>
      </c>
      <c r="H266" s="6" t="str">
        <f>IFERROR(VLOOKUP(LOG_RESEAU[[#This Row],[Cell_ID]],Registre_Maintenance!A:E,5,FALSE),"Non trouvé")</f>
        <v>Non trouvé</v>
      </c>
      <c r="I266" s="6" t="str">
        <f>IFERROR(VLOOKUP(LOG_RESEAU[[#This Row],[Cell_ID]],Registre_Maintenance!A:F,6,FALSE),"Non trouvé")</f>
        <v>Non trouvé</v>
      </c>
      <c r="J266" s="6" t="str">
        <f t="shared" si="12"/>
        <v>Antenne inconnue</v>
      </c>
      <c r="K266" s="6">
        <f t="shared" si="13"/>
        <v>9</v>
      </c>
      <c r="L266" s="6">
        <f t="shared" si="14"/>
        <v>617</v>
      </c>
    </row>
    <row r="267" spans="1:12" ht="15.75" x14ac:dyDescent="0.25">
      <c r="A267" s="6" t="s">
        <v>911</v>
      </c>
      <c r="B267" s="7">
        <v>45227.568749999999</v>
      </c>
      <c r="C267" s="6">
        <v>64</v>
      </c>
      <c r="D267" s="6" t="s">
        <v>794</v>
      </c>
      <c r="E267" s="8" t="str">
        <f>IFERROR(VLOOKUP(LOG_RESEAU[[#This Row],[Cell_ID]],Registre_Maintenance!A:B,2,FALSE),"Non trouvé")</f>
        <v>Mongala</v>
      </c>
      <c r="F267" s="8">
        <f>IFERROR(VLOOKUP(LOG_RESEAU[[#This Row],[Cell_ID]],Registre_Maintenance!A:C,3,FALSE),"Non trouvé")</f>
        <v>-1.231033</v>
      </c>
      <c r="G267" s="8">
        <f>IFERROR(VLOOKUP(LOG_RESEAU[[#This Row],[Cell_ID]],Registre_Maintenance!A:D,4,FALSE),"Non trouvé")</f>
        <v>28.851388</v>
      </c>
      <c r="H267" s="6" t="str">
        <f>IFERROR(VLOOKUP(LOG_RESEAU[[#This Row],[Cell_ID]],Registre_Maintenance!A:E,5,FALSE),"Non trouvé")</f>
        <v>3G</v>
      </c>
      <c r="I267" s="6" t="str">
        <f>IFERROR(VLOOKUP(LOG_RESEAU[[#This Row],[Cell_ID]],Registre_Maintenance!A:F,6,FALSE),"Non trouvé")</f>
        <v>Ericsson</v>
      </c>
      <c r="J267" s="6" t="str">
        <f t="shared" si="12"/>
        <v>OK</v>
      </c>
      <c r="K267" s="6">
        <f t="shared" si="13"/>
        <v>5</v>
      </c>
      <c r="L267" s="6">
        <f t="shared" si="14"/>
        <v>314</v>
      </c>
    </row>
    <row r="268" spans="1:12" ht="15.75" x14ac:dyDescent="0.25">
      <c r="A268" s="6" t="s">
        <v>911</v>
      </c>
      <c r="B268" s="7">
        <v>45230.629861111112</v>
      </c>
      <c r="C268" s="6">
        <v>65</v>
      </c>
      <c r="D268" s="6" t="s">
        <v>794</v>
      </c>
      <c r="E268" s="8" t="str">
        <f>IFERROR(VLOOKUP(LOG_RESEAU[[#This Row],[Cell_ID]],Registre_Maintenance!A:B,2,FALSE),"Non trouvé")</f>
        <v>Mongala</v>
      </c>
      <c r="F268" s="8">
        <f>IFERROR(VLOOKUP(LOG_RESEAU[[#This Row],[Cell_ID]],Registre_Maintenance!A:C,3,FALSE),"Non trouvé")</f>
        <v>-1.231033</v>
      </c>
      <c r="G268" s="8">
        <f>IFERROR(VLOOKUP(LOG_RESEAU[[#This Row],[Cell_ID]],Registre_Maintenance!A:D,4,FALSE),"Non trouvé")</f>
        <v>28.851388</v>
      </c>
      <c r="H268" s="6" t="str">
        <f>IFERROR(VLOOKUP(LOG_RESEAU[[#This Row],[Cell_ID]],Registre_Maintenance!A:E,5,FALSE),"Non trouvé")</f>
        <v>3G</v>
      </c>
      <c r="I268" s="6" t="str">
        <f>IFERROR(VLOOKUP(LOG_RESEAU[[#This Row],[Cell_ID]],Registre_Maintenance!A:F,6,FALSE),"Non trouvé")</f>
        <v>Ericsson</v>
      </c>
      <c r="J268" s="6" t="str">
        <f t="shared" si="12"/>
        <v>OK</v>
      </c>
      <c r="K268" s="6">
        <f t="shared" si="13"/>
        <v>5</v>
      </c>
      <c r="L268" s="6">
        <f t="shared" si="14"/>
        <v>314</v>
      </c>
    </row>
    <row r="269" spans="1:12" ht="15.75" x14ac:dyDescent="0.25">
      <c r="A269" s="6" t="s">
        <v>911</v>
      </c>
      <c r="B269" s="7">
        <v>45215.129166666673</v>
      </c>
      <c r="C269" s="6">
        <v>93</v>
      </c>
      <c r="D269" s="6" t="s">
        <v>800</v>
      </c>
      <c r="E269" s="8" t="str">
        <f>IFERROR(VLOOKUP(LOG_RESEAU[[#This Row],[Cell_ID]],Registre_Maintenance!A:B,2,FALSE),"Non trouvé")</f>
        <v>Mongala</v>
      </c>
      <c r="F269" s="8">
        <f>IFERROR(VLOOKUP(LOG_RESEAU[[#This Row],[Cell_ID]],Registre_Maintenance!A:C,3,FALSE),"Non trouvé")</f>
        <v>-1.231033</v>
      </c>
      <c r="G269" s="8">
        <f>IFERROR(VLOOKUP(LOG_RESEAU[[#This Row],[Cell_ID]],Registre_Maintenance!A:D,4,FALSE),"Non trouvé")</f>
        <v>28.851388</v>
      </c>
      <c r="H269" s="6" t="str">
        <f>IFERROR(VLOOKUP(LOG_RESEAU[[#This Row],[Cell_ID]],Registre_Maintenance!A:E,5,FALSE),"Non trouvé")</f>
        <v>3G</v>
      </c>
      <c r="I269" s="6" t="str">
        <f>IFERROR(VLOOKUP(LOG_RESEAU[[#This Row],[Cell_ID]],Registre_Maintenance!A:F,6,FALSE),"Non trouvé")</f>
        <v>Ericsson</v>
      </c>
      <c r="J269" s="6" t="str">
        <f t="shared" si="12"/>
        <v>OK</v>
      </c>
      <c r="K269" s="6">
        <f t="shared" si="13"/>
        <v>5</v>
      </c>
      <c r="L269" s="6">
        <f t="shared" si="14"/>
        <v>314</v>
      </c>
    </row>
    <row r="270" spans="1:12" ht="15.75" x14ac:dyDescent="0.25">
      <c r="A270" s="6" t="s">
        <v>911</v>
      </c>
      <c r="B270" s="7">
        <v>45221.505555555559</v>
      </c>
      <c r="C270" s="6">
        <v>51</v>
      </c>
      <c r="D270" s="6" t="s">
        <v>794</v>
      </c>
      <c r="E270" s="8" t="str">
        <f>IFERROR(VLOOKUP(LOG_RESEAU[[#This Row],[Cell_ID]],Registre_Maintenance!A:B,2,FALSE),"Non trouvé")</f>
        <v>Mongala</v>
      </c>
      <c r="F270" s="8">
        <f>IFERROR(VLOOKUP(LOG_RESEAU[[#This Row],[Cell_ID]],Registre_Maintenance!A:C,3,FALSE),"Non trouvé")</f>
        <v>-1.231033</v>
      </c>
      <c r="G270" s="8">
        <f>IFERROR(VLOOKUP(LOG_RESEAU[[#This Row],[Cell_ID]],Registre_Maintenance!A:D,4,FALSE),"Non trouvé")</f>
        <v>28.851388</v>
      </c>
      <c r="H270" s="6" t="str">
        <f>IFERROR(VLOOKUP(LOG_RESEAU[[#This Row],[Cell_ID]],Registre_Maintenance!A:E,5,FALSE),"Non trouvé")</f>
        <v>3G</v>
      </c>
      <c r="I270" s="6" t="str">
        <f>IFERROR(VLOOKUP(LOG_RESEAU[[#This Row],[Cell_ID]],Registre_Maintenance!A:F,6,FALSE),"Non trouvé")</f>
        <v>Ericsson</v>
      </c>
      <c r="J270" s="6" t="str">
        <f t="shared" si="12"/>
        <v>OK</v>
      </c>
      <c r="K270" s="6">
        <f t="shared" si="13"/>
        <v>5</v>
      </c>
      <c r="L270" s="6">
        <f t="shared" si="14"/>
        <v>314</v>
      </c>
    </row>
    <row r="271" spans="1:12" ht="15.75" x14ac:dyDescent="0.25">
      <c r="A271" s="6" t="s">
        <v>911</v>
      </c>
      <c r="B271" s="7">
        <v>45223.400694444441</v>
      </c>
      <c r="C271" s="6">
        <v>41</v>
      </c>
      <c r="D271" s="6" t="s">
        <v>792</v>
      </c>
      <c r="E271" s="8" t="str">
        <f>IFERROR(VLOOKUP(LOG_RESEAU[[#This Row],[Cell_ID]],Registre_Maintenance!A:B,2,FALSE),"Non trouvé")</f>
        <v>Mongala</v>
      </c>
      <c r="F271" s="8">
        <f>IFERROR(VLOOKUP(LOG_RESEAU[[#This Row],[Cell_ID]],Registre_Maintenance!A:C,3,FALSE),"Non trouvé")</f>
        <v>-1.231033</v>
      </c>
      <c r="G271" s="8">
        <f>IFERROR(VLOOKUP(LOG_RESEAU[[#This Row],[Cell_ID]],Registre_Maintenance!A:D,4,FALSE),"Non trouvé")</f>
        <v>28.851388</v>
      </c>
      <c r="H271" s="6" t="str">
        <f>IFERROR(VLOOKUP(LOG_RESEAU[[#This Row],[Cell_ID]],Registre_Maintenance!A:E,5,FALSE),"Non trouvé")</f>
        <v>3G</v>
      </c>
      <c r="I271" s="6" t="str">
        <f>IFERROR(VLOOKUP(LOG_RESEAU[[#This Row],[Cell_ID]],Registre_Maintenance!A:F,6,FALSE),"Non trouvé")</f>
        <v>Ericsson</v>
      </c>
      <c r="J271" s="6" t="str">
        <f t="shared" si="12"/>
        <v>OK</v>
      </c>
      <c r="K271" s="6">
        <f t="shared" si="13"/>
        <v>5</v>
      </c>
      <c r="L271" s="6">
        <f t="shared" si="14"/>
        <v>314</v>
      </c>
    </row>
    <row r="272" spans="1:12" ht="15.75" x14ac:dyDescent="0.25">
      <c r="A272" s="6" t="s">
        <v>914</v>
      </c>
      <c r="B272" s="7">
        <v>45213.007638888892</v>
      </c>
      <c r="C272" s="6">
        <v>83</v>
      </c>
      <c r="D272" s="6" t="s">
        <v>792</v>
      </c>
      <c r="E272" s="8" t="str">
        <f>IFERROR(VLOOKUP(LOG_RESEAU[[#This Row],[Cell_ID]],Registre_Maintenance!A:B,2,FALSE),"Non trouvé")</f>
        <v>Non trouvé</v>
      </c>
      <c r="F272" s="8" t="str">
        <f>IFERROR(VLOOKUP(LOG_RESEAU[[#This Row],[Cell_ID]],Registre_Maintenance!A:C,3,FALSE),"Non trouvé")</f>
        <v>Non trouvé</v>
      </c>
      <c r="G272" s="8" t="str">
        <f>IFERROR(VLOOKUP(LOG_RESEAU[[#This Row],[Cell_ID]],Registre_Maintenance!A:D,4,FALSE),"Non trouvé")</f>
        <v>Non trouvé</v>
      </c>
      <c r="H272" s="6" t="str">
        <f>IFERROR(VLOOKUP(LOG_RESEAU[[#This Row],[Cell_ID]],Registre_Maintenance!A:E,5,FALSE),"Non trouvé")</f>
        <v>Non trouvé</v>
      </c>
      <c r="I272" s="6" t="str">
        <f>IFERROR(VLOOKUP(LOG_RESEAU[[#This Row],[Cell_ID]],Registre_Maintenance!A:F,6,FALSE),"Non trouvé")</f>
        <v>Non trouvé</v>
      </c>
      <c r="J272" s="6" t="str">
        <f t="shared" si="12"/>
        <v>Antenne inconnue</v>
      </c>
      <c r="K272" s="6">
        <f t="shared" si="13"/>
        <v>3</v>
      </c>
      <c r="L272" s="6">
        <f t="shared" si="14"/>
        <v>180</v>
      </c>
    </row>
    <row r="273" spans="1:12" ht="15.75" x14ac:dyDescent="0.25">
      <c r="A273" s="6" t="s">
        <v>965</v>
      </c>
      <c r="B273" s="7">
        <v>45230.924305555563</v>
      </c>
      <c r="C273" s="6">
        <v>55</v>
      </c>
      <c r="D273" s="6" t="s">
        <v>794</v>
      </c>
      <c r="E273" s="8" t="str">
        <f>IFERROR(VLOOKUP(LOG_RESEAU[[#This Row],[Cell_ID]],Registre_Maintenance!A:B,2,FALSE),"Non trouvé")</f>
        <v>Non trouvé</v>
      </c>
      <c r="F273" s="8" t="str">
        <f>IFERROR(VLOOKUP(LOG_RESEAU[[#This Row],[Cell_ID]],Registre_Maintenance!A:C,3,FALSE),"Non trouvé")</f>
        <v>Non trouvé</v>
      </c>
      <c r="G273" s="8" t="str">
        <f>IFERROR(VLOOKUP(LOG_RESEAU[[#This Row],[Cell_ID]],Registre_Maintenance!A:D,4,FALSE),"Non trouvé")</f>
        <v>Non trouvé</v>
      </c>
      <c r="H273" s="6" t="str">
        <f>IFERROR(VLOOKUP(LOG_RESEAU[[#This Row],[Cell_ID]],Registre_Maintenance!A:E,5,FALSE),"Non trouvé")</f>
        <v>Non trouvé</v>
      </c>
      <c r="I273" s="6" t="str">
        <f>IFERROR(VLOOKUP(LOG_RESEAU[[#This Row],[Cell_ID]],Registre_Maintenance!A:F,6,FALSE),"Non trouvé")</f>
        <v>Non trouvé</v>
      </c>
      <c r="J273" s="6" t="str">
        <f t="shared" si="12"/>
        <v>Antenne inconnue</v>
      </c>
      <c r="K273" s="6">
        <f t="shared" si="13"/>
        <v>3</v>
      </c>
      <c r="L273" s="6">
        <f t="shared" si="14"/>
        <v>180</v>
      </c>
    </row>
    <row r="274" spans="1:12" ht="15.75" x14ac:dyDescent="0.25">
      <c r="A274" s="6" t="s">
        <v>965</v>
      </c>
      <c r="B274" s="7">
        <v>45205.79791666667</v>
      </c>
      <c r="C274" s="6">
        <v>42</v>
      </c>
      <c r="D274" s="6" t="s">
        <v>792</v>
      </c>
      <c r="E274" s="8" t="str">
        <f>IFERROR(VLOOKUP(LOG_RESEAU[[#This Row],[Cell_ID]],Registre_Maintenance!A:B,2,FALSE),"Non trouvé")</f>
        <v>Non trouvé</v>
      </c>
      <c r="F274" s="8" t="str">
        <f>IFERROR(VLOOKUP(LOG_RESEAU[[#This Row],[Cell_ID]],Registre_Maintenance!A:C,3,FALSE),"Non trouvé")</f>
        <v>Non trouvé</v>
      </c>
      <c r="G274" s="8" t="str">
        <f>IFERROR(VLOOKUP(LOG_RESEAU[[#This Row],[Cell_ID]],Registre_Maintenance!A:D,4,FALSE),"Non trouvé")</f>
        <v>Non trouvé</v>
      </c>
      <c r="H274" s="6" t="str">
        <f>IFERROR(VLOOKUP(LOG_RESEAU[[#This Row],[Cell_ID]],Registre_Maintenance!A:E,5,FALSE),"Non trouvé")</f>
        <v>Non trouvé</v>
      </c>
      <c r="I274" s="6" t="str">
        <f>IFERROR(VLOOKUP(LOG_RESEAU[[#This Row],[Cell_ID]],Registre_Maintenance!A:F,6,FALSE),"Non trouvé")</f>
        <v>Non trouvé</v>
      </c>
      <c r="J274" s="6" t="str">
        <f t="shared" si="12"/>
        <v>Antenne inconnue</v>
      </c>
      <c r="K274" s="6">
        <f t="shared" si="13"/>
        <v>3</v>
      </c>
      <c r="L274" s="6">
        <f t="shared" si="14"/>
        <v>180</v>
      </c>
    </row>
    <row r="275" spans="1:12" ht="15.75" x14ac:dyDescent="0.25">
      <c r="A275" s="6" t="s">
        <v>796</v>
      </c>
      <c r="B275" s="7">
        <v>45203.907638888893</v>
      </c>
      <c r="C275" s="6">
        <v>37</v>
      </c>
      <c r="D275" s="6" t="s">
        <v>794</v>
      </c>
      <c r="E275" s="8" t="str">
        <f>IFERROR(VLOOKUP(LOG_RESEAU[[#This Row],[Cell_ID]],Registre_Maintenance!A:B,2,FALSE),"Non trouvé")</f>
        <v>Mai-Ndombe</v>
      </c>
      <c r="F275" s="8">
        <f>IFERROR(VLOOKUP(LOG_RESEAU[[#This Row],[Cell_ID]],Registre_Maintenance!A:C,3,FALSE),"Non trouvé")</f>
        <v>-9.3652280000000001</v>
      </c>
      <c r="G275" s="8">
        <f>IFERROR(VLOOKUP(LOG_RESEAU[[#This Row],[Cell_ID]],Registre_Maintenance!A:D,4,FALSE),"Non trouvé")</f>
        <v>18.674116000000001</v>
      </c>
      <c r="H275" s="6" t="str">
        <f>IFERROR(VLOOKUP(LOG_RESEAU[[#This Row],[Cell_ID]],Registre_Maintenance!A:E,5,FALSE),"Non trouvé")</f>
        <v>4G</v>
      </c>
      <c r="I275" s="6" t="str">
        <f>IFERROR(VLOOKUP(LOG_RESEAU[[#This Row],[Cell_ID]],Registre_Maintenance!A:F,6,FALSE),"Non trouvé")</f>
        <v>Huawei</v>
      </c>
      <c r="J275" s="6" t="str">
        <f t="shared" si="12"/>
        <v>OK</v>
      </c>
      <c r="K275" s="6">
        <f t="shared" si="13"/>
        <v>9</v>
      </c>
      <c r="L275" s="6">
        <f t="shared" si="14"/>
        <v>384</v>
      </c>
    </row>
    <row r="276" spans="1:12" ht="15.75" x14ac:dyDescent="0.25">
      <c r="A276" s="6" t="s">
        <v>796</v>
      </c>
      <c r="B276" s="7">
        <v>45221.849305555559</v>
      </c>
      <c r="C276" s="6">
        <v>21</v>
      </c>
      <c r="D276" s="6" t="s">
        <v>792</v>
      </c>
      <c r="E276" s="8" t="str">
        <f>IFERROR(VLOOKUP(LOG_RESEAU[[#This Row],[Cell_ID]],Registre_Maintenance!A:B,2,FALSE),"Non trouvé")</f>
        <v>Mai-Ndombe</v>
      </c>
      <c r="F276" s="8">
        <f>IFERROR(VLOOKUP(LOG_RESEAU[[#This Row],[Cell_ID]],Registre_Maintenance!A:C,3,FALSE),"Non trouvé")</f>
        <v>-9.3652280000000001</v>
      </c>
      <c r="G276" s="8">
        <f>IFERROR(VLOOKUP(LOG_RESEAU[[#This Row],[Cell_ID]],Registre_Maintenance!A:D,4,FALSE),"Non trouvé")</f>
        <v>18.674116000000001</v>
      </c>
      <c r="H276" s="6" t="str">
        <f>IFERROR(VLOOKUP(LOG_RESEAU[[#This Row],[Cell_ID]],Registre_Maintenance!A:E,5,FALSE),"Non trouvé")</f>
        <v>4G</v>
      </c>
      <c r="I276" s="6" t="str">
        <f>IFERROR(VLOOKUP(LOG_RESEAU[[#This Row],[Cell_ID]],Registre_Maintenance!A:F,6,FALSE),"Non trouvé")</f>
        <v>Huawei</v>
      </c>
      <c r="J276" s="6" t="str">
        <f t="shared" si="12"/>
        <v>OK</v>
      </c>
      <c r="K276" s="6">
        <f t="shared" si="13"/>
        <v>9</v>
      </c>
      <c r="L276" s="6">
        <f t="shared" si="14"/>
        <v>384</v>
      </c>
    </row>
    <row r="277" spans="1:12" ht="15.75" x14ac:dyDescent="0.25">
      <c r="A277" s="6" t="s">
        <v>796</v>
      </c>
      <c r="B277" s="7">
        <v>45207.879166666673</v>
      </c>
      <c r="C277" s="6">
        <v>78</v>
      </c>
      <c r="D277" s="6" t="s">
        <v>792</v>
      </c>
      <c r="E277" s="8" t="str">
        <f>IFERROR(VLOOKUP(LOG_RESEAU[[#This Row],[Cell_ID]],Registre_Maintenance!A:B,2,FALSE),"Non trouvé")</f>
        <v>Mai-Ndombe</v>
      </c>
      <c r="F277" s="8">
        <f>IFERROR(VLOOKUP(LOG_RESEAU[[#This Row],[Cell_ID]],Registre_Maintenance!A:C,3,FALSE),"Non trouvé")</f>
        <v>-9.3652280000000001</v>
      </c>
      <c r="G277" s="8">
        <f>IFERROR(VLOOKUP(LOG_RESEAU[[#This Row],[Cell_ID]],Registre_Maintenance!A:D,4,FALSE),"Non trouvé")</f>
        <v>18.674116000000001</v>
      </c>
      <c r="H277" s="6" t="str">
        <f>IFERROR(VLOOKUP(LOG_RESEAU[[#This Row],[Cell_ID]],Registre_Maintenance!A:E,5,FALSE),"Non trouvé")</f>
        <v>4G</v>
      </c>
      <c r="I277" s="6" t="str">
        <f>IFERROR(VLOOKUP(LOG_RESEAU[[#This Row],[Cell_ID]],Registre_Maintenance!A:F,6,FALSE),"Non trouvé")</f>
        <v>Huawei</v>
      </c>
      <c r="J277" s="6" t="str">
        <f t="shared" si="12"/>
        <v>OK</v>
      </c>
      <c r="K277" s="6">
        <f t="shared" si="13"/>
        <v>9</v>
      </c>
      <c r="L277" s="6">
        <f t="shared" si="14"/>
        <v>384</v>
      </c>
    </row>
    <row r="278" spans="1:12" ht="15.75" x14ac:dyDescent="0.25">
      <c r="A278" s="6" t="s">
        <v>796</v>
      </c>
      <c r="B278" s="7">
        <v>45221.910416666673</v>
      </c>
      <c r="C278" s="6">
        <v>8</v>
      </c>
      <c r="D278" s="6" t="s">
        <v>800</v>
      </c>
      <c r="E278" s="8" t="str">
        <f>IFERROR(VLOOKUP(LOG_RESEAU[[#This Row],[Cell_ID]],Registre_Maintenance!A:B,2,FALSE),"Non trouvé")</f>
        <v>Mai-Ndombe</v>
      </c>
      <c r="F278" s="8">
        <f>IFERROR(VLOOKUP(LOG_RESEAU[[#This Row],[Cell_ID]],Registre_Maintenance!A:C,3,FALSE),"Non trouvé")</f>
        <v>-9.3652280000000001</v>
      </c>
      <c r="G278" s="8">
        <f>IFERROR(VLOOKUP(LOG_RESEAU[[#This Row],[Cell_ID]],Registre_Maintenance!A:D,4,FALSE),"Non trouvé")</f>
        <v>18.674116000000001</v>
      </c>
      <c r="H278" s="6" t="str">
        <f>IFERROR(VLOOKUP(LOG_RESEAU[[#This Row],[Cell_ID]],Registre_Maintenance!A:E,5,FALSE),"Non trouvé")</f>
        <v>4G</v>
      </c>
      <c r="I278" s="6" t="str">
        <f>IFERROR(VLOOKUP(LOG_RESEAU[[#This Row],[Cell_ID]],Registre_Maintenance!A:F,6,FALSE),"Non trouvé")</f>
        <v>Huawei</v>
      </c>
      <c r="J278" s="6" t="str">
        <f t="shared" si="12"/>
        <v>OK</v>
      </c>
      <c r="K278" s="6">
        <f t="shared" si="13"/>
        <v>9</v>
      </c>
      <c r="L278" s="6">
        <f t="shared" si="14"/>
        <v>384</v>
      </c>
    </row>
    <row r="279" spans="1:12" ht="15.75" x14ac:dyDescent="0.25">
      <c r="A279" s="6" t="s">
        <v>796</v>
      </c>
      <c r="B279" s="7">
        <v>45210.168055555558</v>
      </c>
      <c r="C279" s="6">
        <v>63</v>
      </c>
      <c r="D279" s="6" t="s">
        <v>794</v>
      </c>
      <c r="E279" s="8" t="str">
        <f>IFERROR(VLOOKUP(LOG_RESEAU[[#This Row],[Cell_ID]],Registre_Maintenance!A:B,2,FALSE),"Non trouvé")</f>
        <v>Mai-Ndombe</v>
      </c>
      <c r="F279" s="8">
        <f>IFERROR(VLOOKUP(LOG_RESEAU[[#This Row],[Cell_ID]],Registre_Maintenance!A:C,3,FALSE),"Non trouvé")</f>
        <v>-9.3652280000000001</v>
      </c>
      <c r="G279" s="8">
        <f>IFERROR(VLOOKUP(LOG_RESEAU[[#This Row],[Cell_ID]],Registre_Maintenance!A:D,4,FALSE),"Non trouvé")</f>
        <v>18.674116000000001</v>
      </c>
      <c r="H279" s="6" t="str">
        <f>IFERROR(VLOOKUP(LOG_RESEAU[[#This Row],[Cell_ID]],Registre_Maintenance!A:E,5,FALSE),"Non trouvé")</f>
        <v>4G</v>
      </c>
      <c r="I279" s="6" t="str">
        <f>IFERROR(VLOOKUP(LOG_RESEAU[[#This Row],[Cell_ID]],Registre_Maintenance!A:F,6,FALSE),"Non trouvé")</f>
        <v>Huawei</v>
      </c>
      <c r="J279" s="6" t="str">
        <f t="shared" si="12"/>
        <v>OK</v>
      </c>
      <c r="K279" s="6">
        <f t="shared" si="13"/>
        <v>9</v>
      </c>
      <c r="L279" s="6">
        <f t="shared" si="14"/>
        <v>384</v>
      </c>
    </row>
    <row r="280" spans="1:12" ht="15.75" x14ac:dyDescent="0.25">
      <c r="A280" s="6" t="s">
        <v>796</v>
      </c>
      <c r="B280" s="7">
        <v>45201.824305555558</v>
      </c>
      <c r="C280" s="6">
        <v>28</v>
      </c>
      <c r="D280" s="6" t="s">
        <v>800</v>
      </c>
      <c r="E280" s="8" t="str">
        <f>IFERROR(VLOOKUP(LOG_RESEAU[[#This Row],[Cell_ID]],Registre_Maintenance!A:B,2,FALSE),"Non trouvé")</f>
        <v>Mai-Ndombe</v>
      </c>
      <c r="F280" s="8">
        <f>IFERROR(VLOOKUP(LOG_RESEAU[[#This Row],[Cell_ID]],Registre_Maintenance!A:C,3,FALSE),"Non trouvé")</f>
        <v>-9.3652280000000001</v>
      </c>
      <c r="G280" s="8">
        <f>IFERROR(VLOOKUP(LOG_RESEAU[[#This Row],[Cell_ID]],Registre_Maintenance!A:D,4,FALSE),"Non trouvé")</f>
        <v>18.674116000000001</v>
      </c>
      <c r="H280" s="6" t="str">
        <f>IFERROR(VLOOKUP(LOG_RESEAU[[#This Row],[Cell_ID]],Registre_Maintenance!A:E,5,FALSE),"Non trouvé")</f>
        <v>4G</v>
      </c>
      <c r="I280" s="6" t="str">
        <f>IFERROR(VLOOKUP(LOG_RESEAU[[#This Row],[Cell_ID]],Registre_Maintenance!A:F,6,FALSE),"Non trouvé")</f>
        <v>Huawei</v>
      </c>
      <c r="J280" s="6" t="str">
        <f t="shared" si="12"/>
        <v>OK</v>
      </c>
      <c r="K280" s="6">
        <f t="shared" si="13"/>
        <v>9</v>
      </c>
      <c r="L280" s="6">
        <f t="shared" si="14"/>
        <v>384</v>
      </c>
    </row>
    <row r="281" spans="1:12" ht="15.75" x14ac:dyDescent="0.25">
      <c r="A281" s="6" t="s">
        <v>796</v>
      </c>
      <c r="B281" s="7">
        <v>45206.956944444442</v>
      </c>
      <c r="C281" s="6">
        <v>32</v>
      </c>
      <c r="D281" s="6" t="s">
        <v>800</v>
      </c>
      <c r="E281" s="8" t="str">
        <f>IFERROR(VLOOKUP(LOG_RESEAU[[#This Row],[Cell_ID]],Registre_Maintenance!A:B,2,FALSE),"Non trouvé")</f>
        <v>Mai-Ndombe</v>
      </c>
      <c r="F281" s="8">
        <f>IFERROR(VLOOKUP(LOG_RESEAU[[#This Row],[Cell_ID]],Registre_Maintenance!A:C,3,FALSE),"Non trouvé")</f>
        <v>-9.3652280000000001</v>
      </c>
      <c r="G281" s="8">
        <f>IFERROR(VLOOKUP(LOG_RESEAU[[#This Row],[Cell_ID]],Registre_Maintenance!A:D,4,FALSE),"Non trouvé")</f>
        <v>18.674116000000001</v>
      </c>
      <c r="H281" s="6" t="str">
        <f>IFERROR(VLOOKUP(LOG_RESEAU[[#This Row],[Cell_ID]],Registre_Maintenance!A:E,5,FALSE),"Non trouvé")</f>
        <v>4G</v>
      </c>
      <c r="I281" s="6" t="str">
        <f>IFERROR(VLOOKUP(LOG_RESEAU[[#This Row],[Cell_ID]],Registre_Maintenance!A:F,6,FALSE),"Non trouvé")</f>
        <v>Huawei</v>
      </c>
      <c r="J281" s="6" t="str">
        <f t="shared" si="12"/>
        <v>OK</v>
      </c>
      <c r="K281" s="6">
        <f t="shared" si="13"/>
        <v>9</v>
      </c>
      <c r="L281" s="6">
        <f t="shared" si="14"/>
        <v>384</v>
      </c>
    </row>
    <row r="282" spans="1:12" ht="15.75" x14ac:dyDescent="0.25">
      <c r="A282" s="6" t="s">
        <v>796</v>
      </c>
      <c r="B282" s="7">
        <v>45224.98333333333</v>
      </c>
      <c r="C282" s="6">
        <v>107</v>
      </c>
      <c r="D282" s="6" t="s">
        <v>792</v>
      </c>
      <c r="E282" s="8" t="str">
        <f>IFERROR(VLOOKUP(LOG_RESEAU[[#This Row],[Cell_ID]],Registre_Maintenance!A:B,2,FALSE),"Non trouvé")</f>
        <v>Mai-Ndombe</v>
      </c>
      <c r="F282" s="8">
        <f>IFERROR(VLOOKUP(LOG_RESEAU[[#This Row],[Cell_ID]],Registre_Maintenance!A:C,3,FALSE),"Non trouvé")</f>
        <v>-9.3652280000000001</v>
      </c>
      <c r="G282" s="8">
        <f>IFERROR(VLOOKUP(LOG_RESEAU[[#This Row],[Cell_ID]],Registre_Maintenance!A:D,4,FALSE),"Non trouvé")</f>
        <v>18.674116000000001</v>
      </c>
      <c r="H282" s="6" t="str">
        <f>IFERROR(VLOOKUP(LOG_RESEAU[[#This Row],[Cell_ID]],Registre_Maintenance!A:E,5,FALSE),"Non trouvé")</f>
        <v>4G</v>
      </c>
      <c r="I282" s="6" t="str">
        <f>IFERROR(VLOOKUP(LOG_RESEAU[[#This Row],[Cell_ID]],Registre_Maintenance!A:F,6,FALSE),"Non trouvé")</f>
        <v>Huawei</v>
      </c>
      <c r="J282" s="6" t="str">
        <f t="shared" si="12"/>
        <v>OK</v>
      </c>
      <c r="K282" s="6">
        <f t="shared" si="13"/>
        <v>9</v>
      </c>
      <c r="L282" s="6">
        <f t="shared" si="14"/>
        <v>384</v>
      </c>
    </row>
    <row r="283" spans="1:12" ht="15.75" x14ac:dyDescent="0.25">
      <c r="A283" s="6" t="s">
        <v>796</v>
      </c>
      <c r="B283" s="7">
        <v>45223.570138888892</v>
      </c>
      <c r="C283" s="6">
        <v>10</v>
      </c>
      <c r="D283" s="6" t="s">
        <v>800</v>
      </c>
      <c r="E283" s="8" t="str">
        <f>IFERROR(VLOOKUP(LOG_RESEAU[[#This Row],[Cell_ID]],Registre_Maintenance!A:B,2,FALSE),"Non trouvé")</f>
        <v>Mai-Ndombe</v>
      </c>
      <c r="F283" s="8">
        <f>IFERROR(VLOOKUP(LOG_RESEAU[[#This Row],[Cell_ID]],Registre_Maintenance!A:C,3,FALSE),"Non trouvé")</f>
        <v>-9.3652280000000001</v>
      </c>
      <c r="G283" s="8">
        <f>IFERROR(VLOOKUP(LOG_RESEAU[[#This Row],[Cell_ID]],Registre_Maintenance!A:D,4,FALSE),"Non trouvé")</f>
        <v>18.674116000000001</v>
      </c>
      <c r="H283" s="6" t="str">
        <f>IFERROR(VLOOKUP(LOG_RESEAU[[#This Row],[Cell_ID]],Registre_Maintenance!A:E,5,FALSE),"Non trouvé")</f>
        <v>4G</v>
      </c>
      <c r="I283" s="6" t="str">
        <f>IFERROR(VLOOKUP(LOG_RESEAU[[#This Row],[Cell_ID]],Registre_Maintenance!A:F,6,FALSE),"Non trouvé")</f>
        <v>Huawei</v>
      </c>
      <c r="J283" s="6" t="str">
        <f t="shared" si="12"/>
        <v>OK</v>
      </c>
      <c r="K283" s="6">
        <f t="shared" si="13"/>
        <v>9</v>
      </c>
      <c r="L283" s="6">
        <f t="shared" si="14"/>
        <v>384</v>
      </c>
    </row>
    <row r="284" spans="1:12" ht="15.75" x14ac:dyDescent="0.25">
      <c r="A284" s="6" t="s">
        <v>878</v>
      </c>
      <c r="B284" s="7">
        <v>45201.531944444447</v>
      </c>
      <c r="C284" s="6">
        <v>72</v>
      </c>
      <c r="D284" s="6" t="s">
        <v>794</v>
      </c>
      <c r="E284" s="8" t="str">
        <f>IFERROR(VLOOKUP(LOG_RESEAU[[#This Row],[Cell_ID]],Registre_Maintenance!A:B,2,FALSE),"Non trouvé")</f>
        <v>Non trouvé</v>
      </c>
      <c r="F284" s="8" t="str">
        <f>IFERROR(VLOOKUP(LOG_RESEAU[[#This Row],[Cell_ID]],Registre_Maintenance!A:C,3,FALSE),"Non trouvé")</f>
        <v>Non trouvé</v>
      </c>
      <c r="G284" s="8" t="str">
        <f>IFERROR(VLOOKUP(LOG_RESEAU[[#This Row],[Cell_ID]],Registre_Maintenance!A:D,4,FALSE),"Non trouvé")</f>
        <v>Non trouvé</v>
      </c>
      <c r="H284" s="6" t="str">
        <f>IFERROR(VLOOKUP(LOG_RESEAU[[#This Row],[Cell_ID]],Registre_Maintenance!A:E,5,FALSE),"Non trouvé")</f>
        <v>Non trouvé</v>
      </c>
      <c r="I284" s="6" t="str">
        <f>IFERROR(VLOOKUP(LOG_RESEAU[[#This Row],[Cell_ID]],Registre_Maintenance!A:F,6,FALSE),"Non trouvé")</f>
        <v>Non trouvé</v>
      </c>
      <c r="J284" s="6" t="str">
        <f t="shared" si="12"/>
        <v>Antenne inconnue</v>
      </c>
      <c r="K284" s="6">
        <f t="shared" si="13"/>
        <v>5</v>
      </c>
      <c r="L284" s="6">
        <f t="shared" si="14"/>
        <v>173</v>
      </c>
    </row>
    <row r="285" spans="1:12" ht="15.75" x14ac:dyDescent="0.25">
      <c r="A285" s="6" t="s">
        <v>878</v>
      </c>
      <c r="B285" s="7">
        <v>45209.524305555547</v>
      </c>
      <c r="C285" s="6">
        <v>20</v>
      </c>
      <c r="D285" s="6" t="s">
        <v>794</v>
      </c>
      <c r="E285" s="8" t="str">
        <f>IFERROR(VLOOKUP(LOG_RESEAU[[#This Row],[Cell_ID]],Registre_Maintenance!A:B,2,FALSE),"Non trouvé")</f>
        <v>Non trouvé</v>
      </c>
      <c r="F285" s="8" t="str">
        <f>IFERROR(VLOOKUP(LOG_RESEAU[[#This Row],[Cell_ID]],Registre_Maintenance!A:C,3,FALSE),"Non trouvé")</f>
        <v>Non trouvé</v>
      </c>
      <c r="G285" s="8" t="str">
        <f>IFERROR(VLOOKUP(LOG_RESEAU[[#This Row],[Cell_ID]],Registre_Maintenance!A:D,4,FALSE),"Non trouvé")</f>
        <v>Non trouvé</v>
      </c>
      <c r="H285" s="6" t="str">
        <f>IFERROR(VLOOKUP(LOG_RESEAU[[#This Row],[Cell_ID]],Registre_Maintenance!A:E,5,FALSE),"Non trouvé")</f>
        <v>Non trouvé</v>
      </c>
      <c r="I285" s="6" t="str">
        <f>IFERROR(VLOOKUP(LOG_RESEAU[[#This Row],[Cell_ID]],Registre_Maintenance!A:F,6,FALSE),"Non trouvé")</f>
        <v>Non trouvé</v>
      </c>
      <c r="J285" s="6" t="str">
        <f t="shared" si="12"/>
        <v>Antenne inconnue</v>
      </c>
      <c r="K285" s="6">
        <f t="shared" si="13"/>
        <v>5</v>
      </c>
      <c r="L285" s="6">
        <f t="shared" si="14"/>
        <v>173</v>
      </c>
    </row>
    <row r="286" spans="1:12" ht="15.75" x14ac:dyDescent="0.25">
      <c r="A286" s="6" t="s">
        <v>878</v>
      </c>
      <c r="B286" s="7">
        <v>45214.30972222222</v>
      </c>
      <c r="C286" s="6">
        <v>57</v>
      </c>
      <c r="D286" s="6" t="s">
        <v>794</v>
      </c>
      <c r="E286" s="8" t="str">
        <f>IFERROR(VLOOKUP(LOG_RESEAU[[#This Row],[Cell_ID]],Registre_Maintenance!A:B,2,FALSE),"Non trouvé")</f>
        <v>Non trouvé</v>
      </c>
      <c r="F286" s="8" t="str">
        <f>IFERROR(VLOOKUP(LOG_RESEAU[[#This Row],[Cell_ID]],Registre_Maintenance!A:C,3,FALSE),"Non trouvé")</f>
        <v>Non trouvé</v>
      </c>
      <c r="G286" s="8" t="str">
        <f>IFERROR(VLOOKUP(LOG_RESEAU[[#This Row],[Cell_ID]],Registre_Maintenance!A:D,4,FALSE),"Non trouvé")</f>
        <v>Non trouvé</v>
      </c>
      <c r="H286" s="6" t="str">
        <f>IFERROR(VLOOKUP(LOG_RESEAU[[#This Row],[Cell_ID]],Registre_Maintenance!A:E,5,FALSE),"Non trouvé")</f>
        <v>Non trouvé</v>
      </c>
      <c r="I286" s="6" t="str">
        <f>IFERROR(VLOOKUP(LOG_RESEAU[[#This Row],[Cell_ID]],Registre_Maintenance!A:F,6,FALSE),"Non trouvé")</f>
        <v>Non trouvé</v>
      </c>
      <c r="J286" s="6" t="str">
        <f t="shared" si="12"/>
        <v>Antenne inconnue</v>
      </c>
      <c r="K286" s="6">
        <f t="shared" si="13"/>
        <v>5</v>
      </c>
      <c r="L286" s="6">
        <f t="shared" si="14"/>
        <v>173</v>
      </c>
    </row>
    <row r="287" spans="1:12" ht="15.75" x14ac:dyDescent="0.25">
      <c r="A287" s="6" t="s">
        <v>878</v>
      </c>
      <c r="B287" s="7">
        <v>45213.157638888893</v>
      </c>
      <c r="C287" s="6">
        <v>5</v>
      </c>
      <c r="D287" s="6" t="s">
        <v>794</v>
      </c>
      <c r="E287" s="8" t="str">
        <f>IFERROR(VLOOKUP(LOG_RESEAU[[#This Row],[Cell_ID]],Registre_Maintenance!A:B,2,FALSE),"Non trouvé")</f>
        <v>Non trouvé</v>
      </c>
      <c r="F287" s="8" t="str">
        <f>IFERROR(VLOOKUP(LOG_RESEAU[[#This Row],[Cell_ID]],Registre_Maintenance!A:C,3,FALSE),"Non trouvé")</f>
        <v>Non trouvé</v>
      </c>
      <c r="G287" s="8" t="str">
        <f>IFERROR(VLOOKUP(LOG_RESEAU[[#This Row],[Cell_ID]],Registre_Maintenance!A:D,4,FALSE),"Non trouvé")</f>
        <v>Non trouvé</v>
      </c>
      <c r="H287" s="6" t="str">
        <f>IFERROR(VLOOKUP(LOG_RESEAU[[#This Row],[Cell_ID]],Registre_Maintenance!A:E,5,FALSE),"Non trouvé")</f>
        <v>Non trouvé</v>
      </c>
      <c r="I287" s="6" t="str">
        <f>IFERROR(VLOOKUP(LOG_RESEAU[[#This Row],[Cell_ID]],Registre_Maintenance!A:F,6,FALSE),"Non trouvé")</f>
        <v>Non trouvé</v>
      </c>
      <c r="J287" s="6" t="str">
        <f t="shared" si="12"/>
        <v>Antenne inconnue</v>
      </c>
      <c r="K287" s="6">
        <f t="shared" si="13"/>
        <v>5</v>
      </c>
      <c r="L287" s="6">
        <f t="shared" si="14"/>
        <v>173</v>
      </c>
    </row>
    <row r="288" spans="1:12" ht="15.75" x14ac:dyDescent="0.25">
      <c r="A288" s="6" t="s">
        <v>878</v>
      </c>
      <c r="B288" s="7">
        <v>45226.655555555553</v>
      </c>
      <c r="C288" s="6">
        <v>19</v>
      </c>
      <c r="D288" s="6" t="s">
        <v>794</v>
      </c>
      <c r="E288" s="8" t="str">
        <f>IFERROR(VLOOKUP(LOG_RESEAU[[#This Row],[Cell_ID]],Registre_Maintenance!A:B,2,FALSE),"Non trouvé")</f>
        <v>Non trouvé</v>
      </c>
      <c r="F288" s="8" t="str">
        <f>IFERROR(VLOOKUP(LOG_RESEAU[[#This Row],[Cell_ID]],Registre_Maintenance!A:C,3,FALSE),"Non trouvé")</f>
        <v>Non trouvé</v>
      </c>
      <c r="G288" s="8" t="str">
        <f>IFERROR(VLOOKUP(LOG_RESEAU[[#This Row],[Cell_ID]],Registre_Maintenance!A:D,4,FALSE),"Non trouvé")</f>
        <v>Non trouvé</v>
      </c>
      <c r="H288" s="6" t="str">
        <f>IFERROR(VLOOKUP(LOG_RESEAU[[#This Row],[Cell_ID]],Registre_Maintenance!A:E,5,FALSE),"Non trouvé")</f>
        <v>Non trouvé</v>
      </c>
      <c r="I288" s="6" t="str">
        <f>IFERROR(VLOOKUP(LOG_RESEAU[[#This Row],[Cell_ID]],Registre_Maintenance!A:F,6,FALSE),"Non trouvé")</f>
        <v>Non trouvé</v>
      </c>
      <c r="J288" s="6" t="str">
        <f t="shared" si="12"/>
        <v>Antenne inconnue</v>
      </c>
      <c r="K288" s="6">
        <f t="shared" si="13"/>
        <v>5</v>
      </c>
      <c r="L288" s="6">
        <f t="shared" si="14"/>
        <v>173</v>
      </c>
    </row>
    <row r="289" spans="1:12" ht="15.75" x14ac:dyDescent="0.25">
      <c r="A289" s="6" t="s">
        <v>833</v>
      </c>
      <c r="B289" s="7">
        <v>45222.425694444442</v>
      </c>
      <c r="C289" s="6">
        <v>74</v>
      </c>
      <c r="D289" s="6" t="s">
        <v>794</v>
      </c>
      <c r="E289" s="8" t="str">
        <f>IFERROR(VLOOKUP(LOG_RESEAU[[#This Row],[Cell_ID]],Registre_Maintenance!A:B,2,FALSE),"Non trouvé")</f>
        <v>Tshopo</v>
      </c>
      <c r="F289" s="8">
        <f>IFERROR(VLOOKUP(LOG_RESEAU[[#This Row],[Cell_ID]],Registre_Maintenance!A:C,3,FALSE),"Non trouvé")</f>
        <v>-6.4670189999999996</v>
      </c>
      <c r="G289" s="8">
        <f>IFERROR(VLOOKUP(LOG_RESEAU[[#This Row],[Cell_ID]],Registre_Maintenance!A:D,4,FALSE),"Non trouvé")</f>
        <v>29.487309</v>
      </c>
      <c r="H289" s="6" t="str">
        <f>IFERROR(VLOOKUP(LOG_RESEAU[[#This Row],[Cell_ID]],Registre_Maintenance!A:E,5,FALSE),"Non trouvé")</f>
        <v>4G</v>
      </c>
      <c r="I289" s="6" t="str">
        <f>IFERROR(VLOOKUP(LOG_RESEAU[[#This Row],[Cell_ID]],Registre_Maintenance!A:F,6,FALSE),"Non trouvé")</f>
        <v>ZTE</v>
      </c>
      <c r="J289" s="6" t="str">
        <f t="shared" si="12"/>
        <v>OK</v>
      </c>
      <c r="K289" s="6">
        <f t="shared" si="13"/>
        <v>5</v>
      </c>
      <c r="L289" s="6">
        <f t="shared" si="14"/>
        <v>351</v>
      </c>
    </row>
    <row r="290" spans="1:12" ht="15.75" x14ac:dyDescent="0.25">
      <c r="A290" s="6" t="s">
        <v>833</v>
      </c>
      <c r="B290" s="7">
        <v>45216.457638888889</v>
      </c>
      <c r="C290" s="6">
        <v>27</v>
      </c>
      <c r="D290" s="6" t="s">
        <v>794</v>
      </c>
      <c r="E290" s="8" t="str">
        <f>IFERROR(VLOOKUP(LOG_RESEAU[[#This Row],[Cell_ID]],Registre_Maintenance!A:B,2,FALSE),"Non trouvé")</f>
        <v>Tshopo</v>
      </c>
      <c r="F290" s="8">
        <f>IFERROR(VLOOKUP(LOG_RESEAU[[#This Row],[Cell_ID]],Registre_Maintenance!A:C,3,FALSE),"Non trouvé")</f>
        <v>-6.4670189999999996</v>
      </c>
      <c r="G290" s="8">
        <f>IFERROR(VLOOKUP(LOG_RESEAU[[#This Row],[Cell_ID]],Registre_Maintenance!A:D,4,FALSE),"Non trouvé")</f>
        <v>29.487309</v>
      </c>
      <c r="H290" s="6" t="str">
        <f>IFERROR(VLOOKUP(LOG_RESEAU[[#This Row],[Cell_ID]],Registre_Maintenance!A:E,5,FALSE),"Non trouvé")</f>
        <v>4G</v>
      </c>
      <c r="I290" s="6" t="str">
        <f>IFERROR(VLOOKUP(LOG_RESEAU[[#This Row],[Cell_ID]],Registre_Maintenance!A:F,6,FALSE),"Non trouvé")</f>
        <v>ZTE</v>
      </c>
      <c r="J290" s="6" t="str">
        <f t="shared" si="12"/>
        <v>OK</v>
      </c>
      <c r="K290" s="6">
        <f t="shared" si="13"/>
        <v>5</v>
      </c>
      <c r="L290" s="6">
        <f t="shared" si="14"/>
        <v>351</v>
      </c>
    </row>
    <row r="291" spans="1:12" ht="15.75" x14ac:dyDescent="0.25">
      <c r="A291" s="6" t="s">
        <v>833</v>
      </c>
      <c r="B291" s="7">
        <v>45226.984027777777</v>
      </c>
      <c r="C291" s="6">
        <v>23</v>
      </c>
      <c r="D291" s="6" t="s">
        <v>792</v>
      </c>
      <c r="E291" s="8" t="str">
        <f>IFERROR(VLOOKUP(LOG_RESEAU[[#This Row],[Cell_ID]],Registre_Maintenance!A:B,2,FALSE),"Non trouvé")</f>
        <v>Tshopo</v>
      </c>
      <c r="F291" s="8">
        <f>IFERROR(VLOOKUP(LOG_RESEAU[[#This Row],[Cell_ID]],Registre_Maintenance!A:C,3,FALSE),"Non trouvé")</f>
        <v>-6.4670189999999996</v>
      </c>
      <c r="G291" s="8">
        <f>IFERROR(VLOOKUP(LOG_RESEAU[[#This Row],[Cell_ID]],Registre_Maintenance!A:D,4,FALSE),"Non trouvé")</f>
        <v>29.487309</v>
      </c>
      <c r="H291" s="6" t="str">
        <f>IFERROR(VLOOKUP(LOG_RESEAU[[#This Row],[Cell_ID]],Registre_Maintenance!A:E,5,FALSE),"Non trouvé")</f>
        <v>4G</v>
      </c>
      <c r="I291" s="6" t="str">
        <f>IFERROR(VLOOKUP(LOG_RESEAU[[#This Row],[Cell_ID]],Registre_Maintenance!A:F,6,FALSE),"Non trouvé")</f>
        <v>ZTE</v>
      </c>
      <c r="J291" s="6" t="str">
        <f t="shared" si="12"/>
        <v>OK</v>
      </c>
      <c r="K291" s="6">
        <f t="shared" si="13"/>
        <v>5</v>
      </c>
      <c r="L291" s="6">
        <f t="shared" si="14"/>
        <v>351</v>
      </c>
    </row>
    <row r="292" spans="1:12" ht="15.75" x14ac:dyDescent="0.25">
      <c r="A292" s="6" t="s">
        <v>833</v>
      </c>
      <c r="B292" s="7">
        <v>45202.011111111111</v>
      </c>
      <c r="C292" s="6">
        <v>120</v>
      </c>
      <c r="D292" s="6" t="s">
        <v>800</v>
      </c>
      <c r="E292" s="8" t="str">
        <f>IFERROR(VLOOKUP(LOG_RESEAU[[#This Row],[Cell_ID]],Registre_Maintenance!A:B,2,FALSE),"Non trouvé")</f>
        <v>Tshopo</v>
      </c>
      <c r="F292" s="8">
        <f>IFERROR(VLOOKUP(LOG_RESEAU[[#This Row],[Cell_ID]],Registre_Maintenance!A:C,3,FALSE),"Non trouvé")</f>
        <v>-6.4670189999999996</v>
      </c>
      <c r="G292" s="8">
        <f>IFERROR(VLOOKUP(LOG_RESEAU[[#This Row],[Cell_ID]],Registre_Maintenance!A:D,4,FALSE),"Non trouvé")</f>
        <v>29.487309</v>
      </c>
      <c r="H292" s="6" t="str">
        <f>IFERROR(VLOOKUP(LOG_RESEAU[[#This Row],[Cell_ID]],Registre_Maintenance!A:E,5,FALSE),"Non trouvé")</f>
        <v>4G</v>
      </c>
      <c r="I292" s="6" t="str">
        <f>IFERROR(VLOOKUP(LOG_RESEAU[[#This Row],[Cell_ID]],Registre_Maintenance!A:F,6,FALSE),"Non trouvé")</f>
        <v>ZTE</v>
      </c>
      <c r="J292" s="6" t="str">
        <f t="shared" si="12"/>
        <v>OK</v>
      </c>
      <c r="K292" s="6">
        <f t="shared" si="13"/>
        <v>5</v>
      </c>
      <c r="L292" s="6">
        <f t="shared" si="14"/>
        <v>351</v>
      </c>
    </row>
    <row r="293" spans="1:12" ht="15.75" x14ac:dyDescent="0.25">
      <c r="A293" s="6" t="s">
        <v>833</v>
      </c>
      <c r="B293" s="7">
        <v>45220.677083333343</v>
      </c>
      <c r="C293" s="6">
        <v>107</v>
      </c>
      <c r="D293" s="6" t="s">
        <v>792</v>
      </c>
      <c r="E293" s="8" t="str">
        <f>IFERROR(VLOOKUP(LOG_RESEAU[[#This Row],[Cell_ID]],Registre_Maintenance!A:B,2,FALSE),"Non trouvé")</f>
        <v>Tshopo</v>
      </c>
      <c r="F293" s="8">
        <f>IFERROR(VLOOKUP(LOG_RESEAU[[#This Row],[Cell_ID]],Registre_Maintenance!A:C,3,FALSE),"Non trouvé")</f>
        <v>-6.4670189999999996</v>
      </c>
      <c r="G293" s="8">
        <f>IFERROR(VLOOKUP(LOG_RESEAU[[#This Row],[Cell_ID]],Registre_Maintenance!A:D,4,FALSE),"Non trouvé")</f>
        <v>29.487309</v>
      </c>
      <c r="H293" s="6" t="str">
        <f>IFERROR(VLOOKUP(LOG_RESEAU[[#This Row],[Cell_ID]],Registre_Maintenance!A:E,5,FALSE),"Non trouvé")</f>
        <v>4G</v>
      </c>
      <c r="I293" s="6" t="str">
        <f>IFERROR(VLOOKUP(LOG_RESEAU[[#This Row],[Cell_ID]],Registre_Maintenance!A:F,6,FALSE),"Non trouvé")</f>
        <v>ZTE</v>
      </c>
      <c r="J293" s="6" t="str">
        <f t="shared" si="12"/>
        <v>OK</v>
      </c>
      <c r="K293" s="6">
        <f t="shared" si="13"/>
        <v>5</v>
      </c>
      <c r="L293" s="6">
        <f t="shared" si="14"/>
        <v>351</v>
      </c>
    </row>
    <row r="294" spans="1:12" ht="15.75" x14ac:dyDescent="0.25">
      <c r="A294" s="6" t="s">
        <v>842</v>
      </c>
      <c r="B294" s="7">
        <v>45221.568055555559</v>
      </c>
      <c r="C294" s="6">
        <v>59</v>
      </c>
      <c r="D294" s="6" t="s">
        <v>792</v>
      </c>
      <c r="E294" s="8" t="str">
        <f>IFERROR(VLOOKUP(LOG_RESEAU[[#This Row],[Cell_ID]],Registre_Maintenance!A:B,2,FALSE),"Non trouvé")</f>
        <v>Ituri</v>
      </c>
      <c r="F294" s="8">
        <f>IFERROR(VLOOKUP(LOG_RESEAU[[#This Row],[Cell_ID]],Registre_Maintenance!A:C,3,FALSE),"Non trouvé")</f>
        <v>-0.34051900000000002</v>
      </c>
      <c r="G294" s="8">
        <f>IFERROR(VLOOKUP(LOG_RESEAU[[#This Row],[Cell_ID]],Registre_Maintenance!A:D,4,FALSE),"Non trouvé")</f>
        <v>17.079799000000001</v>
      </c>
      <c r="H294" s="6" t="str">
        <f>IFERROR(VLOOKUP(LOG_RESEAU[[#This Row],[Cell_ID]],Registre_Maintenance!A:E,5,FALSE),"Non trouvé")</f>
        <v>5G</v>
      </c>
      <c r="I294" s="6" t="str">
        <f>IFERROR(VLOOKUP(LOG_RESEAU[[#This Row],[Cell_ID]],Registre_Maintenance!A:F,6,FALSE),"Non trouvé")</f>
        <v>Ericsson</v>
      </c>
      <c r="J294" s="6" t="str">
        <f t="shared" si="12"/>
        <v>OK</v>
      </c>
      <c r="K294" s="6">
        <f t="shared" si="13"/>
        <v>6</v>
      </c>
      <c r="L294" s="6">
        <f t="shared" si="14"/>
        <v>321</v>
      </c>
    </row>
    <row r="295" spans="1:12" ht="15.75" x14ac:dyDescent="0.25">
      <c r="A295" s="6" t="s">
        <v>842</v>
      </c>
      <c r="B295" s="7">
        <v>45201.3125</v>
      </c>
      <c r="C295" s="6">
        <v>15</v>
      </c>
      <c r="D295" s="6" t="s">
        <v>794</v>
      </c>
      <c r="E295" s="8" t="str">
        <f>IFERROR(VLOOKUP(LOG_RESEAU[[#This Row],[Cell_ID]],Registre_Maintenance!A:B,2,FALSE),"Non trouvé")</f>
        <v>Ituri</v>
      </c>
      <c r="F295" s="8">
        <f>IFERROR(VLOOKUP(LOG_RESEAU[[#This Row],[Cell_ID]],Registre_Maintenance!A:C,3,FALSE),"Non trouvé")</f>
        <v>-0.34051900000000002</v>
      </c>
      <c r="G295" s="8">
        <f>IFERROR(VLOOKUP(LOG_RESEAU[[#This Row],[Cell_ID]],Registre_Maintenance!A:D,4,FALSE),"Non trouvé")</f>
        <v>17.079799000000001</v>
      </c>
      <c r="H295" s="6" t="str">
        <f>IFERROR(VLOOKUP(LOG_RESEAU[[#This Row],[Cell_ID]],Registre_Maintenance!A:E,5,FALSE),"Non trouvé")</f>
        <v>5G</v>
      </c>
      <c r="I295" s="6" t="str">
        <f>IFERROR(VLOOKUP(LOG_RESEAU[[#This Row],[Cell_ID]],Registre_Maintenance!A:F,6,FALSE),"Non trouvé")</f>
        <v>Ericsson</v>
      </c>
      <c r="J295" s="6" t="str">
        <f t="shared" si="12"/>
        <v>OK</v>
      </c>
      <c r="K295" s="6">
        <f t="shared" si="13"/>
        <v>6</v>
      </c>
      <c r="L295" s="6">
        <f t="shared" si="14"/>
        <v>321</v>
      </c>
    </row>
    <row r="296" spans="1:12" ht="15.75" x14ac:dyDescent="0.25">
      <c r="A296" s="6" t="s">
        <v>842</v>
      </c>
      <c r="B296" s="7">
        <v>45203.981944444437</v>
      </c>
      <c r="C296" s="6">
        <v>16</v>
      </c>
      <c r="D296" s="6" t="s">
        <v>794</v>
      </c>
      <c r="E296" s="8" t="str">
        <f>IFERROR(VLOOKUP(LOG_RESEAU[[#This Row],[Cell_ID]],Registre_Maintenance!A:B,2,FALSE),"Non trouvé")</f>
        <v>Ituri</v>
      </c>
      <c r="F296" s="8">
        <f>IFERROR(VLOOKUP(LOG_RESEAU[[#This Row],[Cell_ID]],Registre_Maintenance!A:C,3,FALSE),"Non trouvé")</f>
        <v>-0.34051900000000002</v>
      </c>
      <c r="G296" s="8">
        <f>IFERROR(VLOOKUP(LOG_RESEAU[[#This Row],[Cell_ID]],Registre_Maintenance!A:D,4,FALSE),"Non trouvé")</f>
        <v>17.079799000000001</v>
      </c>
      <c r="H296" s="6" t="str">
        <f>IFERROR(VLOOKUP(LOG_RESEAU[[#This Row],[Cell_ID]],Registre_Maintenance!A:E,5,FALSE),"Non trouvé")</f>
        <v>5G</v>
      </c>
      <c r="I296" s="6" t="str">
        <f>IFERROR(VLOOKUP(LOG_RESEAU[[#This Row],[Cell_ID]],Registre_Maintenance!A:F,6,FALSE),"Non trouvé")</f>
        <v>Ericsson</v>
      </c>
      <c r="J296" s="6" t="str">
        <f t="shared" si="12"/>
        <v>OK</v>
      </c>
      <c r="K296" s="6">
        <f t="shared" si="13"/>
        <v>6</v>
      </c>
      <c r="L296" s="6">
        <f t="shared" si="14"/>
        <v>321</v>
      </c>
    </row>
    <row r="297" spans="1:12" ht="15.75" x14ac:dyDescent="0.25">
      <c r="A297" s="6" t="s">
        <v>842</v>
      </c>
      <c r="B297" s="7">
        <v>45221.35833333333</v>
      </c>
      <c r="C297" s="6">
        <v>101</v>
      </c>
      <c r="D297" s="6" t="s">
        <v>792</v>
      </c>
      <c r="E297" s="8" t="str">
        <f>IFERROR(VLOOKUP(LOG_RESEAU[[#This Row],[Cell_ID]],Registre_Maintenance!A:B,2,FALSE),"Non trouvé")</f>
        <v>Ituri</v>
      </c>
      <c r="F297" s="8">
        <f>IFERROR(VLOOKUP(LOG_RESEAU[[#This Row],[Cell_ID]],Registre_Maintenance!A:C,3,FALSE),"Non trouvé")</f>
        <v>-0.34051900000000002</v>
      </c>
      <c r="G297" s="8">
        <f>IFERROR(VLOOKUP(LOG_RESEAU[[#This Row],[Cell_ID]],Registre_Maintenance!A:D,4,FALSE),"Non trouvé")</f>
        <v>17.079799000000001</v>
      </c>
      <c r="H297" s="6" t="str">
        <f>IFERROR(VLOOKUP(LOG_RESEAU[[#This Row],[Cell_ID]],Registre_Maintenance!A:E,5,FALSE),"Non trouvé")</f>
        <v>5G</v>
      </c>
      <c r="I297" s="6" t="str">
        <f>IFERROR(VLOOKUP(LOG_RESEAU[[#This Row],[Cell_ID]],Registre_Maintenance!A:F,6,FALSE),"Non trouvé")</f>
        <v>Ericsson</v>
      </c>
      <c r="J297" s="6" t="str">
        <f t="shared" si="12"/>
        <v>OK</v>
      </c>
      <c r="K297" s="6">
        <f t="shared" si="13"/>
        <v>6</v>
      </c>
      <c r="L297" s="6">
        <f t="shared" si="14"/>
        <v>321</v>
      </c>
    </row>
    <row r="298" spans="1:12" ht="15.75" x14ac:dyDescent="0.25">
      <c r="A298" s="6" t="s">
        <v>842</v>
      </c>
      <c r="B298" s="7">
        <v>45216.709027777782</v>
      </c>
      <c r="C298" s="6">
        <v>39</v>
      </c>
      <c r="D298" s="6" t="s">
        <v>794</v>
      </c>
      <c r="E298" s="8" t="str">
        <f>IFERROR(VLOOKUP(LOG_RESEAU[[#This Row],[Cell_ID]],Registre_Maintenance!A:B,2,FALSE),"Non trouvé")</f>
        <v>Ituri</v>
      </c>
      <c r="F298" s="8">
        <f>IFERROR(VLOOKUP(LOG_RESEAU[[#This Row],[Cell_ID]],Registre_Maintenance!A:C,3,FALSE),"Non trouvé")</f>
        <v>-0.34051900000000002</v>
      </c>
      <c r="G298" s="8">
        <f>IFERROR(VLOOKUP(LOG_RESEAU[[#This Row],[Cell_ID]],Registre_Maintenance!A:D,4,FALSE),"Non trouvé")</f>
        <v>17.079799000000001</v>
      </c>
      <c r="H298" s="6" t="str">
        <f>IFERROR(VLOOKUP(LOG_RESEAU[[#This Row],[Cell_ID]],Registre_Maintenance!A:E,5,FALSE),"Non trouvé")</f>
        <v>5G</v>
      </c>
      <c r="I298" s="6" t="str">
        <f>IFERROR(VLOOKUP(LOG_RESEAU[[#This Row],[Cell_ID]],Registre_Maintenance!A:F,6,FALSE),"Non trouvé")</f>
        <v>Ericsson</v>
      </c>
      <c r="J298" s="6" t="str">
        <f t="shared" si="12"/>
        <v>OK</v>
      </c>
      <c r="K298" s="6">
        <f t="shared" si="13"/>
        <v>6</v>
      </c>
      <c r="L298" s="6">
        <f t="shared" si="14"/>
        <v>321</v>
      </c>
    </row>
    <row r="299" spans="1:12" ht="15.75" x14ac:dyDescent="0.25">
      <c r="A299" s="6" t="s">
        <v>842</v>
      </c>
      <c r="B299" s="7">
        <v>45201.245833333327</v>
      </c>
      <c r="C299" s="6">
        <v>91</v>
      </c>
      <c r="D299" s="6" t="s">
        <v>800</v>
      </c>
      <c r="E299" s="8" t="str">
        <f>IFERROR(VLOOKUP(LOG_RESEAU[[#This Row],[Cell_ID]],Registre_Maintenance!A:B,2,FALSE),"Non trouvé")</f>
        <v>Ituri</v>
      </c>
      <c r="F299" s="8">
        <f>IFERROR(VLOOKUP(LOG_RESEAU[[#This Row],[Cell_ID]],Registre_Maintenance!A:C,3,FALSE),"Non trouvé")</f>
        <v>-0.34051900000000002</v>
      </c>
      <c r="G299" s="8">
        <f>IFERROR(VLOOKUP(LOG_RESEAU[[#This Row],[Cell_ID]],Registre_Maintenance!A:D,4,FALSE),"Non trouvé")</f>
        <v>17.079799000000001</v>
      </c>
      <c r="H299" s="6" t="str">
        <f>IFERROR(VLOOKUP(LOG_RESEAU[[#This Row],[Cell_ID]],Registre_Maintenance!A:E,5,FALSE),"Non trouvé")</f>
        <v>5G</v>
      </c>
      <c r="I299" s="6" t="str">
        <f>IFERROR(VLOOKUP(LOG_RESEAU[[#This Row],[Cell_ID]],Registre_Maintenance!A:F,6,FALSE),"Non trouvé")</f>
        <v>Ericsson</v>
      </c>
      <c r="J299" s="6" t="str">
        <f t="shared" si="12"/>
        <v>OK</v>
      </c>
      <c r="K299" s="6">
        <f t="shared" si="13"/>
        <v>6</v>
      </c>
      <c r="L299" s="6">
        <f t="shared" si="14"/>
        <v>321</v>
      </c>
    </row>
    <row r="300" spans="1:12" ht="15.75" x14ac:dyDescent="0.25">
      <c r="A300" s="6" t="s">
        <v>869</v>
      </c>
      <c r="B300" s="7">
        <v>45201.294444444437</v>
      </c>
      <c r="C300" s="6">
        <v>54</v>
      </c>
      <c r="D300" s="6" t="s">
        <v>792</v>
      </c>
      <c r="E300" s="8" t="str">
        <f>IFERROR(VLOOKUP(LOG_RESEAU[[#This Row],[Cell_ID]],Registre_Maintenance!A:B,2,FALSE),"Non trouvé")</f>
        <v>Non trouvé</v>
      </c>
      <c r="F300" s="8" t="str">
        <f>IFERROR(VLOOKUP(LOG_RESEAU[[#This Row],[Cell_ID]],Registre_Maintenance!A:C,3,FALSE),"Non trouvé")</f>
        <v>Non trouvé</v>
      </c>
      <c r="G300" s="8" t="str">
        <f>IFERROR(VLOOKUP(LOG_RESEAU[[#This Row],[Cell_ID]],Registre_Maintenance!A:D,4,FALSE),"Non trouvé")</f>
        <v>Non trouvé</v>
      </c>
      <c r="H300" s="6" t="str">
        <f>IFERROR(VLOOKUP(LOG_RESEAU[[#This Row],[Cell_ID]],Registre_Maintenance!A:E,5,FALSE),"Non trouvé")</f>
        <v>Non trouvé</v>
      </c>
      <c r="I300" s="6" t="str">
        <f>IFERROR(VLOOKUP(LOG_RESEAU[[#This Row],[Cell_ID]],Registre_Maintenance!A:F,6,FALSE),"Non trouvé")</f>
        <v>Non trouvé</v>
      </c>
      <c r="J300" s="6" t="str">
        <f t="shared" si="12"/>
        <v>Antenne inconnue</v>
      </c>
      <c r="K300" s="6">
        <f t="shared" si="13"/>
        <v>5</v>
      </c>
      <c r="L300" s="6">
        <f t="shared" si="14"/>
        <v>393</v>
      </c>
    </row>
    <row r="301" spans="1:12" ht="15.75" x14ac:dyDescent="0.25">
      <c r="A301" s="6" t="s">
        <v>869</v>
      </c>
      <c r="B301" s="7">
        <v>45223.981944444437</v>
      </c>
      <c r="C301" s="6">
        <v>103</v>
      </c>
      <c r="D301" s="6" t="s">
        <v>794</v>
      </c>
      <c r="E301" s="8" t="str">
        <f>IFERROR(VLOOKUP(LOG_RESEAU[[#This Row],[Cell_ID]],Registre_Maintenance!A:B,2,FALSE),"Non trouvé")</f>
        <v>Non trouvé</v>
      </c>
      <c r="F301" s="8" t="str">
        <f>IFERROR(VLOOKUP(LOG_RESEAU[[#This Row],[Cell_ID]],Registre_Maintenance!A:C,3,FALSE),"Non trouvé")</f>
        <v>Non trouvé</v>
      </c>
      <c r="G301" s="8" t="str">
        <f>IFERROR(VLOOKUP(LOG_RESEAU[[#This Row],[Cell_ID]],Registre_Maintenance!A:D,4,FALSE),"Non trouvé")</f>
        <v>Non trouvé</v>
      </c>
      <c r="H301" s="6" t="str">
        <f>IFERROR(VLOOKUP(LOG_RESEAU[[#This Row],[Cell_ID]],Registre_Maintenance!A:E,5,FALSE),"Non trouvé")</f>
        <v>Non trouvé</v>
      </c>
      <c r="I301" s="6" t="str">
        <f>IFERROR(VLOOKUP(LOG_RESEAU[[#This Row],[Cell_ID]],Registre_Maintenance!A:F,6,FALSE),"Non trouvé")</f>
        <v>Non trouvé</v>
      </c>
      <c r="J301" s="6" t="str">
        <f t="shared" si="12"/>
        <v>Antenne inconnue</v>
      </c>
      <c r="K301" s="6">
        <f t="shared" si="13"/>
        <v>5</v>
      </c>
      <c r="L301" s="6">
        <f t="shared" si="14"/>
        <v>393</v>
      </c>
    </row>
    <row r="302" spans="1:12" ht="15.75" x14ac:dyDescent="0.25">
      <c r="A302" s="6" t="s">
        <v>869</v>
      </c>
      <c r="B302" s="7">
        <v>45208.169444444437</v>
      </c>
      <c r="C302" s="6">
        <v>75</v>
      </c>
      <c r="D302" s="6" t="s">
        <v>800</v>
      </c>
      <c r="E302" s="8" t="str">
        <f>IFERROR(VLOOKUP(LOG_RESEAU[[#This Row],[Cell_ID]],Registre_Maintenance!A:B,2,FALSE),"Non trouvé")</f>
        <v>Non trouvé</v>
      </c>
      <c r="F302" s="8" t="str">
        <f>IFERROR(VLOOKUP(LOG_RESEAU[[#This Row],[Cell_ID]],Registre_Maintenance!A:C,3,FALSE),"Non trouvé")</f>
        <v>Non trouvé</v>
      </c>
      <c r="G302" s="8" t="str">
        <f>IFERROR(VLOOKUP(LOG_RESEAU[[#This Row],[Cell_ID]],Registre_Maintenance!A:D,4,FALSE),"Non trouvé")</f>
        <v>Non trouvé</v>
      </c>
      <c r="H302" s="6" t="str">
        <f>IFERROR(VLOOKUP(LOG_RESEAU[[#This Row],[Cell_ID]],Registre_Maintenance!A:E,5,FALSE),"Non trouvé")</f>
        <v>Non trouvé</v>
      </c>
      <c r="I302" s="6" t="str">
        <f>IFERROR(VLOOKUP(LOG_RESEAU[[#This Row],[Cell_ID]],Registre_Maintenance!A:F,6,FALSE),"Non trouvé")</f>
        <v>Non trouvé</v>
      </c>
      <c r="J302" s="6" t="str">
        <f t="shared" si="12"/>
        <v>Antenne inconnue</v>
      </c>
      <c r="K302" s="6">
        <f t="shared" si="13"/>
        <v>5</v>
      </c>
      <c r="L302" s="6">
        <f t="shared" si="14"/>
        <v>393</v>
      </c>
    </row>
    <row r="303" spans="1:12" hidden="1" x14ac:dyDescent="0.25">
      <c r="A303" s="2"/>
      <c r="B303" s="2">
        <v>45200.981944444437</v>
      </c>
      <c r="C303" s="2">
        <v>43</v>
      </c>
      <c r="D303" s="2" t="s">
        <v>792</v>
      </c>
      <c r="E303" s="3" t="str">
        <f>IFERROR(VLOOKUP(LOG_RESEAU[[#This Row],[Cell_ID]],Registre_Maintenance!A:B,2,FALSE),"Non trouvé")</f>
        <v>Non trouvé</v>
      </c>
      <c r="F303" s="3" t="str">
        <f>IFERROR(VLOOKUP(LOG_RESEAU[[#This Row],[Cell_ID]],Registre_Maintenance!A:C,3,FALSE),"Non trouvé")</f>
        <v>Non trouvé</v>
      </c>
      <c r="G303" s="3" t="str">
        <f>IFERROR(VLOOKUP(LOG_RESEAU[[#This Row],[Cell_ID]],Registre_Maintenance!A:D,4,FALSE),"Non trouvé")</f>
        <v>Non trouvé</v>
      </c>
      <c r="H303" s="2" t="str">
        <f>IFERROR(VLOOKUP(LOG_RESEAU[[#This Row],[Cell_ID]],Registre_Maintenance!A:E,5,FALSE),"Non trouvé")</f>
        <v>Non trouvé</v>
      </c>
      <c r="I303" s="2" t="str">
        <f>IFERROR(VLOOKUP(LOG_RESEAU[[#This Row],[Cell_ID]],Registre_Maintenance!A:F,6,FALSE),"Non trouvé")</f>
        <v>Non trouvé</v>
      </c>
      <c r="J303" s="2" t="str">
        <f t="shared" si="12"/>
        <v>Antenne inconnue</v>
      </c>
      <c r="K303" s="2">
        <f t="shared" si="13"/>
        <v>0</v>
      </c>
      <c r="L303" s="2">
        <f t="shared" si="14"/>
        <v>0</v>
      </c>
    </row>
    <row r="304" spans="1:12" ht="15.75" x14ac:dyDescent="0.25">
      <c r="A304" s="6" t="s">
        <v>869</v>
      </c>
      <c r="B304" s="7">
        <v>45218.53125</v>
      </c>
      <c r="C304" s="6">
        <v>113</v>
      </c>
      <c r="D304" s="6" t="s">
        <v>794</v>
      </c>
      <c r="E304" s="8" t="str">
        <f>IFERROR(VLOOKUP(LOG_RESEAU[[#This Row],[Cell_ID]],Registre_Maintenance!A:B,2,FALSE),"Non trouvé")</f>
        <v>Non trouvé</v>
      </c>
      <c r="F304" s="8" t="str">
        <f>IFERROR(VLOOKUP(LOG_RESEAU[[#This Row],[Cell_ID]],Registre_Maintenance!A:C,3,FALSE),"Non trouvé")</f>
        <v>Non trouvé</v>
      </c>
      <c r="G304" s="8" t="str">
        <f>IFERROR(VLOOKUP(LOG_RESEAU[[#This Row],[Cell_ID]],Registre_Maintenance!A:D,4,FALSE),"Non trouvé")</f>
        <v>Non trouvé</v>
      </c>
      <c r="H304" s="6" t="str">
        <f>IFERROR(VLOOKUP(LOG_RESEAU[[#This Row],[Cell_ID]],Registre_Maintenance!A:E,5,FALSE),"Non trouvé")</f>
        <v>Non trouvé</v>
      </c>
      <c r="I304" s="6" t="str">
        <f>IFERROR(VLOOKUP(LOG_RESEAU[[#This Row],[Cell_ID]],Registre_Maintenance!A:F,6,FALSE),"Non trouvé")</f>
        <v>Non trouvé</v>
      </c>
      <c r="J304" s="6" t="str">
        <f t="shared" si="12"/>
        <v>Antenne inconnue</v>
      </c>
      <c r="K304" s="6">
        <f t="shared" si="13"/>
        <v>5</v>
      </c>
      <c r="L304" s="6">
        <f t="shared" si="14"/>
        <v>393</v>
      </c>
    </row>
    <row r="305" spans="1:12" ht="15.75" x14ac:dyDescent="0.25">
      <c r="A305" s="6" t="s">
        <v>869</v>
      </c>
      <c r="B305" s="7">
        <v>45222.425694444442</v>
      </c>
      <c r="C305" s="6">
        <v>48</v>
      </c>
      <c r="D305" s="6" t="s">
        <v>794</v>
      </c>
      <c r="E305" s="8" t="str">
        <f>IFERROR(VLOOKUP(LOG_RESEAU[[#This Row],[Cell_ID]],Registre_Maintenance!A:B,2,FALSE),"Non trouvé")</f>
        <v>Non trouvé</v>
      </c>
      <c r="F305" s="8" t="str">
        <f>IFERROR(VLOOKUP(LOG_RESEAU[[#This Row],[Cell_ID]],Registre_Maintenance!A:C,3,FALSE),"Non trouvé")</f>
        <v>Non trouvé</v>
      </c>
      <c r="G305" s="8" t="str">
        <f>IFERROR(VLOOKUP(LOG_RESEAU[[#This Row],[Cell_ID]],Registre_Maintenance!A:D,4,FALSE),"Non trouvé")</f>
        <v>Non trouvé</v>
      </c>
      <c r="H305" s="6" t="str">
        <f>IFERROR(VLOOKUP(LOG_RESEAU[[#This Row],[Cell_ID]],Registre_Maintenance!A:E,5,FALSE),"Non trouvé")</f>
        <v>Non trouvé</v>
      </c>
      <c r="I305" s="6" t="str">
        <f>IFERROR(VLOOKUP(LOG_RESEAU[[#This Row],[Cell_ID]],Registre_Maintenance!A:F,6,FALSE),"Non trouvé")</f>
        <v>Non trouvé</v>
      </c>
      <c r="J305" s="6" t="str">
        <f t="shared" si="12"/>
        <v>Antenne inconnue</v>
      </c>
      <c r="K305" s="6">
        <f t="shared" si="13"/>
        <v>5</v>
      </c>
      <c r="L305" s="6">
        <f t="shared" si="14"/>
        <v>393</v>
      </c>
    </row>
    <row r="306" spans="1:12" ht="15.75" x14ac:dyDescent="0.25">
      <c r="A306" s="6" t="s">
        <v>874</v>
      </c>
      <c r="B306" s="7">
        <v>45203.154166666667</v>
      </c>
      <c r="C306" s="6">
        <v>61</v>
      </c>
      <c r="D306" s="6" t="s">
        <v>794</v>
      </c>
      <c r="E306" s="8" t="str">
        <f>IFERROR(VLOOKUP(LOG_RESEAU[[#This Row],[Cell_ID]],Registre_Maintenance!A:B,2,FALSE),"Non trouvé")</f>
        <v>Non trouvé</v>
      </c>
      <c r="F306" s="8" t="str">
        <f>IFERROR(VLOOKUP(LOG_RESEAU[[#This Row],[Cell_ID]],Registre_Maintenance!A:C,3,FALSE),"Non trouvé")</f>
        <v>Non trouvé</v>
      </c>
      <c r="G306" s="8" t="str">
        <f>IFERROR(VLOOKUP(LOG_RESEAU[[#This Row],[Cell_ID]],Registre_Maintenance!A:D,4,FALSE),"Non trouvé")</f>
        <v>Non trouvé</v>
      </c>
      <c r="H306" s="6" t="str">
        <f>IFERROR(VLOOKUP(LOG_RESEAU[[#This Row],[Cell_ID]],Registre_Maintenance!A:E,5,FALSE),"Non trouvé")</f>
        <v>Non trouvé</v>
      </c>
      <c r="I306" s="6" t="str">
        <f>IFERROR(VLOOKUP(LOG_RESEAU[[#This Row],[Cell_ID]],Registre_Maintenance!A:F,6,FALSE),"Non trouvé")</f>
        <v>Non trouvé</v>
      </c>
      <c r="J306" s="6" t="str">
        <f t="shared" si="12"/>
        <v>Antenne inconnue</v>
      </c>
      <c r="K306" s="6">
        <f t="shared" si="13"/>
        <v>2</v>
      </c>
      <c r="L306" s="6">
        <f t="shared" si="14"/>
        <v>155</v>
      </c>
    </row>
    <row r="307" spans="1:12" ht="15.75" x14ac:dyDescent="0.25">
      <c r="A307" s="6" t="s">
        <v>874</v>
      </c>
      <c r="B307" s="7">
        <v>45217.488194444442</v>
      </c>
      <c r="C307" s="6">
        <v>94</v>
      </c>
      <c r="D307" s="6" t="s">
        <v>794</v>
      </c>
      <c r="E307" s="8" t="str">
        <f>IFERROR(VLOOKUP(LOG_RESEAU[[#This Row],[Cell_ID]],Registre_Maintenance!A:B,2,FALSE),"Non trouvé")</f>
        <v>Non trouvé</v>
      </c>
      <c r="F307" s="8" t="str">
        <f>IFERROR(VLOOKUP(LOG_RESEAU[[#This Row],[Cell_ID]],Registre_Maintenance!A:C,3,FALSE),"Non trouvé")</f>
        <v>Non trouvé</v>
      </c>
      <c r="G307" s="8" t="str">
        <f>IFERROR(VLOOKUP(LOG_RESEAU[[#This Row],[Cell_ID]],Registre_Maintenance!A:D,4,FALSE),"Non trouvé")</f>
        <v>Non trouvé</v>
      </c>
      <c r="H307" s="6" t="str">
        <f>IFERROR(VLOOKUP(LOG_RESEAU[[#This Row],[Cell_ID]],Registre_Maintenance!A:E,5,FALSE),"Non trouvé")</f>
        <v>Non trouvé</v>
      </c>
      <c r="I307" s="6" t="str">
        <f>IFERROR(VLOOKUP(LOG_RESEAU[[#This Row],[Cell_ID]],Registre_Maintenance!A:F,6,FALSE),"Non trouvé")</f>
        <v>Non trouvé</v>
      </c>
      <c r="J307" s="6" t="str">
        <f t="shared" si="12"/>
        <v>Antenne inconnue</v>
      </c>
      <c r="K307" s="6">
        <f t="shared" si="13"/>
        <v>2</v>
      </c>
      <c r="L307" s="6">
        <f t="shared" si="14"/>
        <v>155</v>
      </c>
    </row>
    <row r="308" spans="1:12" ht="15.75" x14ac:dyDescent="0.25">
      <c r="A308" s="6" t="s">
        <v>853</v>
      </c>
      <c r="B308" s="7">
        <v>45206.182638888888</v>
      </c>
      <c r="C308" s="6">
        <v>14</v>
      </c>
      <c r="D308" s="6" t="s">
        <v>794</v>
      </c>
      <c r="E308" s="8" t="str">
        <f>IFERROR(VLOOKUP(LOG_RESEAU[[#This Row],[Cell_ID]],Registre_Maintenance!A:B,2,FALSE),"Non trouvé")</f>
        <v>Non trouvé</v>
      </c>
      <c r="F308" s="8" t="str">
        <f>IFERROR(VLOOKUP(LOG_RESEAU[[#This Row],[Cell_ID]],Registre_Maintenance!A:C,3,FALSE),"Non trouvé")</f>
        <v>Non trouvé</v>
      </c>
      <c r="G308" s="8" t="str">
        <f>IFERROR(VLOOKUP(LOG_RESEAU[[#This Row],[Cell_ID]],Registre_Maintenance!A:D,4,FALSE),"Non trouvé")</f>
        <v>Non trouvé</v>
      </c>
      <c r="H308" s="6" t="str">
        <f>IFERROR(VLOOKUP(LOG_RESEAU[[#This Row],[Cell_ID]],Registre_Maintenance!A:E,5,FALSE),"Non trouvé")</f>
        <v>Non trouvé</v>
      </c>
      <c r="I308" s="6" t="str">
        <f>IFERROR(VLOOKUP(LOG_RESEAU[[#This Row],[Cell_ID]],Registre_Maintenance!A:F,6,FALSE),"Non trouvé")</f>
        <v>Non trouvé</v>
      </c>
      <c r="J308" s="6" t="str">
        <f t="shared" si="12"/>
        <v>Antenne inconnue</v>
      </c>
      <c r="K308" s="6">
        <f t="shared" si="13"/>
        <v>8</v>
      </c>
      <c r="L308" s="6">
        <f t="shared" si="14"/>
        <v>449</v>
      </c>
    </row>
    <row r="309" spans="1:12" ht="15.75" x14ac:dyDescent="0.25">
      <c r="A309" s="6" t="s">
        <v>853</v>
      </c>
      <c r="B309" s="7">
        <v>45221.775000000001</v>
      </c>
      <c r="C309" s="6">
        <v>62</v>
      </c>
      <c r="D309" s="6" t="s">
        <v>794</v>
      </c>
      <c r="E309" s="8" t="str">
        <f>IFERROR(VLOOKUP(LOG_RESEAU[[#This Row],[Cell_ID]],Registre_Maintenance!A:B,2,FALSE),"Non trouvé")</f>
        <v>Non trouvé</v>
      </c>
      <c r="F309" s="8" t="str">
        <f>IFERROR(VLOOKUP(LOG_RESEAU[[#This Row],[Cell_ID]],Registre_Maintenance!A:C,3,FALSE),"Non trouvé")</f>
        <v>Non trouvé</v>
      </c>
      <c r="G309" s="8" t="str">
        <f>IFERROR(VLOOKUP(LOG_RESEAU[[#This Row],[Cell_ID]],Registre_Maintenance!A:D,4,FALSE),"Non trouvé")</f>
        <v>Non trouvé</v>
      </c>
      <c r="H309" s="6" t="str">
        <f>IFERROR(VLOOKUP(LOG_RESEAU[[#This Row],[Cell_ID]],Registre_Maintenance!A:E,5,FALSE),"Non trouvé")</f>
        <v>Non trouvé</v>
      </c>
      <c r="I309" s="6" t="str">
        <f>IFERROR(VLOOKUP(LOG_RESEAU[[#This Row],[Cell_ID]],Registre_Maintenance!A:F,6,FALSE),"Non trouvé")</f>
        <v>Non trouvé</v>
      </c>
      <c r="J309" s="6" t="str">
        <f t="shared" si="12"/>
        <v>Antenne inconnue</v>
      </c>
      <c r="K309" s="6">
        <f t="shared" si="13"/>
        <v>8</v>
      </c>
      <c r="L309" s="6">
        <f t="shared" si="14"/>
        <v>449</v>
      </c>
    </row>
    <row r="310" spans="1:12" ht="15.75" x14ac:dyDescent="0.25">
      <c r="A310" s="6" t="s">
        <v>853</v>
      </c>
      <c r="B310" s="7">
        <v>45208.486805555563</v>
      </c>
      <c r="C310" s="6">
        <v>110</v>
      </c>
      <c r="D310" s="6" t="s">
        <v>792</v>
      </c>
      <c r="E310" s="8" t="str">
        <f>IFERROR(VLOOKUP(LOG_RESEAU[[#This Row],[Cell_ID]],Registre_Maintenance!A:B,2,FALSE),"Non trouvé")</f>
        <v>Non trouvé</v>
      </c>
      <c r="F310" s="8" t="str">
        <f>IFERROR(VLOOKUP(LOG_RESEAU[[#This Row],[Cell_ID]],Registre_Maintenance!A:C,3,FALSE),"Non trouvé")</f>
        <v>Non trouvé</v>
      </c>
      <c r="G310" s="8" t="str">
        <f>IFERROR(VLOOKUP(LOG_RESEAU[[#This Row],[Cell_ID]],Registre_Maintenance!A:D,4,FALSE),"Non trouvé")</f>
        <v>Non trouvé</v>
      </c>
      <c r="H310" s="6" t="str">
        <f>IFERROR(VLOOKUP(LOG_RESEAU[[#This Row],[Cell_ID]],Registre_Maintenance!A:E,5,FALSE),"Non trouvé")</f>
        <v>Non trouvé</v>
      </c>
      <c r="I310" s="6" t="str">
        <f>IFERROR(VLOOKUP(LOG_RESEAU[[#This Row],[Cell_ID]],Registre_Maintenance!A:F,6,FALSE),"Non trouvé")</f>
        <v>Non trouvé</v>
      </c>
      <c r="J310" s="6" t="str">
        <f t="shared" si="12"/>
        <v>Antenne inconnue</v>
      </c>
      <c r="K310" s="6">
        <f t="shared" si="13"/>
        <v>8</v>
      </c>
      <c r="L310" s="6">
        <f t="shared" si="14"/>
        <v>449</v>
      </c>
    </row>
    <row r="311" spans="1:12" ht="15.75" x14ac:dyDescent="0.25">
      <c r="A311" s="6" t="s">
        <v>853</v>
      </c>
      <c r="B311" s="7">
        <v>45209.901388888888</v>
      </c>
      <c r="C311" s="6">
        <v>49</v>
      </c>
      <c r="D311" s="6" t="s">
        <v>792</v>
      </c>
      <c r="E311" s="8" t="str">
        <f>IFERROR(VLOOKUP(LOG_RESEAU[[#This Row],[Cell_ID]],Registre_Maintenance!A:B,2,FALSE),"Non trouvé")</f>
        <v>Non trouvé</v>
      </c>
      <c r="F311" s="8" t="str">
        <f>IFERROR(VLOOKUP(LOG_RESEAU[[#This Row],[Cell_ID]],Registre_Maintenance!A:C,3,FALSE),"Non trouvé")</f>
        <v>Non trouvé</v>
      </c>
      <c r="G311" s="8" t="str">
        <f>IFERROR(VLOOKUP(LOG_RESEAU[[#This Row],[Cell_ID]],Registre_Maintenance!A:D,4,FALSE),"Non trouvé")</f>
        <v>Non trouvé</v>
      </c>
      <c r="H311" s="6" t="str">
        <f>IFERROR(VLOOKUP(LOG_RESEAU[[#This Row],[Cell_ID]],Registre_Maintenance!A:E,5,FALSE),"Non trouvé")</f>
        <v>Non trouvé</v>
      </c>
      <c r="I311" s="6" t="str">
        <f>IFERROR(VLOOKUP(LOG_RESEAU[[#This Row],[Cell_ID]],Registre_Maintenance!A:F,6,FALSE),"Non trouvé")</f>
        <v>Non trouvé</v>
      </c>
      <c r="J311" s="6" t="str">
        <f t="shared" si="12"/>
        <v>Antenne inconnue</v>
      </c>
      <c r="K311" s="6">
        <f t="shared" si="13"/>
        <v>8</v>
      </c>
      <c r="L311" s="6">
        <f t="shared" si="14"/>
        <v>449</v>
      </c>
    </row>
    <row r="312" spans="1:12" ht="15.75" x14ac:dyDescent="0.25">
      <c r="A312" s="6" t="s">
        <v>853</v>
      </c>
      <c r="B312" s="7">
        <v>45214.59652777778</v>
      </c>
      <c r="C312" s="6">
        <v>98</v>
      </c>
      <c r="D312" s="6" t="s">
        <v>800</v>
      </c>
      <c r="E312" s="8" t="str">
        <f>IFERROR(VLOOKUP(LOG_RESEAU[[#This Row],[Cell_ID]],Registre_Maintenance!A:B,2,FALSE),"Non trouvé")</f>
        <v>Non trouvé</v>
      </c>
      <c r="F312" s="8" t="str">
        <f>IFERROR(VLOOKUP(LOG_RESEAU[[#This Row],[Cell_ID]],Registre_Maintenance!A:C,3,FALSE),"Non trouvé")</f>
        <v>Non trouvé</v>
      </c>
      <c r="G312" s="8" t="str">
        <f>IFERROR(VLOOKUP(LOG_RESEAU[[#This Row],[Cell_ID]],Registre_Maintenance!A:D,4,FALSE),"Non trouvé")</f>
        <v>Non trouvé</v>
      </c>
      <c r="H312" s="6" t="str">
        <f>IFERROR(VLOOKUP(LOG_RESEAU[[#This Row],[Cell_ID]],Registre_Maintenance!A:E,5,FALSE),"Non trouvé")</f>
        <v>Non trouvé</v>
      </c>
      <c r="I312" s="6" t="str">
        <f>IFERROR(VLOOKUP(LOG_RESEAU[[#This Row],[Cell_ID]],Registre_Maintenance!A:F,6,FALSE),"Non trouvé")</f>
        <v>Non trouvé</v>
      </c>
      <c r="J312" s="6" t="str">
        <f t="shared" si="12"/>
        <v>Antenne inconnue</v>
      </c>
      <c r="K312" s="6">
        <f t="shared" si="13"/>
        <v>8</v>
      </c>
      <c r="L312" s="6">
        <f t="shared" si="14"/>
        <v>449</v>
      </c>
    </row>
    <row r="313" spans="1:12" ht="15.75" x14ac:dyDescent="0.25">
      <c r="A313" s="6" t="s">
        <v>853</v>
      </c>
      <c r="B313" s="7">
        <v>45227.462500000001</v>
      </c>
      <c r="C313" s="6">
        <v>20</v>
      </c>
      <c r="D313" s="6" t="s">
        <v>792</v>
      </c>
      <c r="E313" s="8" t="str">
        <f>IFERROR(VLOOKUP(LOG_RESEAU[[#This Row],[Cell_ID]],Registre_Maintenance!A:B,2,FALSE),"Non trouvé")</f>
        <v>Non trouvé</v>
      </c>
      <c r="F313" s="8" t="str">
        <f>IFERROR(VLOOKUP(LOG_RESEAU[[#This Row],[Cell_ID]],Registre_Maintenance!A:C,3,FALSE),"Non trouvé")</f>
        <v>Non trouvé</v>
      </c>
      <c r="G313" s="8" t="str">
        <f>IFERROR(VLOOKUP(LOG_RESEAU[[#This Row],[Cell_ID]],Registre_Maintenance!A:D,4,FALSE),"Non trouvé")</f>
        <v>Non trouvé</v>
      </c>
      <c r="H313" s="6" t="str">
        <f>IFERROR(VLOOKUP(LOG_RESEAU[[#This Row],[Cell_ID]],Registre_Maintenance!A:E,5,FALSE),"Non trouvé")</f>
        <v>Non trouvé</v>
      </c>
      <c r="I313" s="6" t="str">
        <f>IFERROR(VLOOKUP(LOG_RESEAU[[#This Row],[Cell_ID]],Registre_Maintenance!A:F,6,FALSE),"Non trouvé")</f>
        <v>Non trouvé</v>
      </c>
      <c r="J313" s="6" t="str">
        <f t="shared" si="12"/>
        <v>Antenne inconnue</v>
      </c>
      <c r="K313" s="6">
        <f t="shared" si="13"/>
        <v>8</v>
      </c>
      <c r="L313" s="6">
        <f t="shared" si="14"/>
        <v>449</v>
      </c>
    </row>
    <row r="314" spans="1:12" ht="15.75" x14ac:dyDescent="0.25">
      <c r="A314" s="6" t="s">
        <v>853</v>
      </c>
      <c r="B314" s="7">
        <v>45221.505555555559</v>
      </c>
      <c r="C314" s="6">
        <v>12</v>
      </c>
      <c r="D314" s="6" t="s">
        <v>792</v>
      </c>
      <c r="E314" s="8" t="str">
        <f>IFERROR(VLOOKUP(LOG_RESEAU[[#This Row],[Cell_ID]],Registre_Maintenance!A:B,2,FALSE),"Non trouvé")</f>
        <v>Non trouvé</v>
      </c>
      <c r="F314" s="8" t="str">
        <f>IFERROR(VLOOKUP(LOG_RESEAU[[#This Row],[Cell_ID]],Registre_Maintenance!A:C,3,FALSE),"Non trouvé")</f>
        <v>Non trouvé</v>
      </c>
      <c r="G314" s="8" t="str">
        <f>IFERROR(VLOOKUP(LOG_RESEAU[[#This Row],[Cell_ID]],Registre_Maintenance!A:D,4,FALSE),"Non trouvé")</f>
        <v>Non trouvé</v>
      </c>
      <c r="H314" s="6" t="str">
        <f>IFERROR(VLOOKUP(LOG_RESEAU[[#This Row],[Cell_ID]],Registre_Maintenance!A:E,5,FALSE),"Non trouvé")</f>
        <v>Non trouvé</v>
      </c>
      <c r="I314" s="6" t="str">
        <f>IFERROR(VLOOKUP(LOG_RESEAU[[#This Row],[Cell_ID]],Registre_Maintenance!A:F,6,FALSE),"Non trouvé")</f>
        <v>Non trouvé</v>
      </c>
      <c r="J314" s="6" t="str">
        <f t="shared" si="12"/>
        <v>Antenne inconnue</v>
      </c>
      <c r="K314" s="6">
        <f t="shared" si="13"/>
        <v>8</v>
      </c>
      <c r="L314" s="6">
        <f t="shared" si="14"/>
        <v>449</v>
      </c>
    </row>
    <row r="315" spans="1:12" ht="15.75" x14ac:dyDescent="0.25">
      <c r="A315" s="6" t="s">
        <v>853</v>
      </c>
      <c r="B315" s="7">
        <v>45221.96597222222</v>
      </c>
      <c r="C315" s="6">
        <v>84</v>
      </c>
      <c r="D315" s="6" t="s">
        <v>792</v>
      </c>
      <c r="E315" s="8" t="str">
        <f>IFERROR(VLOOKUP(LOG_RESEAU[[#This Row],[Cell_ID]],Registre_Maintenance!A:B,2,FALSE),"Non trouvé")</f>
        <v>Non trouvé</v>
      </c>
      <c r="F315" s="8" t="str">
        <f>IFERROR(VLOOKUP(LOG_RESEAU[[#This Row],[Cell_ID]],Registre_Maintenance!A:C,3,FALSE),"Non trouvé")</f>
        <v>Non trouvé</v>
      </c>
      <c r="G315" s="8" t="str">
        <f>IFERROR(VLOOKUP(LOG_RESEAU[[#This Row],[Cell_ID]],Registre_Maintenance!A:D,4,FALSE),"Non trouvé")</f>
        <v>Non trouvé</v>
      </c>
      <c r="H315" s="6" t="str">
        <f>IFERROR(VLOOKUP(LOG_RESEAU[[#This Row],[Cell_ID]],Registre_Maintenance!A:E,5,FALSE),"Non trouvé")</f>
        <v>Non trouvé</v>
      </c>
      <c r="I315" s="6" t="str">
        <f>IFERROR(VLOOKUP(LOG_RESEAU[[#This Row],[Cell_ID]],Registre_Maintenance!A:F,6,FALSE),"Non trouvé")</f>
        <v>Non trouvé</v>
      </c>
      <c r="J315" s="6" t="str">
        <f t="shared" si="12"/>
        <v>Antenne inconnue</v>
      </c>
      <c r="K315" s="6">
        <f t="shared" si="13"/>
        <v>8</v>
      </c>
      <c r="L315" s="6">
        <f t="shared" si="14"/>
        <v>449</v>
      </c>
    </row>
    <row r="316" spans="1:12" ht="15.75" x14ac:dyDescent="0.25">
      <c r="A316" s="6" t="s">
        <v>860</v>
      </c>
      <c r="B316" s="7">
        <v>45204.195833333331</v>
      </c>
      <c r="C316" s="6">
        <v>23</v>
      </c>
      <c r="D316" s="6" t="s">
        <v>792</v>
      </c>
      <c r="E316" s="8" t="str">
        <f>IFERROR(VLOOKUP(LOG_RESEAU[[#This Row],[Cell_ID]],Registre_Maintenance!A:B,2,FALSE),"Non trouvé")</f>
        <v>Non trouvé</v>
      </c>
      <c r="F316" s="8" t="str">
        <f>IFERROR(VLOOKUP(LOG_RESEAU[[#This Row],[Cell_ID]],Registre_Maintenance!A:C,3,FALSE),"Non trouvé")</f>
        <v>Non trouvé</v>
      </c>
      <c r="G316" s="8" t="str">
        <f>IFERROR(VLOOKUP(LOG_RESEAU[[#This Row],[Cell_ID]],Registre_Maintenance!A:D,4,FALSE),"Non trouvé")</f>
        <v>Non trouvé</v>
      </c>
      <c r="H316" s="6" t="str">
        <f>IFERROR(VLOOKUP(LOG_RESEAU[[#This Row],[Cell_ID]],Registre_Maintenance!A:E,5,FALSE),"Non trouvé")</f>
        <v>Non trouvé</v>
      </c>
      <c r="I316" s="6" t="str">
        <f>IFERROR(VLOOKUP(LOG_RESEAU[[#This Row],[Cell_ID]],Registre_Maintenance!A:F,6,FALSE),"Non trouvé")</f>
        <v>Non trouvé</v>
      </c>
      <c r="J316" s="6" t="str">
        <f t="shared" si="12"/>
        <v>Antenne inconnue</v>
      </c>
      <c r="K316" s="6">
        <f t="shared" si="13"/>
        <v>9</v>
      </c>
      <c r="L316" s="6">
        <f t="shared" si="14"/>
        <v>631</v>
      </c>
    </row>
    <row r="317" spans="1:12" ht="15.75" x14ac:dyDescent="0.25">
      <c r="A317" s="6" t="s">
        <v>860</v>
      </c>
      <c r="B317" s="7">
        <v>45226.739583333343</v>
      </c>
      <c r="C317" s="6">
        <v>75</v>
      </c>
      <c r="D317" s="6" t="s">
        <v>794</v>
      </c>
      <c r="E317" s="8" t="str">
        <f>IFERROR(VLOOKUP(LOG_RESEAU[[#This Row],[Cell_ID]],Registre_Maintenance!A:B,2,FALSE),"Non trouvé")</f>
        <v>Non trouvé</v>
      </c>
      <c r="F317" s="8" t="str">
        <f>IFERROR(VLOOKUP(LOG_RESEAU[[#This Row],[Cell_ID]],Registre_Maintenance!A:C,3,FALSE),"Non trouvé")</f>
        <v>Non trouvé</v>
      </c>
      <c r="G317" s="8" t="str">
        <f>IFERROR(VLOOKUP(LOG_RESEAU[[#This Row],[Cell_ID]],Registre_Maintenance!A:D,4,FALSE),"Non trouvé")</f>
        <v>Non trouvé</v>
      </c>
      <c r="H317" s="6" t="str">
        <f>IFERROR(VLOOKUP(LOG_RESEAU[[#This Row],[Cell_ID]],Registre_Maintenance!A:E,5,FALSE),"Non trouvé")</f>
        <v>Non trouvé</v>
      </c>
      <c r="I317" s="6" t="str">
        <f>IFERROR(VLOOKUP(LOG_RESEAU[[#This Row],[Cell_ID]],Registre_Maintenance!A:F,6,FALSE),"Non trouvé")</f>
        <v>Non trouvé</v>
      </c>
      <c r="J317" s="6" t="str">
        <f t="shared" si="12"/>
        <v>Antenne inconnue</v>
      </c>
      <c r="K317" s="6">
        <f t="shared" si="13"/>
        <v>9</v>
      </c>
      <c r="L317" s="6">
        <f t="shared" si="14"/>
        <v>631</v>
      </c>
    </row>
    <row r="318" spans="1:12" ht="15.75" x14ac:dyDescent="0.25">
      <c r="A318" s="6" t="s">
        <v>860</v>
      </c>
      <c r="B318" s="7">
        <v>45215.3</v>
      </c>
      <c r="C318" s="6">
        <v>97</v>
      </c>
      <c r="D318" s="6" t="s">
        <v>794</v>
      </c>
      <c r="E318" s="8" t="str">
        <f>IFERROR(VLOOKUP(LOG_RESEAU[[#This Row],[Cell_ID]],Registre_Maintenance!A:B,2,FALSE),"Non trouvé")</f>
        <v>Non trouvé</v>
      </c>
      <c r="F318" s="8" t="str">
        <f>IFERROR(VLOOKUP(LOG_RESEAU[[#This Row],[Cell_ID]],Registre_Maintenance!A:C,3,FALSE),"Non trouvé")</f>
        <v>Non trouvé</v>
      </c>
      <c r="G318" s="8" t="str">
        <f>IFERROR(VLOOKUP(LOG_RESEAU[[#This Row],[Cell_ID]],Registre_Maintenance!A:D,4,FALSE),"Non trouvé")</f>
        <v>Non trouvé</v>
      </c>
      <c r="H318" s="6" t="str">
        <f>IFERROR(VLOOKUP(LOG_RESEAU[[#This Row],[Cell_ID]],Registre_Maintenance!A:E,5,FALSE),"Non trouvé")</f>
        <v>Non trouvé</v>
      </c>
      <c r="I318" s="6" t="str">
        <f>IFERROR(VLOOKUP(LOG_RESEAU[[#This Row],[Cell_ID]],Registre_Maintenance!A:F,6,FALSE),"Non trouvé")</f>
        <v>Non trouvé</v>
      </c>
      <c r="J318" s="6" t="str">
        <f t="shared" si="12"/>
        <v>Antenne inconnue</v>
      </c>
      <c r="K318" s="6">
        <f t="shared" si="13"/>
        <v>9</v>
      </c>
      <c r="L318" s="6">
        <f t="shared" si="14"/>
        <v>631</v>
      </c>
    </row>
    <row r="319" spans="1:12" ht="15.75" x14ac:dyDescent="0.25">
      <c r="A319" s="6" t="s">
        <v>860</v>
      </c>
      <c r="B319" s="7">
        <v>45206.947222222218</v>
      </c>
      <c r="C319" s="6">
        <v>86</v>
      </c>
      <c r="D319" s="6" t="s">
        <v>792</v>
      </c>
      <c r="E319" s="8" t="str">
        <f>IFERROR(VLOOKUP(LOG_RESEAU[[#This Row],[Cell_ID]],Registre_Maintenance!A:B,2,FALSE),"Non trouvé")</f>
        <v>Non trouvé</v>
      </c>
      <c r="F319" s="8" t="str">
        <f>IFERROR(VLOOKUP(LOG_RESEAU[[#This Row],[Cell_ID]],Registre_Maintenance!A:C,3,FALSE),"Non trouvé")</f>
        <v>Non trouvé</v>
      </c>
      <c r="G319" s="8" t="str">
        <f>IFERROR(VLOOKUP(LOG_RESEAU[[#This Row],[Cell_ID]],Registre_Maintenance!A:D,4,FALSE),"Non trouvé")</f>
        <v>Non trouvé</v>
      </c>
      <c r="H319" s="6" t="str">
        <f>IFERROR(VLOOKUP(LOG_RESEAU[[#This Row],[Cell_ID]],Registre_Maintenance!A:E,5,FALSE),"Non trouvé")</f>
        <v>Non trouvé</v>
      </c>
      <c r="I319" s="6" t="str">
        <f>IFERROR(VLOOKUP(LOG_RESEAU[[#This Row],[Cell_ID]],Registre_Maintenance!A:F,6,FALSE),"Non trouvé")</f>
        <v>Non trouvé</v>
      </c>
      <c r="J319" s="6" t="str">
        <f t="shared" si="12"/>
        <v>Antenne inconnue</v>
      </c>
      <c r="K319" s="6">
        <f t="shared" si="13"/>
        <v>9</v>
      </c>
      <c r="L319" s="6">
        <f t="shared" si="14"/>
        <v>631</v>
      </c>
    </row>
    <row r="320" spans="1:12" ht="15.75" x14ac:dyDescent="0.25">
      <c r="A320" s="6" t="s">
        <v>860</v>
      </c>
      <c r="B320" s="7">
        <v>45229.742361111108</v>
      </c>
      <c r="C320" s="6">
        <v>62</v>
      </c>
      <c r="D320" s="6" t="s">
        <v>792</v>
      </c>
      <c r="E320" s="8" t="str">
        <f>IFERROR(VLOOKUP(LOG_RESEAU[[#This Row],[Cell_ID]],Registre_Maintenance!A:B,2,FALSE),"Non trouvé")</f>
        <v>Non trouvé</v>
      </c>
      <c r="F320" s="8" t="str">
        <f>IFERROR(VLOOKUP(LOG_RESEAU[[#This Row],[Cell_ID]],Registre_Maintenance!A:C,3,FALSE),"Non trouvé")</f>
        <v>Non trouvé</v>
      </c>
      <c r="G320" s="8" t="str">
        <f>IFERROR(VLOOKUP(LOG_RESEAU[[#This Row],[Cell_ID]],Registre_Maintenance!A:D,4,FALSE),"Non trouvé")</f>
        <v>Non trouvé</v>
      </c>
      <c r="H320" s="6" t="str">
        <f>IFERROR(VLOOKUP(LOG_RESEAU[[#This Row],[Cell_ID]],Registre_Maintenance!A:E,5,FALSE),"Non trouvé")</f>
        <v>Non trouvé</v>
      </c>
      <c r="I320" s="6" t="str">
        <f>IFERROR(VLOOKUP(LOG_RESEAU[[#This Row],[Cell_ID]],Registre_Maintenance!A:F,6,FALSE),"Non trouvé")</f>
        <v>Non trouvé</v>
      </c>
      <c r="J320" s="6" t="str">
        <f t="shared" si="12"/>
        <v>Antenne inconnue</v>
      </c>
      <c r="K320" s="6">
        <f t="shared" si="13"/>
        <v>9</v>
      </c>
      <c r="L320" s="6">
        <f t="shared" si="14"/>
        <v>631</v>
      </c>
    </row>
    <row r="321" spans="1:12" ht="15.75" x14ac:dyDescent="0.25">
      <c r="A321" s="6" t="s">
        <v>860</v>
      </c>
      <c r="B321" s="7">
        <v>45208.443749999999</v>
      </c>
      <c r="C321" s="6">
        <v>79</v>
      </c>
      <c r="D321" s="6" t="s">
        <v>794</v>
      </c>
      <c r="E321" s="8" t="str">
        <f>IFERROR(VLOOKUP(LOG_RESEAU[[#This Row],[Cell_ID]],Registre_Maintenance!A:B,2,FALSE),"Non trouvé")</f>
        <v>Non trouvé</v>
      </c>
      <c r="F321" s="8" t="str">
        <f>IFERROR(VLOOKUP(LOG_RESEAU[[#This Row],[Cell_ID]],Registre_Maintenance!A:C,3,FALSE),"Non trouvé")</f>
        <v>Non trouvé</v>
      </c>
      <c r="G321" s="8" t="str">
        <f>IFERROR(VLOOKUP(LOG_RESEAU[[#This Row],[Cell_ID]],Registre_Maintenance!A:D,4,FALSE),"Non trouvé")</f>
        <v>Non trouvé</v>
      </c>
      <c r="H321" s="6" t="str">
        <f>IFERROR(VLOOKUP(LOG_RESEAU[[#This Row],[Cell_ID]],Registre_Maintenance!A:E,5,FALSE),"Non trouvé")</f>
        <v>Non trouvé</v>
      </c>
      <c r="I321" s="6" t="str">
        <f>IFERROR(VLOOKUP(LOG_RESEAU[[#This Row],[Cell_ID]],Registre_Maintenance!A:F,6,FALSE),"Non trouvé")</f>
        <v>Non trouvé</v>
      </c>
      <c r="J321" s="6" t="str">
        <f t="shared" si="12"/>
        <v>Antenne inconnue</v>
      </c>
      <c r="K321" s="6">
        <f t="shared" si="13"/>
        <v>9</v>
      </c>
      <c r="L321" s="6">
        <f t="shared" si="14"/>
        <v>631</v>
      </c>
    </row>
    <row r="322" spans="1:12" ht="15.75" x14ac:dyDescent="0.25">
      <c r="A322" s="6" t="s">
        <v>860</v>
      </c>
      <c r="B322" s="7">
        <v>45230.089583333327</v>
      </c>
      <c r="C322" s="6">
        <v>97</v>
      </c>
      <c r="D322" s="6" t="s">
        <v>800</v>
      </c>
      <c r="E322" s="8" t="str">
        <f>IFERROR(VLOOKUP(LOG_RESEAU[[#This Row],[Cell_ID]],Registre_Maintenance!A:B,2,FALSE),"Non trouvé")</f>
        <v>Non trouvé</v>
      </c>
      <c r="F322" s="8" t="str">
        <f>IFERROR(VLOOKUP(LOG_RESEAU[[#This Row],[Cell_ID]],Registre_Maintenance!A:C,3,FALSE),"Non trouvé")</f>
        <v>Non trouvé</v>
      </c>
      <c r="G322" s="8" t="str">
        <f>IFERROR(VLOOKUP(LOG_RESEAU[[#This Row],[Cell_ID]],Registre_Maintenance!A:D,4,FALSE),"Non trouvé")</f>
        <v>Non trouvé</v>
      </c>
      <c r="H322" s="6" t="str">
        <f>IFERROR(VLOOKUP(LOG_RESEAU[[#This Row],[Cell_ID]],Registre_Maintenance!A:E,5,FALSE),"Non trouvé")</f>
        <v>Non trouvé</v>
      </c>
      <c r="I322" s="6" t="str">
        <f>IFERROR(VLOOKUP(LOG_RESEAU[[#This Row],[Cell_ID]],Registre_Maintenance!A:F,6,FALSE),"Non trouvé")</f>
        <v>Non trouvé</v>
      </c>
      <c r="J322" s="6" t="str">
        <f t="shared" ref="J322:J385" si="15">IF(ISERROR(SEARCH("Non trouvé",F322)),"OK","Antenne inconnue")</f>
        <v>Antenne inconnue</v>
      </c>
      <c r="K322" s="6">
        <f t="shared" ref="K322:K385" si="16">COUNTIF(A:A,A322)</f>
        <v>9</v>
      </c>
      <c r="L322" s="6">
        <f t="shared" ref="L322:L385" si="17">SUMIF(A:A,A322,C:C)</f>
        <v>631</v>
      </c>
    </row>
    <row r="323" spans="1:12" ht="15.75" x14ac:dyDescent="0.25">
      <c r="A323" s="6" t="s">
        <v>860</v>
      </c>
      <c r="B323" s="7">
        <v>45215.977083333331</v>
      </c>
      <c r="C323" s="6">
        <v>47</v>
      </c>
      <c r="D323" s="6" t="s">
        <v>792</v>
      </c>
      <c r="E323" s="8" t="str">
        <f>IFERROR(VLOOKUP(LOG_RESEAU[[#This Row],[Cell_ID]],Registre_Maintenance!A:B,2,FALSE),"Non trouvé")</f>
        <v>Non trouvé</v>
      </c>
      <c r="F323" s="8" t="str">
        <f>IFERROR(VLOOKUP(LOG_RESEAU[[#This Row],[Cell_ID]],Registre_Maintenance!A:C,3,FALSE),"Non trouvé")</f>
        <v>Non trouvé</v>
      </c>
      <c r="G323" s="8" t="str">
        <f>IFERROR(VLOOKUP(LOG_RESEAU[[#This Row],[Cell_ID]],Registre_Maintenance!A:D,4,FALSE),"Non trouvé")</f>
        <v>Non trouvé</v>
      </c>
      <c r="H323" s="6" t="str">
        <f>IFERROR(VLOOKUP(LOG_RESEAU[[#This Row],[Cell_ID]],Registre_Maintenance!A:E,5,FALSE),"Non trouvé")</f>
        <v>Non trouvé</v>
      </c>
      <c r="I323" s="6" t="str">
        <f>IFERROR(VLOOKUP(LOG_RESEAU[[#This Row],[Cell_ID]],Registre_Maintenance!A:F,6,FALSE),"Non trouvé")</f>
        <v>Non trouvé</v>
      </c>
      <c r="J323" s="6" t="str">
        <f t="shared" si="15"/>
        <v>Antenne inconnue</v>
      </c>
      <c r="K323" s="6">
        <f t="shared" si="16"/>
        <v>9</v>
      </c>
      <c r="L323" s="6">
        <f t="shared" si="17"/>
        <v>631</v>
      </c>
    </row>
    <row r="324" spans="1:12" ht="15.75" x14ac:dyDescent="0.25">
      <c r="A324" s="6" t="s">
        <v>860</v>
      </c>
      <c r="B324" s="7">
        <v>45203.958333333343</v>
      </c>
      <c r="C324" s="6">
        <v>65</v>
      </c>
      <c r="D324" s="6" t="s">
        <v>792</v>
      </c>
      <c r="E324" s="8" t="str">
        <f>IFERROR(VLOOKUP(LOG_RESEAU[[#This Row],[Cell_ID]],Registre_Maintenance!A:B,2,FALSE),"Non trouvé")</f>
        <v>Non trouvé</v>
      </c>
      <c r="F324" s="8" t="str">
        <f>IFERROR(VLOOKUP(LOG_RESEAU[[#This Row],[Cell_ID]],Registre_Maintenance!A:C,3,FALSE),"Non trouvé")</f>
        <v>Non trouvé</v>
      </c>
      <c r="G324" s="8" t="str">
        <f>IFERROR(VLOOKUP(LOG_RESEAU[[#This Row],[Cell_ID]],Registre_Maintenance!A:D,4,FALSE),"Non trouvé")</f>
        <v>Non trouvé</v>
      </c>
      <c r="H324" s="6" t="str">
        <f>IFERROR(VLOOKUP(LOG_RESEAU[[#This Row],[Cell_ID]],Registre_Maintenance!A:E,5,FALSE),"Non trouvé")</f>
        <v>Non trouvé</v>
      </c>
      <c r="I324" s="6" t="str">
        <f>IFERROR(VLOOKUP(LOG_RESEAU[[#This Row],[Cell_ID]],Registre_Maintenance!A:F,6,FALSE),"Non trouvé")</f>
        <v>Non trouvé</v>
      </c>
      <c r="J324" s="6" t="str">
        <f t="shared" si="15"/>
        <v>Antenne inconnue</v>
      </c>
      <c r="K324" s="6">
        <f t="shared" si="16"/>
        <v>9</v>
      </c>
      <c r="L324" s="6">
        <f t="shared" si="17"/>
        <v>631</v>
      </c>
    </row>
    <row r="325" spans="1:12" ht="15.75" x14ac:dyDescent="0.25">
      <c r="A325" s="6" t="s">
        <v>843</v>
      </c>
      <c r="B325" s="7">
        <v>45202.51666666667</v>
      </c>
      <c r="C325" s="6">
        <v>26</v>
      </c>
      <c r="D325" s="6" t="s">
        <v>792</v>
      </c>
      <c r="E325" s="8" t="str">
        <f>IFERROR(VLOOKUP(LOG_RESEAU[[#This Row],[Cell_ID]],Registre_Maintenance!A:B,2,FALSE),"Non trouvé")</f>
        <v>Non trouvé</v>
      </c>
      <c r="F325" s="8" t="str">
        <f>IFERROR(VLOOKUP(LOG_RESEAU[[#This Row],[Cell_ID]],Registre_Maintenance!A:C,3,FALSE),"Non trouvé")</f>
        <v>Non trouvé</v>
      </c>
      <c r="G325" s="8" t="str">
        <f>IFERROR(VLOOKUP(LOG_RESEAU[[#This Row],[Cell_ID]],Registre_Maintenance!A:D,4,FALSE),"Non trouvé")</f>
        <v>Non trouvé</v>
      </c>
      <c r="H325" s="6" t="str">
        <f>IFERROR(VLOOKUP(LOG_RESEAU[[#This Row],[Cell_ID]],Registre_Maintenance!A:E,5,FALSE),"Non trouvé")</f>
        <v>Non trouvé</v>
      </c>
      <c r="I325" s="6" t="str">
        <f>IFERROR(VLOOKUP(LOG_RESEAU[[#This Row],[Cell_ID]],Registre_Maintenance!A:F,6,FALSE),"Non trouvé")</f>
        <v>Non trouvé</v>
      </c>
      <c r="J325" s="6" t="str">
        <f t="shared" si="15"/>
        <v>Antenne inconnue</v>
      </c>
      <c r="K325" s="6">
        <f t="shared" si="16"/>
        <v>7</v>
      </c>
      <c r="L325" s="6">
        <f t="shared" si="17"/>
        <v>361</v>
      </c>
    </row>
    <row r="326" spans="1:12" ht="15.75" x14ac:dyDescent="0.25">
      <c r="A326" s="6" t="s">
        <v>843</v>
      </c>
      <c r="B326" s="7">
        <v>45224.538194444453</v>
      </c>
      <c r="C326" s="6">
        <v>65</v>
      </c>
      <c r="D326" s="6" t="s">
        <v>792</v>
      </c>
      <c r="E326" s="8" t="str">
        <f>IFERROR(VLOOKUP(LOG_RESEAU[[#This Row],[Cell_ID]],Registre_Maintenance!A:B,2,FALSE),"Non trouvé")</f>
        <v>Non trouvé</v>
      </c>
      <c r="F326" s="8" t="str">
        <f>IFERROR(VLOOKUP(LOG_RESEAU[[#This Row],[Cell_ID]],Registre_Maintenance!A:C,3,FALSE),"Non trouvé")</f>
        <v>Non trouvé</v>
      </c>
      <c r="G326" s="8" t="str">
        <f>IFERROR(VLOOKUP(LOG_RESEAU[[#This Row],[Cell_ID]],Registre_Maintenance!A:D,4,FALSE),"Non trouvé")</f>
        <v>Non trouvé</v>
      </c>
      <c r="H326" s="6" t="str">
        <f>IFERROR(VLOOKUP(LOG_RESEAU[[#This Row],[Cell_ID]],Registre_Maintenance!A:E,5,FALSE),"Non trouvé")</f>
        <v>Non trouvé</v>
      </c>
      <c r="I326" s="6" t="str">
        <f>IFERROR(VLOOKUP(LOG_RESEAU[[#This Row],[Cell_ID]],Registre_Maintenance!A:F,6,FALSE),"Non trouvé")</f>
        <v>Non trouvé</v>
      </c>
      <c r="J326" s="6" t="str">
        <f t="shared" si="15"/>
        <v>Antenne inconnue</v>
      </c>
      <c r="K326" s="6">
        <f t="shared" si="16"/>
        <v>7</v>
      </c>
      <c r="L326" s="6">
        <f t="shared" si="17"/>
        <v>361</v>
      </c>
    </row>
    <row r="327" spans="1:12" ht="15.75" x14ac:dyDescent="0.25">
      <c r="A327" s="6" t="s">
        <v>843</v>
      </c>
      <c r="B327" s="7">
        <v>45207.611111111109</v>
      </c>
      <c r="C327" s="6">
        <v>29</v>
      </c>
      <c r="D327" s="6" t="s">
        <v>800</v>
      </c>
      <c r="E327" s="8" t="str">
        <f>IFERROR(VLOOKUP(LOG_RESEAU[[#This Row],[Cell_ID]],Registre_Maintenance!A:B,2,FALSE),"Non trouvé")</f>
        <v>Non trouvé</v>
      </c>
      <c r="F327" s="8" t="str">
        <f>IFERROR(VLOOKUP(LOG_RESEAU[[#This Row],[Cell_ID]],Registre_Maintenance!A:C,3,FALSE),"Non trouvé")</f>
        <v>Non trouvé</v>
      </c>
      <c r="G327" s="8" t="str">
        <f>IFERROR(VLOOKUP(LOG_RESEAU[[#This Row],[Cell_ID]],Registre_Maintenance!A:D,4,FALSE),"Non trouvé")</f>
        <v>Non trouvé</v>
      </c>
      <c r="H327" s="6" t="str">
        <f>IFERROR(VLOOKUP(LOG_RESEAU[[#This Row],[Cell_ID]],Registre_Maintenance!A:E,5,FALSE),"Non trouvé")</f>
        <v>Non trouvé</v>
      </c>
      <c r="I327" s="6" t="str">
        <f>IFERROR(VLOOKUP(LOG_RESEAU[[#This Row],[Cell_ID]],Registre_Maintenance!A:F,6,FALSE),"Non trouvé")</f>
        <v>Non trouvé</v>
      </c>
      <c r="J327" s="6" t="str">
        <f t="shared" si="15"/>
        <v>Antenne inconnue</v>
      </c>
      <c r="K327" s="6">
        <f t="shared" si="16"/>
        <v>7</v>
      </c>
      <c r="L327" s="6">
        <f t="shared" si="17"/>
        <v>361</v>
      </c>
    </row>
    <row r="328" spans="1:12" ht="15.75" x14ac:dyDescent="0.25">
      <c r="A328" s="6" t="s">
        <v>843</v>
      </c>
      <c r="B328" s="7">
        <v>45203.605555555558</v>
      </c>
      <c r="C328" s="6">
        <v>39</v>
      </c>
      <c r="D328" s="6" t="s">
        <v>794</v>
      </c>
      <c r="E328" s="8" t="str">
        <f>IFERROR(VLOOKUP(LOG_RESEAU[[#This Row],[Cell_ID]],Registre_Maintenance!A:B,2,FALSE),"Non trouvé")</f>
        <v>Non trouvé</v>
      </c>
      <c r="F328" s="8" t="str">
        <f>IFERROR(VLOOKUP(LOG_RESEAU[[#This Row],[Cell_ID]],Registre_Maintenance!A:C,3,FALSE),"Non trouvé")</f>
        <v>Non trouvé</v>
      </c>
      <c r="G328" s="8" t="str">
        <f>IFERROR(VLOOKUP(LOG_RESEAU[[#This Row],[Cell_ID]],Registre_Maintenance!A:D,4,FALSE),"Non trouvé")</f>
        <v>Non trouvé</v>
      </c>
      <c r="H328" s="6" t="str">
        <f>IFERROR(VLOOKUP(LOG_RESEAU[[#This Row],[Cell_ID]],Registre_Maintenance!A:E,5,FALSE),"Non trouvé")</f>
        <v>Non trouvé</v>
      </c>
      <c r="I328" s="6" t="str">
        <f>IFERROR(VLOOKUP(LOG_RESEAU[[#This Row],[Cell_ID]],Registre_Maintenance!A:F,6,FALSE),"Non trouvé")</f>
        <v>Non trouvé</v>
      </c>
      <c r="J328" s="6" t="str">
        <f t="shared" si="15"/>
        <v>Antenne inconnue</v>
      </c>
      <c r="K328" s="6">
        <f t="shared" si="16"/>
        <v>7</v>
      </c>
      <c r="L328" s="6">
        <f t="shared" si="17"/>
        <v>361</v>
      </c>
    </row>
    <row r="329" spans="1:12" ht="15.75" x14ac:dyDescent="0.25">
      <c r="A329" s="6" t="s">
        <v>843</v>
      </c>
      <c r="B329" s="7">
        <v>45222.584722222222</v>
      </c>
      <c r="C329" s="6">
        <v>108</v>
      </c>
      <c r="D329" s="6" t="s">
        <v>794</v>
      </c>
      <c r="E329" s="8" t="str">
        <f>IFERROR(VLOOKUP(LOG_RESEAU[[#This Row],[Cell_ID]],Registre_Maintenance!A:B,2,FALSE),"Non trouvé")</f>
        <v>Non trouvé</v>
      </c>
      <c r="F329" s="8" t="str">
        <f>IFERROR(VLOOKUP(LOG_RESEAU[[#This Row],[Cell_ID]],Registre_Maintenance!A:C,3,FALSE),"Non trouvé")</f>
        <v>Non trouvé</v>
      </c>
      <c r="G329" s="8" t="str">
        <f>IFERROR(VLOOKUP(LOG_RESEAU[[#This Row],[Cell_ID]],Registre_Maintenance!A:D,4,FALSE),"Non trouvé")</f>
        <v>Non trouvé</v>
      </c>
      <c r="H329" s="6" t="str">
        <f>IFERROR(VLOOKUP(LOG_RESEAU[[#This Row],[Cell_ID]],Registre_Maintenance!A:E,5,FALSE),"Non trouvé")</f>
        <v>Non trouvé</v>
      </c>
      <c r="I329" s="6" t="str">
        <f>IFERROR(VLOOKUP(LOG_RESEAU[[#This Row],[Cell_ID]],Registre_Maintenance!A:F,6,FALSE),"Non trouvé")</f>
        <v>Non trouvé</v>
      </c>
      <c r="J329" s="6" t="str">
        <f t="shared" si="15"/>
        <v>Antenne inconnue</v>
      </c>
      <c r="K329" s="6">
        <f t="shared" si="16"/>
        <v>7</v>
      </c>
      <c r="L329" s="6">
        <f t="shared" si="17"/>
        <v>361</v>
      </c>
    </row>
    <row r="330" spans="1:12" ht="15.75" x14ac:dyDescent="0.25">
      <c r="A330" s="6" t="s">
        <v>843</v>
      </c>
      <c r="B330" s="7">
        <v>45211.147222222222</v>
      </c>
      <c r="C330" s="6">
        <v>89</v>
      </c>
      <c r="D330" s="6" t="s">
        <v>800</v>
      </c>
      <c r="E330" s="8" t="str">
        <f>IFERROR(VLOOKUP(LOG_RESEAU[[#This Row],[Cell_ID]],Registre_Maintenance!A:B,2,FALSE),"Non trouvé")</f>
        <v>Non trouvé</v>
      </c>
      <c r="F330" s="8" t="str">
        <f>IFERROR(VLOOKUP(LOG_RESEAU[[#This Row],[Cell_ID]],Registre_Maintenance!A:C,3,FALSE),"Non trouvé")</f>
        <v>Non trouvé</v>
      </c>
      <c r="G330" s="8" t="str">
        <f>IFERROR(VLOOKUP(LOG_RESEAU[[#This Row],[Cell_ID]],Registre_Maintenance!A:D,4,FALSE),"Non trouvé")</f>
        <v>Non trouvé</v>
      </c>
      <c r="H330" s="6" t="str">
        <f>IFERROR(VLOOKUP(LOG_RESEAU[[#This Row],[Cell_ID]],Registre_Maintenance!A:E,5,FALSE),"Non trouvé")</f>
        <v>Non trouvé</v>
      </c>
      <c r="I330" s="6" t="str">
        <f>IFERROR(VLOOKUP(LOG_RESEAU[[#This Row],[Cell_ID]],Registre_Maintenance!A:F,6,FALSE),"Non trouvé")</f>
        <v>Non trouvé</v>
      </c>
      <c r="J330" s="6" t="str">
        <f t="shared" si="15"/>
        <v>Antenne inconnue</v>
      </c>
      <c r="K330" s="6">
        <f t="shared" si="16"/>
        <v>7</v>
      </c>
      <c r="L330" s="6">
        <f t="shared" si="17"/>
        <v>361</v>
      </c>
    </row>
    <row r="331" spans="1:12" ht="15.75" x14ac:dyDescent="0.25">
      <c r="A331" s="6" t="s">
        <v>843</v>
      </c>
      <c r="B331" s="7">
        <v>45209.174305555563</v>
      </c>
      <c r="C331" s="6">
        <v>5</v>
      </c>
      <c r="D331" s="6" t="s">
        <v>794</v>
      </c>
      <c r="E331" s="8" t="str">
        <f>IFERROR(VLOOKUP(LOG_RESEAU[[#This Row],[Cell_ID]],Registre_Maintenance!A:B,2,FALSE),"Non trouvé")</f>
        <v>Non trouvé</v>
      </c>
      <c r="F331" s="8" t="str">
        <f>IFERROR(VLOOKUP(LOG_RESEAU[[#This Row],[Cell_ID]],Registre_Maintenance!A:C,3,FALSE),"Non trouvé")</f>
        <v>Non trouvé</v>
      </c>
      <c r="G331" s="8" t="str">
        <f>IFERROR(VLOOKUP(LOG_RESEAU[[#This Row],[Cell_ID]],Registre_Maintenance!A:D,4,FALSE),"Non trouvé")</f>
        <v>Non trouvé</v>
      </c>
      <c r="H331" s="6" t="str">
        <f>IFERROR(VLOOKUP(LOG_RESEAU[[#This Row],[Cell_ID]],Registre_Maintenance!A:E,5,FALSE),"Non trouvé")</f>
        <v>Non trouvé</v>
      </c>
      <c r="I331" s="6" t="str">
        <f>IFERROR(VLOOKUP(LOG_RESEAU[[#This Row],[Cell_ID]],Registre_Maintenance!A:F,6,FALSE),"Non trouvé")</f>
        <v>Non trouvé</v>
      </c>
      <c r="J331" s="6" t="str">
        <f t="shared" si="15"/>
        <v>Antenne inconnue</v>
      </c>
      <c r="K331" s="6">
        <f t="shared" si="16"/>
        <v>7</v>
      </c>
      <c r="L331" s="6">
        <f t="shared" si="17"/>
        <v>361</v>
      </c>
    </row>
    <row r="332" spans="1:12" ht="15.75" x14ac:dyDescent="0.25">
      <c r="A332" s="6" t="s">
        <v>961</v>
      </c>
      <c r="B332" s="7">
        <v>45211.105555555558</v>
      </c>
      <c r="C332" s="6">
        <v>52</v>
      </c>
      <c r="D332" s="6" t="s">
        <v>792</v>
      </c>
      <c r="E332" s="8" t="str">
        <f>IFERROR(VLOOKUP(LOG_RESEAU[[#This Row],[Cell_ID]],Registre_Maintenance!A:B,2,FALSE),"Non trouvé")</f>
        <v>Tshopo</v>
      </c>
      <c r="F332" s="8">
        <f>IFERROR(VLOOKUP(LOG_RESEAU[[#This Row],[Cell_ID]],Registre_Maintenance!A:C,3,FALSE),"Non trouvé")</f>
        <v>1.499457</v>
      </c>
      <c r="G332" s="8">
        <f>IFERROR(VLOOKUP(LOG_RESEAU[[#This Row],[Cell_ID]],Registre_Maintenance!A:D,4,FALSE),"Non trouvé")</f>
        <v>13.876317999999999</v>
      </c>
      <c r="H332" s="6" t="str">
        <f>IFERROR(VLOOKUP(LOG_RESEAU[[#This Row],[Cell_ID]],Registre_Maintenance!A:E,5,FALSE),"Non trouvé")</f>
        <v>5G</v>
      </c>
      <c r="I332" s="6" t="str">
        <f>IFERROR(VLOOKUP(LOG_RESEAU[[#This Row],[Cell_ID]],Registre_Maintenance!A:F,6,FALSE),"Non trouvé")</f>
        <v>Nokia</v>
      </c>
      <c r="J332" s="6" t="str">
        <f t="shared" si="15"/>
        <v>OK</v>
      </c>
      <c r="K332" s="6">
        <f t="shared" si="16"/>
        <v>3</v>
      </c>
      <c r="L332" s="6">
        <f t="shared" si="17"/>
        <v>149</v>
      </c>
    </row>
    <row r="333" spans="1:12" ht="15.75" x14ac:dyDescent="0.25">
      <c r="A333" s="6" t="s">
        <v>961</v>
      </c>
      <c r="B333" s="7">
        <v>45229.756249999999</v>
      </c>
      <c r="C333" s="6">
        <v>19</v>
      </c>
      <c r="D333" s="6" t="s">
        <v>800</v>
      </c>
      <c r="E333" s="8" t="str">
        <f>IFERROR(VLOOKUP(LOG_RESEAU[[#This Row],[Cell_ID]],Registre_Maintenance!A:B,2,FALSE),"Non trouvé")</f>
        <v>Tshopo</v>
      </c>
      <c r="F333" s="8">
        <f>IFERROR(VLOOKUP(LOG_RESEAU[[#This Row],[Cell_ID]],Registre_Maintenance!A:C,3,FALSE),"Non trouvé")</f>
        <v>1.499457</v>
      </c>
      <c r="G333" s="8">
        <f>IFERROR(VLOOKUP(LOG_RESEAU[[#This Row],[Cell_ID]],Registre_Maintenance!A:D,4,FALSE),"Non trouvé")</f>
        <v>13.876317999999999</v>
      </c>
      <c r="H333" s="6" t="str">
        <f>IFERROR(VLOOKUP(LOG_RESEAU[[#This Row],[Cell_ID]],Registre_Maintenance!A:E,5,FALSE),"Non trouvé")</f>
        <v>5G</v>
      </c>
      <c r="I333" s="6" t="str">
        <f>IFERROR(VLOOKUP(LOG_RESEAU[[#This Row],[Cell_ID]],Registre_Maintenance!A:F,6,FALSE),"Non trouvé")</f>
        <v>Nokia</v>
      </c>
      <c r="J333" s="6" t="str">
        <f t="shared" si="15"/>
        <v>OK</v>
      </c>
      <c r="K333" s="6">
        <f t="shared" si="16"/>
        <v>3</v>
      </c>
      <c r="L333" s="6">
        <f t="shared" si="17"/>
        <v>149</v>
      </c>
    </row>
    <row r="334" spans="1:12" ht="15.75" x14ac:dyDescent="0.25">
      <c r="A334" s="6" t="s">
        <v>961</v>
      </c>
      <c r="B334" s="7">
        <v>45221.481944444437</v>
      </c>
      <c r="C334" s="6">
        <v>78</v>
      </c>
      <c r="D334" s="6" t="s">
        <v>792</v>
      </c>
      <c r="E334" s="8" t="str">
        <f>IFERROR(VLOOKUP(LOG_RESEAU[[#This Row],[Cell_ID]],Registre_Maintenance!A:B,2,FALSE),"Non trouvé")</f>
        <v>Tshopo</v>
      </c>
      <c r="F334" s="8">
        <f>IFERROR(VLOOKUP(LOG_RESEAU[[#This Row],[Cell_ID]],Registre_Maintenance!A:C,3,FALSE),"Non trouvé")</f>
        <v>1.499457</v>
      </c>
      <c r="G334" s="8">
        <f>IFERROR(VLOOKUP(LOG_RESEAU[[#This Row],[Cell_ID]],Registre_Maintenance!A:D,4,FALSE),"Non trouvé")</f>
        <v>13.876317999999999</v>
      </c>
      <c r="H334" s="6" t="str">
        <f>IFERROR(VLOOKUP(LOG_RESEAU[[#This Row],[Cell_ID]],Registre_Maintenance!A:E,5,FALSE),"Non trouvé")</f>
        <v>5G</v>
      </c>
      <c r="I334" s="6" t="str">
        <f>IFERROR(VLOOKUP(LOG_RESEAU[[#This Row],[Cell_ID]],Registre_Maintenance!A:F,6,FALSE),"Non trouvé")</f>
        <v>Nokia</v>
      </c>
      <c r="J334" s="6" t="str">
        <f t="shared" si="15"/>
        <v>OK</v>
      </c>
      <c r="K334" s="6">
        <f t="shared" si="16"/>
        <v>3</v>
      </c>
      <c r="L334" s="6">
        <f t="shared" si="17"/>
        <v>149</v>
      </c>
    </row>
    <row r="335" spans="1:12" ht="15.75" x14ac:dyDescent="0.25">
      <c r="A335" s="6" t="s">
        <v>791</v>
      </c>
      <c r="B335" s="7">
        <v>45220.125694444447</v>
      </c>
      <c r="C335" s="6">
        <v>109</v>
      </c>
      <c r="D335" s="6" t="s">
        <v>792</v>
      </c>
      <c r="E335" s="8" t="str">
        <f>IFERROR(VLOOKUP(LOG_RESEAU[[#This Row],[Cell_ID]],Registre_Maintenance!A:B,2,FALSE),"Non trouvé")</f>
        <v>Kasai-Oriental</v>
      </c>
      <c r="F335" s="8">
        <f>IFERROR(VLOOKUP(LOG_RESEAU[[#This Row],[Cell_ID]],Registre_Maintenance!A:C,3,FALSE),"Non trouvé")</f>
        <v>1.7832440000000001</v>
      </c>
      <c r="G335" s="8">
        <f>IFERROR(VLOOKUP(LOG_RESEAU[[#This Row],[Cell_ID]],Registre_Maintenance!A:D,4,FALSE),"Non trouvé")</f>
        <v>25.477405999999998</v>
      </c>
      <c r="H335" s="6" t="str">
        <f>IFERROR(VLOOKUP(LOG_RESEAU[[#This Row],[Cell_ID]],Registre_Maintenance!A:E,5,FALSE),"Non trouvé")</f>
        <v>5G</v>
      </c>
      <c r="I335" s="6" t="str">
        <f>IFERROR(VLOOKUP(LOG_RESEAU[[#This Row],[Cell_ID]],Registre_Maintenance!A:F,6,FALSE),"Non trouvé")</f>
        <v>Huawei</v>
      </c>
      <c r="J335" s="6" t="str">
        <f t="shared" si="15"/>
        <v>OK</v>
      </c>
      <c r="K335" s="6">
        <f t="shared" si="16"/>
        <v>4</v>
      </c>
      <c r="L335" s="6">
        <f t="shared" si="17"/>
        <v>272</v>
      </c>
    </row>
    <row r="336" spans="1:12" ht="15.75" x14ac:dyDescent="0.25">
      <c r="A336" s="6" t="s">
        <v>791</v>
      </c>
      <c r="B336" s="7">
        <v>45209.82708333333</v>
      </c>
      <c r="C336" s="6">
        <v>74</v>
      </c>
      <c r="D336" s="6" t="s">
        <v>792</v>
      </c>
      <c r="E336" s="8" t="str">
        <f>IFERROR(VLOOKUP(LOG_RESEAU[[#This Row],[Cell_ID]],Registre_Maintenance!A:B,2,FALSE),"Non trouvé")</f>
        <v>Kasai-Oriental</v>
      </c>
      <c r="F336" s="8">
        <f>IFERROR(VLOOKUP(LOG_RESEAU[[#This Row],[Cell_ID]],Registre_Maintenance!A:C,3,FALSE),"Non trouvé")</f>
        <v>1.7832440000000001</v>
      </c>
      <c r="G336" s="8">
        <f>IFERROR(VLOOKUP(LOG_RESEAU[[#This Row],[Cell_ID]],Registre_Maintenance!A:D,4,FALSE),"Non trouvé")</f>
        <v>25.477405999999998</v>
      </c>
      <c r="H336" s="6" t="str">
        <f>IFERROR(VLOOKUP(LOG_RESEAU[[#This Row],[Cell_ID]],Registre_Maintenance!A:E,5,FALSE),"Non trouvé")</f>
        <v>5G</v>
      </c>
      <c r="I336" s="6" t="str">
        <f>IFERROR(VLOOKUP(LOG_RESEAU[[#This Row],[Cell_ID]],Registre_Maintenance!A:F,6,FALSE),"Non trouvé")</f>
        <v>Huawei</v>
      </c>
      <c r="J336" s="6" t="str">
        <f t="shared" si="15"/>
        <v>OK</v>
      </c>
      <c r="K336" s="6">
        <f t="shared" si="16"/>
        <v>4</v>
      </c>
      <c r="L336" s="6">
        <f t="shared" si="17"/>
        <v>272</v>
      </c>
    </row>
    <row r="337" spans="1:12" ht="15.75" x14ac:dyDescent="0.25">
      <c r="A337" s="6" t="s">
        <v>791</v>
      </c>
      <c r="B337" s="7">
        <v>45225.939583333333</v>
      </c>
      <c r="C337" s="6">
        <v>83</v>
      </c>
      <c r="D337" s="6" t="s">
        <v>794</v>
      </c>
      <c r="E337" s="8" t="str">
        <f>IFERROR(VLOOKUP(LOG_RESEAU[[#This Row],[Cell_ID]],Registre_Maintenance!A:B,2,FALSE),"Non trouvé")</f>
        <v>Kasai-Oriental</v>
      </c>
      <c r="F337" s="8">
        <f>IFERROR(VLOOKUP(LOG_RESEAU[[#This Row],[Cell_ID]],Registre_Maintenance!A:C,3,FALSE),"Non trouvé")</f>
        <v>1.7832440000000001</v>
      </c>
      <c r="G337" s="8">
        <f>IFERROR(VLOOKUP(LOG_RESEAU[[#This Row],[Cell_ID]],Registre_Maintenance!A:D,4,FALSE),"Non trouvé")</f>
        <v>25.477405999999998</v>
      </c>
      <c r="H337" s="6" t="str">
        <f>IFERROR(VLOOKUP(LOG_RESEAU[[#This Row],[Cell_ID]],Registre_Maintenance!A:E,5,FALSE),"Non trouvé")</f>
        <v>5G</v>
      </c>
      <c r="I337" s="6" t="str">
        <f>IFERROR(VLOOKUP(LOG_RESEAU[[#This Row],[Cell_ID]],Registre_Maintenance!A:F,6,FALSE),"Non trouvé")</f>
        <v>Huawei</v>
      </c>
      <c r="J337" s="6" t="str">
        <f t="shared" si="15"/>
        <v>OK</v>
      </c>
      <c r="K337" s="6">
        <f t="shared" si="16"/>
        <v>4</v>
      </c>
      <c r="L337" s="6">
        <f t="shared" si="17"/>
        <v>272</v>
      </c>
    </row>
    <row r="338" spans="1:12" ht="15.75" x14ac:dyDescent="0.25">
      <c r="A338" s="6" t="s">
        <v>791</v>
      </c>
      <c r="B338" s="7">
        <v>45211.063888888893</v>
      </c>
      <c r="C338" s="6">
        <v>6</v>
      </c>
      <c r="D338" s="6" t="s">
        <v>792</v>
      </c>
      <c r="E338" s="8" t="str">
        <f>IFERROR(VLOOKUP(LOG_RESEAU[[#This Row],[Cell_ID]],Registre_Maintenance!A:B,2,FALSE),"Non trouvé")</f>
        <v>Kasai-Oriental</v>
      </c>
      <c r="F338" s="8">
        <f>IFERROR(VLOOKUP(LOG_RESEAU[[#This Row],[Cell_ID]],Registre_Maintenance!A:C,3,FALSE),"Non trouvé")</f>
        <v>1.7832440000000001</v>
      </c>
      <c r="G338" s="8">
        <f>IFERROR(VLOOKUP(LOG_RESEAU[[#This Row],[Cell_ID]],Registre_Maintenance!A:D,4,FALSE),"Non trouvé")</f>
        <v>25.477405999999998</v>
      </c>
      <c r="H338" s="6" t="str">
        <f>IFERROR(VLOOKUP(LOG_RESEAU[[#This Row],[Cell_ID]],Registre_Maintenance!A:E,5,FALSE),"Non trouvé")</f>
        <v>5G</v>
      </c>
      <c r="I338" s="6" t="str">
        <f>IFERROR(VLOOKUP(LOG_RESEAU[[#This Row],[Cell_ID]],Registre_Maintenance!A:F,6,FALSE),"Non trouvé")</f>
        <v>Huawei</v>
      </c>
      <c r="J338" s="6" t="str">
        <f t="shared" si="15"/>
        <v>OK</v>
      </c>
      <c r="K338" s="6">
        <f t="shared" si="16"/>
        <v>4</v>
      </c>
      <c r="L338" s="6">
        <f t="shared" si="17"/>
        <v>272</v>
      </c>
    </row>
    <row r="339" spans="1:12" ht="15.75" x14ac:dyDescent="0.25">
      <c r="A339" s="6" t="s">
        <v>925</v>
      </c>
      <c r="B339" s="7">
        <v>45208.072916666657</v>
      </c>
      <c r="C339" s="6">
        <v>49</v>
      </c>
      <c r="D339" s="6" t="s">
        <v>800</v>
      </c>
      <c r="E339" s="8" t="str">
        <f>IFERROR(VLOOKUP(LOG_RESEAU[[#This Row],[Cell_ID]],Registre_Maintenance!A:B,2,FALSE),"Non trouvé")</f>
        <v>Non trouvé</v>
      </c>
      <c r="F339" s="8" t="str">
        <f>IFERROR(VLOOKUP(LOG_RESEAU[[#This Row],[Cell_ID]],Registre_Maintenance!A:C,3,FALSE),"Non trouvé")</f>
        <v>Non trouvé</v>
      </c>
      <c r="G339" s="8" t="str">
        <f>IFERROR(VLOOKUP(LOG_RESEAU[[#This Row],[Cell_ID]],Registre_Maintenance!A:D,4,FALSE),"Non trouvé")</f>
        <v>Non trouvé</v>
      </c>
      <c r="H339" s="6" t="str">
        <f>IFERROR(VLOOKUP(LOG_RESEAU[[#This Row],[Cell_ID]],Registre_Maintenance!A:E,5,FALSE),"Non trouvé")</f>
        <v>Non trouvé</v>
      </c>
      <c r="I339" s="6" t="str">
        <f>IFERROR(VLOOKUP(LOG_RESEAU[[#This Row],[Cell_ID]],Registre_Maintenance!A:F,6,FALSE),"Non trouvé")</f>
        <v>Non trouvé</v>
      </c>
      <c r="J339" s="6" t="str">
        <f t="shared" si="15"/>
        <v>Antenne inconnue</v>
      </c>
      <c r="K339" s="6">
        <f t="shared" si="16"/>
        <v>3</v>
      </c>
      <c r="L339" s="6">
        <f t="shared" si="17"/>
        <v>92</v>
      </c>
    </row>
    <row r="340" spans="1:12" ht="15.75" x14ac:dyDescent="0.25">
      <c r="A340" s="6" t="s">
        <v>925</v>
      </c>
      <c r="B340" s="7">
        <v>45220.436805555553</v>
      </c>
      <c r="C340" s="6">
        <v>26</v>
      </c>
      <c r="D340" s="6" t="s">
        <v>794</v>
      </c>
      <c r="E340" s="8" t="str">
        <f>IFERROR(VLOOKUP(LOG_RESEAU[[#This Row],[Cell_ID]],Registre_Maintenance!A:B,2,FALSE),"Non trouvé")</f>
        <v>Non trouvé</v>
      </c>
      <c r="F340" s="8" t="str">
        <f>IFERROR(VLOOKUP(LOG_RESEAU[[#This Row],[Cell_ID]],Registre_Maintenance!A:C,3,FALSE),"Non trouvé")</f>
        <v>Non trouvé</v>
      </c>
      <c r="G340" s="8" t="str">
        <f>IFERROR(VLOOKUP(LOG_RESEAU[[#This Row],[Cell_ID]],Registre_Maintenance!A:D,4,FALSE),"Non trouvé")</f>
        <v>Non trouvé</v>
      </c>
      <c r="H340" s="6" t="str">
        <f>IFERROR(VLOOKUP(LOG_RESEAU[[#This Row],[Cell_ID]],Registre_Maintenance!A:E,5,FALSE),"Non trouvé")</f>
        <v>Non trouvé</v>
      </c>
      <c r="I340" s="6" t="str">
        <f>IFERROR(VLOOKUP(LOG_RESEAU[[#This Row],[Cell_ID]],Registre_Maintenance!A:F,6,FALSE),"Non trouvé")</f>
        <v>Non trouvé</v>
      </c>
      <c r="J340" s="6" t="str">
        <f t="shared" si="15"/>
        <v>Antenne inconnue</v>
      </c>
      <c r="K340" s="6">
        <f t="shared" si="16"/>
        <v>3</v>
      </c>
      <c r="L340" s="6">
        <f t="shared" si="17"/>
        <v>92</v>
      </c>
    </row>
    <row r="341" spans="1:12" ht="15.75" x14ac:dyDescent="0.25">
      <c r="A341" s="6" t="s">
        <v>925</v>
      </c>
      <c r="B341" s="7">
        <v>45227.268750000003</v>
      </c>
      <c r="C341" s="6">
        <v>17</v>
      </c>
      <c r="D341" s="6" t="s">
        <v>792</v>
      </c>
      <c r="E341" s="8" t="str">
        <f>IFERROR(VLOOKUP(LOG_RESEAU[[#This Row],[Cell_ID]],Registre_Maintenance!A:B,2,FALSE),"Non trouvé")</f>
        <v>Non trouvé</v>
      </c>
      <c r="F341" s="8" t="str">
        <f>IFERROR(VLOOKUP(LOG_RESEAU[[#This Row],[Cell_ID]],Registre_Maintenance!A:C,3,FALSE),"Non trouvé")</f>
        <v>Non trouvé</v>
      </c>
      <c r="G341" s="8" t="str">
        <f>IFERROR(VLOOKUP(LOG_RESEAU[[#This Row],[Cell_ID]],Registre_Maintenance!A:D,4,FALSE),"Non trouvé")</f>
        <v>Non trouvé</v>
      </c>
      <c r="H341" s="6" t="str">
        <f>IFERROR(VLOOKUP(LOG_RESEAU[[#This Row],[Cell_ID]],Registre_Maintenance!A:E,5,FALSE),"Non trouvé")</f>
        <v>Non trouvé</v>
      </c>
      <c r="I341" s="6" t="str">
        <f>IFERROR(VLOOKUP(LOG_RESEAU[[#This Row],[Cell_ID]],Registre_Maintenance!A:F,6,FALSE),"Non trouvé")</f>
        <v>Non trouvé</v>
      </c>
      <c r="J341" s="6" t="str">
        <f t="shared" si="15"/>
        <v>Antenne inconnue</v>
      </c>
      <c r="K341" s="6">
        <f t="shared" si="16"/>
        <v>3</v>
      </c>
      <c r="L341" s="6">
        <f t="shared" si="17"/>
        <v>92</v>
      </c>
    </row>
    <row r="342" spans="1:12" ht="15.75" x14ac:dyDescent="0.25">
      <c r="A342" s="6" t="s">
        <v>1010</v>
      </c>
      <c r="B342" s="7">
        <v>45220.11041666667</v>
      </c>
      <c r="C342" s="6">
        <v>16</v>
      </c>
      <c r="D342" s="6" t="s">
        <v>800</v>
      </c>
      <c r="E342" s="8" t="str">
        <f>IFERROR(VLOOKUP(LOG_RESEAU[[#This Row],[Cell_ID]],Registre_Maintenance!A:B,2,FALSE),"Non trouvé")</f>
        <v>Non trouvé</v>
      </c>
      <c r="F342" s="8" t="str">
        <f>IFERROR(VLOOKUP(LOG_RESEAU[[#This Row],[Cell_ID]],Registre_Maintenance!A:C,3,FALSE),"Non trouvé")</f>
        <v>Non trouvé</v>
      </c>
      <c r="G342" s="8" t="str">
        <f>IFERROR(VLOOKUP(LOG_RESEAU[[#This Row],[Cell_ID]],Registre_Maintenance!A:D,4,FALSE),"Non trouvé")</f>
        <v>Non trouvé</v>
      </c>
      <c r="H342" s="6" t="str">
        <f>IFERROR(VLOOKUP(LOG_RESEAU[[#This Row],[Cell_ID]],Registre_Maintenance!A:E,5,FALSE),"Non trouvé")</f>
        <v>Non trouvé</v>
      </c>
      <c r="I342" s="6" t="str">
        <f>IFERROR(VLOOKUP(LOG_RESEAU[[#This Row],[Cell_ID]],Registre_Maintenance!A:F,6,FALSE),"Non trouvé")</f>
        <v>Non trouvé</v>
      </c>
      <c r="J342" s="6" t="str">
        <f t="shared" si="15"/>
        <v>Antenne inconnue</v>
      </c>
      <c r="K342" s="6">
        <f t="shared" si="16"/>
        <v>3</v>
      </c>
      <c r="L342" s="6">
        <f t="shared" si="17"/>
        <v>151</v>
      </c>
    </row>
    <row r="343" spans="1:12" ht="15.75" x14ac:dyDescent="0.25">
      <c r="A343" s="6" t="s">
        <v>1010</v>
      </c>
      <c r="B343" s="7">
        <v>45209.684027777781</v>
      </c>
      <c r="C343" s="6">
        <v>55</v>
      </c>
      <c r="D343" s="6" t="s">
        <v>792</v>
      </c>
      <c r="E343" s="8" t="str">
        <f>IFERROR(VLOOKUP(LOG_RESEAU[[#This Row],[Cell_ID]],Registre_Maintenance!A:B,2,FALSE),"Non trouvé")</f>
        <v>Non trouvé</v>
      </c>
      <c r="F343" s="8" t="str">
        <f>IFERROR(VLOOKUP(LOG_RESEAU[[#This Row],[Cell_ID]],Registre_Maintenance!A:C,3,FALSE),"Non trouvé")</f>
        <v>Non trouvé</v>
      </c>
      <c r="G343" s="8" t="str">
        <f>IFERROR(VLOOKUP(LOG_RESEAU[[#This Row],[Cell_ID]],Registre_Maintenance!A:D,4,FALSE),"Non trouvé")</f>
        <v>Non trouvé</v>
      </c>
      <c r="H343" s="6" t="str">
        <f>IFERROR(VLOOKUP(LOG_RESEAU[[#This Row],[Cell_ID]],Registre_Maintenance!A:E,5,FALSE),"Non trouvé")</f>
        <v>Non trouvé</v>
      </c>
      <c r="I343" s="6" t="str">
        <f>IFERROR(VLOOKUP(LOG_RESEAU[[#This Row],[Cell_ID]],Registre_Maintenance!A:F,6,FALSE),"Non trouvé")</f>
        <v>Non trouvé</v>
      </c>
      <c r="J343" s="6" t="str">
        <f t="shared" si="15"/>
        <v>Antenne inconnue</v>
      </c>
      <c r="K343" s="6">
        <f t="shared" si="16"/>
        <v>3</v>
      </c>
      <c r="L343" s="6">
        <f t="shared" si="17"/>
        <v>151</v>
      </c>
    </row>
    <row r="344" spans="1:12" ht="15.75" x14ac:dyDescent="0.25">
      <c r="A344" s="6" t="s">
        <v>1010</v>
      </c>
      <c r="B344" s="7">
        <v>45221.481944444437</v>
      </c>
      <c r="C344" s="6">
        <v>80</v>
      </c>
      <c r="D344" s="6" t="s">
        <v>792</v>
      </c>
      <c r="E344" s="8" t="str">
        <f>IFERROR(VLOOKUP(LOG_RESEAU[[#This Row],[Cell_ID]],Registre_Maintenance!A:B,2,FALSE),"Non trouvé")</f>
        <v>Non trouvé</v>
      </c>
      <c r="F344" s="8" t="str">
        <f>IFERROR(VLOOKUP(LOG_RESEAU[[#This Row],[Cell_ID]],Registre_Maintenance!A:C,3,FALSE),"Non trouvé")</f>
        <v>Non trouvé</v>
      </c>
      <c r="G344" s="8" t="str">
        <f>IFERROR(VLOOKUP(LOG_RESEAU[[#This Row],[Cell_ID]],Registre_Maintenance!A:D,4,FALSE),"Non trouvé")</f>
        <v>Non trouvé</v>
      </c>
      <c r="H344" s="6" t="str">
        <f>IFERROR(VLOOKUP(LOG_RESEAU[[#This Row],[Cell_ID]],Registre_Maintenance!A:E,5,FALSE),"Non trouvé")</f>
        <v>Non trouvé</v>
      </c>
      <c r="I344" s="6" t="str">
        <f>IFERROR(VLOOKUP(LOG_RESEAU[[#This Row],[Cell_ID]],Registre_Maintenance!A:F,6,FALSE),"Non trouvé")</f>
        <v>Non trouvé</v>
      </c>
      <c r="J344" s="6" t="str">
        <f t="shared" si="15"/>
        <v>Antenne inconnue</v>
      </c>
      <c r="K344" s="6">
        <f t="shared" si="16"/>
        <v>3</v>
      </c>
      <c r="L344" s="6">
        <f t="shared" si="17"/>
        <v>151</v>
      </c>
    </row>
    <row r="345" spans="1:12" ht="15.75" x14ac:dyDescent="0.25">
      <c r="A345" s="6" t="s">
        <v>904</v>
      </c>
      <c r="B345" s="7">
        <v>45220.578472222223</v>
      </c>
      <c r="C345" s="6">
        <v>51</v>
      </c>
      <c r="D345" s="6" t="s">
        <v>792</v>
      </c>
      <c r="E345" s="8" t="str">
        <f>IFERROR(VLOOKUP(LOG_RESEAU[[#This Row],[Cell_ID]],Registre_Maintenance!A:B,2,FALSE),"Non trouvé")</f>
        <v>Non trouvé</v>
      </c>
      <c r="F345" s="8" t="str">
        <f>IFERROR(VLOOKUP(LOG_RESEAU[[#This Row],[Cell_ID]],Registre_Maintenance!A:C,3,FALSE),"Non trouvé")</f>
        <v>Non trouvé</v>
      </c>
      <c r="G345" s="8" t="str">
        <f>IFERROR(VLOOKUP(LOG_RESEAU[[#This Row],[Cell_ID]],Registre_Maintenance!A:D,4,FALSE),"Non trouvé")</f>
        <v>Non trouvé</v>
      </c>
      <c r="H345" s="6" t="str">
        <f>IFERROR(VLOOKUP(LOG_RESEAU[[#This Row],[Cell_ID]],Registre_Maintenance!A:E,5,FALSE),"Non trouvé")</f>
        <v>Non trouvé</v>
      </c>
      <c r="I345" s="6" t="str">
        <f>IFERROR(VLOOKUP(LOG_RESEAU[[#This Row],[Cell_ID]],Registre_Maintenance!A:F,6,FALSE),"Non trouvé")</f>
        <v>Non trouvé</v>
      </c>
      <c r="J345" s="6" t="str">
        <f t="shared" si="15"/>
        <v>Antenne inconnue</v>
      </c>
      <c r="K345" s="6">
        <f t="shared" si="16"/>
        <v>8</v>
      </c>
      <c r="L345" s="6">
        <f t="shared" si="17"/>
        <v>640</v>
      </c>
    </row>
    <row r="346" spans="1:12" ht="15.75" x14ac:dyDescent="0.25">
      <c r="A346" s="6" t="s">
        <v>904</v>
      </c>
      <c r="B346" s="7">
        <v>45227.577777777777</v>
      </c>
      <c r="C346" s="6">
        <v>76</v>
      </c>
      <c r="D346" s="6" t="s">
        <v>792</v>
      </c>
      <c r="E346" s="8" t="str">
        <f>IFERROR(VLOOKUP(LOG_RESEAU[[#This Row],[Cell_ID]],Registre_Maintenance!A:B,2,FALSE),"Non trouvé")</f>
        <v>Non trouvé</v>
      </c>
      <c r="F346" s="8" t="str">
        <f>IFERROR(VLOOKUP(LOG_RESEAU[[#This Row],[Cell_ID]],Registre_Maintenance!A:C,3,FALSE),"Non trouvé")</f>
        <v>Non trouvé</v>
      </c>
      <c r="G346" s="8" t="str">
        <f>IFERROR(VLOOKUP(LOG_RESEAU[[#This Row],[Cell_ID]],Registre_Maintenance!A:D,4,FALSE),"Non trouvé")</f>
        <v>Non trouvé</v>
      </c>
      <c r="H346" s="6" t="str">
        <f>IFERROR(VLOOKUP(LOG_RESEAU[[#This Row],[Cell_ID]],Registre_Maintenance!A:E,5,FALSE),"Non trouvé")</f>
        <v>Non trouvé</v>
      </c>
      <c r="I346" s="6" t="str">
        <f>IFERROR(VLOOKUP(LOG_RESEAU[[#This Row],[Cell_ID]],Registre_Maintenance!A:F,6,FALSE),"Non trouvé")</f>
        <v>Non trouvé</v>
      </c>
      <c r="J346" s="6" t="str">
        <f t="shared" si="15"/>
        <v>Antenne inconnue</v>
      </c>
      <c r="K346" s="6">
        <f t="shared" si="16"/>
        <v>8</v>
      </c>
      <c r="L346" s="6">
        <f t="shared" si="17"/>
        <v>640</v>
      </c>
    </row>
    <row r="347" spans="1:12" ht="15.75" x14ac:dyDescent="0.25">
      <c r="A347" s="6" t="s">
        <v>904</v>
      </c>
      <c r="B347" s="7">
        <v>45216.48541666667</v>
      </c>
      <c r="C347" s="6">
        <v>82</v>
      </c>
      <c r="D347" s="6" t="s">
        <v>794</v>
      </c>
      <c r="E347" s="8" t="str">
        <f>IFERROR(VLOOKUP(LOG_RESEAU[[#This Row],[Cell_ID]],Registre_Maintenance!A:B,2,FALSE),"Non trouvé")</f>
        <v>Non trouvé</v>
      </c>
      <c r="F347" s="8" t="str">
        <f>IFERROR(VLOOKUP(LOG_RESEAU[[#This Row],[Cell_ID]],Registre_Maintenance!A:C,3,FALSE),"Non trouvé")</f>
        <v>Non trouvé</v>
      </c>
      <c r="G347" s="8" t="str">
        <f>IFERROR(VLOOKUP(LOG_RESEAU[[#This Row],[Cell_ID]],Registre_Maintenance!A:D,4,FALSE),"Non trouvé")</f>
        <v>Non trouvé</v>
      </c>
      <c r="H347" s="6" t="str">
        <f>IFERROR(VLOOKUP(LOG_RESEAU[[#This Row],[Cell_ID]],Registre_Maintenance!A:E,5,FALSE),"Non trouvé")</f>
        <v>Non trouvé</v>
      </c>
      <c r="I347" s="6" t="str">
        <f>IFERROR(VLOOKUP(LOG_RESEAU[[#This Row],[Cell_ID]],Registre_Maintenance!A:F,6,FALSE),"Non trouvé")</f>
        <v>Non trouvé</v>
      </c>
      <c r="J347" s="6" t="str">
        <f t="shared" si="15"/>
        <v>Antenne inconnue</v>
      </c>
      <c r="K347" s="6">
        <f t="shared" si="16"/>
        <v>8</v>
      </c>
      <c r="L347" s="6">
        <f t="shared" si="17"/>
        <v>640</v>
      </c>
    </row>
    <row r="348" spans="1:12" ht="15.75" x14ac:dyDescent="0.25">
      <c r="A348" s="6" t="s">
        <v>904</v>
      </c>
      <c r="B348" s="7">
        <v>45221.384722222218</v>
      </c>
      <c r="C348" s="6">
        <v>72</v>
      </c>
      <c r="D348" s="6" t="s">
        <v>794</v>
      </c>
      <c r="E348" s="8" t="str">
        <f>IFERROR(VLOOKUP(LOG_RESEAU[[#This Row],[Cell_ID]],Registre_Maintenance!A:B,2,FALSE),"Non trouvé")</f>
        <v>Non trouvé</v>
      </c>
      <c r="F348" s="8" t="str">
        <f>IFERROR(VLOOKUP(LOG_RESEAU[[#This Row],[Cell_ID]],Registre_Maintenance!A:C,3,FALSE),"Non trouvé")</f>
        <v>Non trouvé</v>
      </c>
      <c r="G348" s="8" t="str">
        <f>IFERROR(VLOOKUP(LOG_RESEAU[[#This Row],[Cell_ID]],Registre_Maintenance!A:D,4,FALSE),"Non trouvé")</f>
        <v>Non trouvé</v>
      </c>
      <c r="H348" s="6" t="str">
        <f>IFERROR(VLOOKUP(LOG_RESEAU[[#This Row],[Cell_ID]],Registre_Maintenance!A:E,5,FALSE),"Non trouvé")</f>
        <v>Non trouvé</v>
      </c>
      <c r="I348" s="6" t="str">
        <f>IFERROR(VLOOKUP(LOG_RESEAU[[#This Row],[Cell_ID]],Registre_Maintenance!A:F,6,FALSE),"Non trouvé")</f>
        <v>Non trouvé</v>
      </c>
      <c r="J348" s="6" t="str">
        <f t="shared" si="15"/>
        <v>Antenne inconnue</v>
      </c>
      <c r="K348" s="6">
        <f t="shared" si="16"/>
        <v>8</v>
      </c>
      <c r="L348" s="6">
        <f t="shared" si="17"/>
        <v>640</v>
      </c>
    </row>
    <row r="349" spans="1:12" ht="15.75" x14ac:dyDescent="0.25">
      <c r="A349" s="6" t="s">
        <v>904</v>
      </c>
      <c r="B349" s="7">
        <v>45203.864583333343</v>
      </c>
      <c r="C349" s="6">
        <v>97</v>
      </c>
      <c r="D349" s="6" t="s">
        <v>792</v>
      </c>
      <c r="E349" s="8" t="str">
        <f>IFERROR(VLOOKUP(LOG_RESEAU[[#This Row],[Cell_ID]],Registre_Maintenance!A:B,2,FALSE),"Non trouvé")</f>
        <v>Non trouvé</v>
      </c>
      <c r="F349" s="8" t="str">
        <f>IFERROR(VLOOKUP(LOG_RESEAU[[#This Row],[Cell_ID]],Registre_Maintenance!A:C,3,FALSE),"Non trouvé")</f>
        <v>Non trouvé</v>
      </c>
      <c r="G349" s="8" t="str">
        <f>IFERROR(VLOOKUP(LOG_RESEAU[[#This Row],[Cell_ID]],Registre_Maintenance!A:D,4,FALSE),"Non trouvé")</f>
        <v>Non trouvé</v>
      </c>
      <c r="H349" s="6" t="str">
        <f>IFERROR(VLOOKUP(LOG_RESEAU[[#This Row],[Cell_ID]],Registre_Maintenance!A:E,5,FALSE),"Non trouvé")</f>
        <v>Non trouvé</v>
      </c>
      <c r="I349" s="6" t="str">
        <f>IFERROR(VLOOKUP(LOG_RESEAU[[#This Row],[Cell_ID]],Registre_Maintenance!A:F,6,FALSE),"Non trouvé")</f>
        <v>Non trouvé</v>
      </c>
      <c r="J349" s="6" t="str">
        <f t="shared" si="15"/>
        <v>Antenne inconnue</v>
      </c>
      <c r="K349" s="6">
        <f t="shared" si="16"/>
        <v>8</v>
      </c>
      <c r="L349" s="6">
        <f t="shared" si="17"/>
        <v>640</v>
      </c>
    </row>
    <row r="350" spans="1:12" ht="15.75" x14ac:dyDescent="0.25">
      <c r="A350" s="6" t="s">
        <v>904</v>
      </c>
      <c r="B350" s="7">
        <v>45221.106249999997</v>
      </c>
      <c r="C350" s="6">
        <v>67</v>
      </c>
      <c r="D350" s="6" t="s">
        <v>792</v>
      </c>
      <c r="E350" s="8" t="str">
        <f>IFERROR(VLOOKUP(LOG_RESEAU[[#This Row],[Cell_ID]],Registre_Maintenance!A:B,2,FALSE),"Non trouvé")</f>
        <v>Non trouvé</v>
      </c>
      <c r="F350" s="8" t="str">
        <f>IFERROR(VLOOKUP(LOG_RESEAU[[#This Row],[Cell_ID]],Registre_Maintenance!A:C,3,FALSE),"Non trouvé")</f>
        <v>Non trouvé</v>
      </c>
      <c r="G350" s="8" t="str">
        <f>IFERROR(VLOOKUP(LOG_RESEAU[[#This Row],[Cell_ID]],Registre_Maintenance!A:D,4,FALSE),"Non trouvé")</f>
        <v>Non trouvé</v>
      </c>
      <c r="H350" s="6" t="str">
        <f>IFERROR(VLOOKUP(LOG_RESEAU[[#This Row],[Cell_ID]],Registre_Maintenance!A:E,5,FALSE),"Non trouvé")</f>
        <v>Non trouvé</v>
      </c>
      <c r="I350" s="6" t="str">
        <f>IFERROR(VLOOKUP(LOG_RESEAU[[#This Row],[Cell_ID]],Registre_Maintenance!A:F,6,FALSE),"Non trouvé")</f>
        <v>Non trouvé</v>
      </c>
      <c r="J350" s="6" t="str">
        <f t="shared" si="15"/>
        <v>Antenne inconnue</v>
      </c>
      <c r="K350" s="6">
        <f t="shared" si="16"/>
        <v>8</v>
      </c>
      <c r="L350" s="6">
        <f t="shared" si="17"/>
        <v>640</v>
      </c>
    </row>
    <row r="351" spans="1:12" ht="15.75" x14ac:dyDescent="0.25">
      <c r="A351" s="6" t="s">
        <v>904</v>
      </c>
      <c r="B351" s="7">
        <v>45220.262499999997</v>
      </c>
      <c r="C351" s="6">
        <v>96</v>
      </c>
      <c r="D351" s="6" t="s">
        <v>794</v>
      </c>
      <c r="E351" s="8" t="str">
        <f>IFERROR(VLOOKUP(LOG_RESEAU[[#This Row],[Cell_ID]],Registre_Maintenance!A:B,2,FALSE),"Non trouvé")</f>
        <v>Non trouvé</v>
      </c>
      <c r="F351" s="8" t="str">
        <f>IFERROR(VLOOKUP(LOG_RESEAU[[#This Row],[Cell_ID]],Registre_Maintenance!A:C,3,FALSE),"Non trouvé")</f>
        <v>Non trouvé</v>
      </c>
      <c r="G351" s="8" t="str">
        <f>IFERROR(VLOOKUP(LOG_RESEAU[[#This Row],[Cell_ID]],Registre_Maintenance!A:D,4,FALSE),"Non trouvé")</f>
        <v>Non trouvé</v>
      </c>
      <c r="H351" s="6" t="str">
        <f>IFERROR(VLOOKUP(LOG_RESEAU[[#This Row],[Cell_ID]],Registre_Maintenance!A:E,5,FALSE),"Non trouvé")</f>
        <v>Non trouvé</v>
      </c>
      <c r="I351" s="6" t="str">
        <f>IFERROR(VLOOKUP(LOG_RESEAU[[#This Row],[Cell_ID]],Registre_Maintenance!A:F,6,FALSE),"Non trouvé")</f>
        <v>Non trouvé</v>
      </c>
      <c r="J351" s="6" t="str">
        <f t="shared" si="15"/>
        <v>Antenne inconnue</v>
      </c>
      <c r="K351" s="6">
        <f t="shared" si="16"/>
        <v>8</v>
      </c>
      <c r="L351" s="6">
        <f t="shared" si="17"/>
        <v>640</v>
      </c>
    </row>
    <row r="352" spans="1:12" ht="15.75" x14ac:dyDescent="0.25">
      <c r="A352" s="6" t="s">
        <v>904</v>
      </c>
      <c r="B352" s="7">
        <v>45212.879861111112</v>
      </c>
      <c r="C352" s="6">
        <v>99</v>
      </c>
      <c r="D352" s="6" t="s">
        <v>794</v>
      </c>
      <c r="E352" s="8" t="str">
        <f>IFERROR(VLOOKUP(LOG_RESEAU[[#This Row],[Cell_ID]],Registre_Maintenance!A:B,2,FALSE),"Non trouvé")</f>
        <v>Non trouvé</v>
      </c>
      <c r="F352" s="8" t="str">
        <f>IFERROR(VLOOKUP(LOG_RESEAU[[#This Row],[Cell_ID]],Registre_Maintenance!A:C,3,FALSE),"Non trouvé")</f>
        <v>Non trouvé</v>
      </c>
      <c r="G352" s="8" t="str">
        <f>IFERROR(VLOOKUP(LOG_RESEAU[[#This Row],[Cell_ID]],Registre_Maintenance!A:D,4,FALSE),"Non trouvé")</f>
        <v>Non trouvé</v>
      </c>
      <c r="H352" s="6" t="str">
        <f>IFERROR(VLOOKUP(LOG_RESEAU[[#This Row],[Cell_ID]],Registre_Maintenance!A:E,5,FALSE),"Non trouvé")</f>
        <v>Non trouvé</v>
      </c>
      <c r="I352" s="6" t="str">
        <f>IFERROR(VLOOKUP(LOG_RESEAU[[#This Row],[Cell_ID]],Registre_Maintenance!A:F,6,FALSE),"Non trouvé")</f>
        <v>Non trouvé</v>
      </c>
      <c r="J352" s="6" t="str">
        <f t="shared" si="15"/>
        <v>Antenne inconnue</v>
      </c>
      <c r="K352" s="6">
        <f t="shared" si="16"/>
        <v>8</v>
      </c>
      <c r="L352" s="6">
        <f t="shared" si="17"/>
        <v>640</v>
      </c>
    </row>
    <row r="353" spans="1:12" ht="15.75" x14ac:dyDescent="0.25">
      <c r="A353" s="6" t="s">
        <v>967</v>
      </c>
      <c r="B353" s="7">
        <v>45209.161805555559</v>
      </c>
      <c r="C353" s="6">
        <v>32</v>
      </c>
      <c r="D353" s="6" t="s">
        <v>792</v>
      </c>
      <c r="E353" s="8" t="str">
        <f>IFERROR(VLOOKUP(LOG_RESEAU[[#This Row],[Cell_ID]],Registre_Maintenance!A:B,2,FALSE),"Non trouvé")</f>
        <v>Sankuru</v>
      </c>
      <c r="F353" s="8">
        <f>IFERROR(VLOOKUP(LOG_RESEAU[[#This Row],[Cell_ID]],Registre_Maintenance!A:C,3,FALSE),"Non trouvé")</f>
        <v>-10.764815</v>
      </c>
      <c r="G353" s="8">
        <f>IFERROR(VLOOKUP(LOG_RESEAU[[#This Row],[Cell_ID]],Registre_Maintenance!A:D,4,FALSE),"Non trouvé")</f>
        <v>14.602039</v>
      </c>
      <c r="H353" s="6" t="str">
        <f>IFERROR(VLOOKUP(LOG_RESEAU[[#This Row],[Cell_ID]],Registre_Maintenance!A:E,5,FALSE),"Non trouvé")</f>
        <v>4G</v>
      </c>
      <c r="I353" s="6" t="str">
        <f>IFERROR(VLOOKUP(LOG_RESEAU[[#This Row],[Cell_ID]],Registre_Maintenance!A:F,6,FALSE),"Non trouvé")</f>
        <v>Nokia</v>
      </c>
      <c r="J353" s="6" t="str">
        <f t="shared" si="15"/>
        <v>OK</v>
      </c>
      <c r="K353" s="6">
        <f t="shared" si="16"/>
        <v>4</v>
      </c>
      <c r="L353" s="6">
        <f t="shared" si="17"/>
        <v>177</v>
      </c>
    </row>
    <row r="354" spans="1:12" ht="15.75" x14ac:dyDescent="0.25">
      <c r="A354" s="6" t="s">
        <v>967</v>
      </c>
      <c r="B354" s="7">
        <v>45230.911805555559</v>
      </c>
      <c r="C354" s="6">
        <v>48</v>
      </c>
      <c r="D354" s="6" t="s">
        <v>794</v>
      </c>
      <c r="E354" s="8" t="str">
        <f>IFERROR(VLOOKUP(LOG_RESEAU[[#This Row],[Cell_ID]],Registre_Maintenance!A:B,2,FALSE),"Non trouvé")</f>
        <v>Sankuru</v>
      </c>
      <c r="F354" s="8">
        <f>IFERROR(VLOOKUP(LOG_RESEAU[[#This Row],[Cell_ID]],Registre_Maintenance!A:C,3,FALSE),"Non trouvé")</f>
        <v>-10.764815</v>
      </c>
      <c r="G354" s="8">
        <f>IFERROR(VLOOKUP(LOG_RESEAU[[#This Row],[Cell_ID]],Registre_Maintenance!A:D,4,FALSE),"Non trouvé")</f>
        <v>14.602039</v>
      </c>
      <c r="H354" s="6" t="str">
        <f>IFERROR(VLOOKUP(LOG_RESEAU[[#This Row],[Cell_ID]],Registre_Maintenance!A:E,5,FALSE),"Non trouvé")</f>
        <v>4G</v>
      </c>
      <c r="I354" s="6" t="str">
        <f>IFERROR(VLOOKUP(LOG_RESEAU[[#This Row],[Cell_ID]],Registre_Maintenance!A:F,6,FALSE),"Non trouvé")</f>
        <v>Nokia</v>
      </c>
      <c r="J354" s="6" t="str">
        <f t="shared" si="15"/>
        <v>OK</v>
      </c>
      <c r="K354" s="6">
        <f t="shared" si="16"/>
        <v>4</v>
      </c>
      <c r="L354" s="6">
        <f t="shared" si="17"/>
        <v>177</v>
      </c>
    </row>
    <row r="355" spans="1:12" ht="15.75" x14ac:dyDescent="0.25">
      <c r="A355" s="6" t="s">
        <v>967</v>
      </c>
      <c r="B355" s="7">
        <v>45207.607638888891</v>
      </c>
      <c r="C355" s="6">
        <v>70</v>
      </c>
      <c r="D355" s="6" t="s">
        <v>800</v>
      </c>
      <c r="E355" s="8" t="str">
        <f>IFERROR(VLOOKUP(LOG_RESEAU[[#This Row],[Cell_ID]],Registre_Maintenance!A:B,2,FALSE),"Non trouvé")</f>
        <v>Sankuru</v>
      </c>
      <c r="F355" s="8">
        <f>IFERROR(VLOOKUP(LOG_RESEAU[[#This Row],[Cell_ID]],Registre_Maintenance!A:C,3,FALSE),"Non trouvé")</f>
        <v>-10.764815</v>
      </c>
      <c r="G355" s="8">
        <f>IFERROR(VLOOKUP(LOG_RESEAU[[#This Row],[Cell_ID]],Registre_Maintenance!A:D,4,FALSE),"Non trouvé")</f>
        <v>14.602039</v>
      </c>
      <c r="H355" s="6" t="str">
        <f>IFERROR(VLOOKUP(LOG_RESEAU[[#This Row],[Cell_ID]],Registre_Maintenance!A:E,5,FALSE),"Non trouvé")</f>
        <v>4G</v>
      </c>
      <c r="I355" s="6" t="str">
        <f>IFERROR(VLOOKUP(LOG_RESEAU[[#This Row],[Cell_ID]],Registre_Maintenance!A:F,6,FALSE),"Non trouvé")</f>
        <v>Nokia</v>
      </c>
      <c r="J355" s="6" t="str">
        <f t="shared" si="15"/>
        <v>OK</v>
      </c>
      <c r="K355" s="6">
        <f t="shared" si="16"/>
        <v>4</v>
      </c>
      <c r="L355" s="6">
        <f t="shared" si="17"/>
        <v>177</v>
      </c>
    </row>
    <row r="356" spans="1:12" ht="15.75" x14ac:dyDescent="0.25">
      <c r="A356" s="6" t="s">
        <v>967</v>
      </c>
      <c r="B356" s="7">
        <v>45207.701388888891</v>
      </c>
      <c r="C356" s="6">
        <v>27</v>
      </c>
      <c r="D356" s="6" t="s">
        <v>792</v>
      </c>
      <c r="E356" s="8" t="str">
        <f>IFERROR(VLOOKUP(LOG_RESEAU[[#This Row],[Cell_ID]],Registre_Maintenance!A:B,2,FALSE),"Non trouvé")</f>
        <v>Sankuru</v>
      </c>
      <c r="F356" s="8">
        <f>IFERROR(VLOOKUP(LOG_RESEAU[[#This Row],[Cell_ID]],Registre_Maintenance!A:C,3,FALSE),"Non trouvé")</f>
        <v>-10.764815</v>
      </c>
      <c r="G356" s="8">
        <f>IFERROR(VLOOKUP(LOG_RESEAU[[#This Row],[Cell_ID]],Registre_Maintenance!A:D,4,FALSE),"Non trouvé")</f>
        <v>14.602039</v>
      </c>
      <c r="H356" s="6" t="str">
        <f>IFERROR(VLOOKUP(LOG_RESEAU[[#This Row],[Cell_ID]],Registre_Maintenance!A:E,5,FALSE),"Non trouvé")</f>
        <v>4G</v>
      </c>
      <c r="I356" s="6" t="str">
        <f>IFERROR(VLOOKUP(LOG_RESEAU[[#This Row],[Cell_ID]],Registre_Maintenance!A:F,6,FALSE),"Non trouvé")</f>
        <v>Nokia</v>
      </c>
      <c r="J356" s="6" t="str">
        <f t="shared" si="15"/>
        <v>OK</v>
      </c>
      <c r="K356" s="6">
        <f t="shared" si="16"/>
        <v>4</v>
      </c>
      <c r="L356" s="6">
        <f t="shared" si="17"/>
        <v>177</v>
      </c>
    </row>
    <row r="357" spans="1:12" ht="15.75" x14ac:dyDescent="0.25">
      <c r="A357" s="6" t="s">
        <v>846</v>
      </c>
      <c r="B357" s="7">
        <v>45223.154861111107</v>
      </c>
      <c r="C357" s="6">
        <v>62</v>
      </c>
      <c r="D357" s="6" t="s">
        <v>794</v>
      </c>
      <c r="E357" s="8" t="str">
        <f>IFERROR(VLOOKUP(LOG_RESEAU[[#This Row],[Cell_ID]],Registre_Maintenance!A:B,2,FALSE),"Non trouvé")</f>
        <v>Ituri</v>
      </c>
      <c r="F357" s="8">
        <f>IFERROR(VLOOKUP(LOG_RESEAU[[#This Row],[Cell_ID]],Registre_Maintenance!A:C,3,FALSE),"Non trouvé")</f>
        <v>-12.595355</v>
      </c>
      <c r="G357" s="8">
        <f>IFERROR(VLOOKUP(LOG_RESEAU[[#This Row],[Cell_ID]],Registre_Maintenance!A:D,4,FALSE),"Non trouvé")</f>
        <v>17.897442000000002</v>
      </c>
      <c r="H357" s="6" t="str">
        <f>IFERROR(VLOOKUP(LOG_RESEAU[[#This Row],[Cell_ID]],Registre_Maintenance!A:E,5,FALSE),"Non trouvé")</f>
        <v>4G</v>
      </c>
      <c r="I357" s="6" t="str">
        <f>IFERROR(VLOOKUP(LOG_RESEAU[[#This Row],[Cell_ID]],Registre_Maintenance!A:F,6,FALSE),"Non trouvé")</f>
        <v>Huawei</v>
      </c>
      <c r="J357" s="6" t="str">
        <f t="shared" si="15"/>
        <v>OK</v>
      </c>
      <c r="K357" s="6">
        <f t="shared" si="16"/>
        <v>6</v>
      </c>
      <c r="L357" s="6">
        <f t="shared" si="17"/>
        <v>416</v>
      </c>
    </row>
    <row r="358" spans="1:12" ht="15.75" x14ac:dyDescent="0.25">
      <c r="A358" s="6" t="s">
        <v>846</v>
      </c>
      <c r="B358" s="7">
        <v>45214.185416666667</v>
      </c>
      <c r="C358" s="6">
        <v>45</v>
      </c>
      <c r="D358" s="6" t="s">
        <v>800</v>
      </c>
      <c r="E358" s="8" t="str">
        <f>IFERROR(VLOOKUP(LOG_RESEAU[[#This Row],[Cell_ID]],Registre_Maintenance!A:B,2,FALSE),"Non trouvé")</f>
        <v>Ituri</v>
      </c>
      <c r="F358" s="8">
        <f>IFERROR(VLOOKUP(LOG_RESEAU[[#This Row],[Cell_ID]],Registre_Maintenance!A:C,3,FALSE),"Non trouvé")</f>
        <v>-12.595355</v>
      </c>
      <c r="G358" s="8">
        <f>IFERROR(VLOOKUP(LOG_RESEAU[[#This Row],[Cell_ID]],Registre_Maintenance!A:D,4,FALSE),"Non trouvé")</f>
        <v>17.897442000000002</v>
      </c>
      <c r="H358" s="6" t="str">
        <f>IFERROR(VLOOKUP(LOG_RESEAU[[#This Row],[Cell_ID]],Registre_Maintenance!A:E,5,FALSE),"Non trouvé")</f>
        <v>4G</v>
      </c>
      <c r="I358" s="6" t="str">
        <f>IFERROR(VLOOKUP(LOG_RESEAU[[#This Row],[Cell_ID]],Registre_Maintenance!A:F,6,FALSE),"Non trouvé")</f>
        <v>Huawei</v>
      </c>
      <c r="J358" s="6" t="str">
        <f t="shared" si="15"/>
        <v>OK</v>
      </c>
      <c r="K358" s="6">
        <f t="shared" si="16"/>
        <v>6</v>
      </c>
      <c r="L358" s="6">
        <f t="shared" si="17"/>
        <v>416</v>
      </c>
    </row>
    <row r="359" spans="1:12" ht="15.75" x14ac:dyDescent="0.25">
      <c r="A359" s="6" t="s">
        <v>846</v>
      </c>
      <c r="B359" s="7">
        <v>45215.879861111112</v>
      </c>
      <c r="C359" s="6">
        <v>58</v>
      </c>
      <c r="D359" s="6" t="s">
        <v>800</v>
      </c>
      <c r="E359" s="8" t="str">
        <f>IFERROR(VLOOKUP(LOG_RESEAU[[#This Row],[Cell_ID]],Registre_Maintenance!A:B,2,FALSE),"Non trouvé")</f>
        <v>Ituri</v>
      </c>
      <c r="F359" s="8">
        <f>IFERROR(VLOOKUP(LOG_RESEAU[[#This Row],[Cell_ID]],Registre_Maintenance!A:C,3,FALSE),"Non trouvé")</f>
        <v>-12.595355</v>
      </c>
      <c r="G359" s="8">
        <f>IFERROR(VLOOKUP(LOG_RESEAU[[#This Row],[Cell_ID]],Registre_Maintenance!A:D,4,FALSE),"Non trouvé")</f>
        <v>17.897442000000002</v>
      </c>
      <c r="H359" s="6" t="str">
        <f>IFERROR(VLOOKUP(LOG_RESEAU[[#This Row],[Cell_ID]],Registre_Maintenance!A:E,5,FALSE),"Non trouvé")</f>
        <v>4G</v>
      </c>
      <c r="I359" s="6" t="str">
        <f>IFERROR(VLOOKUP(LOG_RESEAU[[#This Row],[Cell_ID]],Registre_Maintenance!A:F,6,FALSE),"Non trouvé")</f>
        <v>Huawei</v>
      </c>
      <c r="J359" s="6" t="str">
        <f t="shared" si="15"/>
        <v>OK</v>
      </c>
      <c r="K359" s="6">
        <f t="shared" si="16"/>
        <v>6</v>
      </c>
      <c r="L359" s="6">
        <f t="shared" si="17"/>
        <v>416</v>
      </c>
    </row>
    <row r="360" spans="1:12" ht="15.75" x14ac:dyDescent="0.25">
      <c r="A360" s="6" t="s">
        <v>846</v>
      </c>
      <c r="B360" s="7">
        <v>45204.314583333333</v>
      </c>
      <c r="C360" s="6">
        <v>110</v>
      </c>
      <c r="D360" s="6" t="s">
        <v>794</v>
      </c>
      <c r="E360" s="8" t="str">
        <f>IFERROR(VLOOKUP(LOG_RESEAU[[#This Row],[Cell_ID]],Registre_Maintenance!A:B,2,FALSE),"Non trouvé")</f>
        <v>Ituri</v>
      </c>
      <c r="F360" s="8">
        <f>IFERROR(VLOOKUP(LOG_RESEAU[[#This Row],[Cell_ID]],Registre_Maintenance!A:C,3,FALSE),"Non trouvé")</f>
        <v>-12.595355</v>
      </c>
      <c r="G360" s="8">
        <f>IFERROR(VLOOKUP(LOG_RESEAU[[#This Row],[Cell_ID]],Registre_Maintenance!A:D,4,FALSE),"Non trouvé")</f>
        <v>17.897442000000002</v>
      </c>
      <c r="H360" s="6" t="str">
        <f>IFERROR(VLOOKUP(LOG_RESEAU[[#This Row],[Cell_ID]],Registre_Maintenance!A:E,5,FALSE),"Non trouvé")</f>
        <v>4G</v>
      </c>
      <c r="I360" s="6" t="str">
        <f>IFERROR(VLOOKUP(LOG_RESEAU[[#This Row],[Cell_ID]],Registre_Maintenance!A:F,6,FALSE),"Non trouvé")</f>
        <v>Huawei</v>
      </c>
      <c r="J360" s="6" t="str">
        <f t="shared" si="15"/>
        <v>OK</v>
      </c>
      <c r="K360" s="6">
        <f t="shared" si="16"/>
        <v>6</v>
      </c>
      <c r="L360" s="6">
        <f t="shared" si="17"/>
        <v>416</v>
      </c>
    </row>
    <row r="361" spans="1:12" ht="15.75" x14ac:dyDescent="0.25">
      <c r="A361" s="6" t="s">
        <v>846</v>
      </c>
      <c r="B361" s="7">
        <v>45219.039583333331</v>
      </c>
      <c r="C361" s="6">
        <v>75</v>
      </c>
      <c r="D361" s="6" t="s">
        <v>792</v>
      </c>
      <c r="E361" s="8" t="str">
        <f>IFERROR(VLOOKUP(LOG_RESEAU[[#This Row],[Cell_ID]],Registre_Maintenance!A:B,2,FALSE),"Non trouvé")</f>
        <v>Ituri</v>
      </c>
      <c r="F361" s="8">
        <f>IFERROR(VLOOKUP(LOG_RESEAU[[#This Row],[Cell_ID]],Registre_Maintenance!A:C,3,FALSE),"Non trouvé")</f>
        <v>-12.595355</v>
      </c>
      <c r="G361" s="8">
        <f>IFERROR(VLOOKUP(LOG_RESEAU[[#This Row],[Cell_ID]],Registre_Maintenance!A:D,4,FALSE),"Non trouvé")</f>
        <v>17.897442000000002</v>
      </c>
      <c r="H361" s="6" t="str">
        <f>IFERROR(VLOOKUP(LOG_RESEAU[[#This Row],[Cell_ID]],Registre_Maintenance!A:E,5,FALSE),"Non trouvé")</f>
        <v>4G</v>
      </c>
      <c r="I361" s="6" t="str">
        <f>IFERROR(VLOOKUP(LOG_RESEAU[[#This Row],[Cell_ID]],Registre_Maintenance!A:F,6,FALSE),"Non trouvé")</f>
        <v>Huawei</v>
      </c>
      <c r="J361" s="6" t="str">
        <f t="shared" si="15"/>
        <v>OK</v>
      </c>
      <c r="K361" s="6">
        <f t="shared" si="16"/>
        <v>6</v>
      </c>
      <c r="L361" s="6">
        <f t="shared" si="17"/>
        <v>416</v>
      </c>
    </row>
    <row r="362" spans="1:12" ht="15.75" x14ac:dyDescent="0.25">
      <c r="A362" s="6" t="s">
        <v>846</v>
      </c>
      <c r="B362" s="7">
        <v>45209.558333333327</v>
      </c>
      <c r="C362" s="6">
        <v>66</v>
      </c>
      <c r="D362" s="6" t="s">
        <v>800</v>
      </c>
      <c r="E362" s="8" t="str">
        <f>IFERROR(VLOOKUP(LOG_RESEAU[[#This Row],[Cell_ID]],Registre_Maintenance!A:B,2,FALSE),"Non trouvé")</f>
        <v>Ituri</v>
      </c>
      <c r="F362" s="8">
        <f>IFERROR(VLOOKUP(LOG_RESEAU[[#This Row],[Cell_ID]],Registre_Maintenance!A:C,3,FALSE),"Non trouvé")</f>
        <v>-12.595355</v>
      </c>
      <c r="G362" s="8">
        <f>IFERROR(VLOOKUP(LOG_RESEAU[[#This Row],[Cell_ID]],Registre_Maintenance!A:D,4,FALSE),"Non trouvé")</f>
        <v>17.897442000000002</v>
      </c>
      <c r="H362" s="6" t="str">
        <f>IFERROR(VLOOKUP(LOG_RESEAU[[#This Row],[Cell_ID]],Registre_Maintenance!A:E,5,FALSE),"Non trouvé")</f>
        <v>4G</v>
      </c>
      <c r="I362" s="6" t="str">
        <f>IFERROR(VLOOKUP(LOG_RESEAU[[#This Row],[Cell_ID]],Registre_Maintenance!A:F,6,FALSE),"Non trouvé")</f>
        <v>Huawei</v>
      </c>
      <c r="J362" s="6" t="str">
        <f t="shared" si="15"/>
        <v>OK</v>
      </c>
      <c r="K362" s="6">
        <f t="shared" si="16"/>
        <v>6</v>
      </c>
      <c r="L362" s="6">
        <f t="shared" si="17"/>
        <v>416</v>
      </c>
    </row>
    <row r="363" spans="1:12" ht="15.75" x14ac:dyDescent="0.25">
      <c r="A363" s="6" t="s">
        <v>968</v>
      </c>
      <c r="B363" s="7">
        <v>45204.334722222222</v>
      </c>
      <c r="C363" s="6">
        <v>11</v>
      </c>
      <c r="D363" s="6" t="s">
        <v>794</v>
      </c>
      <c r="E363" s="8" t="str">
        <f>IFERROR(VLOOKUP(LOG_RESEAU[[#This Row],[Cell_ID]],Registre_Maintenance!A:B,2,FALSE),"Non trouvé")</f>
        <v>Non trouvé</v>
      </c>
      <c r="F363" s="8" t="str">
        <f>IFERROR(VLOOKUP(LOG_RESEAU[[#This Row],[Cell_ID]],Registre_Maintenance!A:C,3,FALSE),"Non trouvé")</f>
        <v>Non trouvé</v>
      </c>
      <c r="G363" s="8" t="str">
        <f>IFERROR(VLOOKUP(LOG_RESEAU[[#This Row],[Cell_ID]],Registre_Maintenance!A:D,4,FALSE),"Non trouvé")</f>
        <v>Non trouvé</v>
      </c>
      <c r="H363" s="6" t="str">
        <f>IFERROR(VLOOKUP(LOG_RESEAU[[#This Row],[Cell_ID]],Registre_Maintenance!A:E,5,FALSE),"Non trouvé")</f>
        <v>Non trouvé</v>
      </c>
      <c r="I363" s="6" t="str">
        <f>IFERROR(VLOOKUP(LOG_RESEAU[[#This Row],[Cell_ID]],Registre_Maintenance!A:F,6,FALSE),"Non trouvé")</f>
        <v>Non trouvé</v>
      </c>
      <c r="J363" s="6" t="str">
        <f t="shared" si="15"/>
        <v>Antenne inconnue</v>
      </c>
      <c r="K363" s="6">
        <f t="shared" si="16"/>
        <v>3</v>
      </c>
      <c r="L363" s="6">
        <f t="shared" si="17"/>
        <v>209</v>
      </c>
    </row>
    <row r="364" spans="1:12" ht="15.75" x14ac:dyDescent="0.25">
      <c r="A364" s="6" t="s">
        <v>968</v>
      </c>
      <c r="B364" s="7">
        <v>45212.724305555559</v>
      </c>
      <c r="C364" s="6">
        <v>107</v>
      </c>
      <c r="D364" s="6" t="s">
        <v>794</v>
      </c>
      <c r="E364" s="8" t="str">
        <f>IFERROR(VLOOKUP(LOG_RESEAU[[#This Row],[Cell_ID]],Registre_Maintenance!A:B,2,FALSE),"Non trouvé")</f>
        <v>Non trouvé</v>
      </c>
      <c r="F364" s="8" t="str">
        <f>IFERROR(VLOOKUP(LOG_RESEAU[[#This Row],[Cell_ID]],Registre_Maintenance!A:C,3,FALSE),"Non trouvé")</f>
        <v>Non trouvé</v>
      </c>
      <c r="G364" s="8" t="str">
        <f>IFERROR(VLOOKUP(LOG_RESEAU[[#This Row],[Cell_ID]],Registre_Maintenance!A:D,4,FALSE),"Non trouvé")</f>
        <v>Non trouvé</v>
      </c>
      <c r="H364" s="6" t="str">
        <f>IFERROR(VLOOKUP(LOG_RESEAU[[#This Row],[Cell_ID]],Registre_Maintenance!A:E,5,FALSE),"Non trouvé")</f>
        <v>Non trouvé</v>
      </c>
      <c r="I364" s="6" t="str">
        <f>IFERROR(VLOOKUP(LOG_RESEAU[[#This Row],[Cell_ID]],Registre_Maintenance!A:F,6,FALSE),"Non trouvé")</f>
        <v>Non trouvé</v>
      </c>
      <c r="J364" s="6" t="str">
        <f t="shared" si="15"/>
        <v>Antenne inconnue</v>
      </c>
      <c r="K364" s="6">
        <f t="shared" si="16"/>
        <v>3</v>
      </c>
      <c r="L364" s="6">
        <f t="shared" si="17"/>
        <v>209</v>
      </c>
    </row>
    <row r="365" spans="1:12" ht="15.75" x14ac:dyDescent="0.25">
      <c r="A365" s="6" t="s">
        <v>968</v>
      </c>
      <c r="B365" s="7">
        <v>45205.854861111111</v>
      </c>
      <c r="C365" s="6">
        <v>91</v>
      </c>
      <c r="D365" s="6" t="s">
        <v>792</v>
      </c>
      <c r="E365" s="8" t="str">
        <f>IFERROR(VLOOKUP(LOG_RESEAU[[#This Row],[Cell_ID]],Registre_Maintenance!A:B,2,FALSE),"Non trouvé")</f>
        <v>Non trouvé</v>
      </c>
      <c r="F365" s="8" t="str">
        <f>IFERROR(VLOOKUP(LOG_RESEAU[[#This Row],[Cell_ID]],Registre_Maintenance!A:C,3,FALSE),"Non trouvé")</f>
        <v>Non trouvé</v>
      </c>
      <c r="G365" s="8" t="str">
        <f>IFERROR(VLOOKUP(LOG_RESEAU[[#This Row],[Cell_ID]],Registre_Maintenance!A:D,4,FALSE),"Non trouvé")</f>
        <v>Non trouvé</v>
      </c>
      <c r="H365" s="6" t="str">
        <f>IFERROR(VLOOKUP(LOG_RESEAU[[#This Row],[Cell_ID]],Registre_Maintenance!A:E,5,FALSE),"Non trouvé")</f>
        <v>Non trouvé</v>
      </c>
      <c r="I365" s="6" t="str">
        <f>IFERROR(VLOOKUP(LOG_RESEAU[[#This Row],[Cell_ID]],Registre_Maintenance!A:F,6,FALSE),"Non trouvé")</f>
        <v>Non trouvé</v>
      </c>
      <c r="J365" s="6" t="str">
        <f t="shared" si="15"/>
        <v>Antenne inconnue</v>
      </c>
      <c r="K365" s="6">
        <f t="shared" si="16"/>
        <v>3</v>
      </c>
      <c r="L365" s="6">
        <f t="shared" si="17"/>
        <v>209</v>
      </c>
    </row>
    <row r="366" spans="1:12" ht="15.75" x14ac:dyDescent="0.25">
      <c r="A366" s="6" t="s">
        <v>920</v>
      </c>
      <c r="B366" s="7">
        <v>45228.34097222222</v>
      </c>
      <c r="C366" s="6">
        <v>45</v>
      </c>
      <c r="D366" s="6" t="s">
        <v>792</v>
      </c>
      <c r="E366" s="8" t="str">
        <f>IFERROR(VLOOKUP(LOG_RESEAU[[#This Row],[Cell_ID]],Registre_Maintenance!A:B,2,FALSE),"Non trouvé")</f>
        <v>Non trouvé</v>
      </c>
      <c r="F366" s="8" t="str">
        <f>IFERROR(VLOOKUP(LOG_RESEAU[[#This Row],[Cell_ID]],Registre_Maintenance!A:C,3,FALSE),"Non trouvé")</f>
        <v>Non trouvé</v>
      </c>
      <c r="G366" s="8" t="str">
        <f>IFERROR(VLOOKUP(LOG_RESEAU[[#This Row],[Cell_ID]],Registre_Maintenance!A:D,4,FALSE),"Non trouvé")</f>
        <v>Non trouvé</v>
      </c>
      <c r="H366" s="6" t="str">
        <f>IFERROR(VLOOKUP(LOG_RESEAU[[#This Row],[Cell_ID]],Registre_Maintenance!A:E,5,FALSE),"Non trouvé")</f>
        <v>Non trouvé</v>
      </c>
      <c r="I366" s="6" t="str">
        <f>IFERROR(VLOOKUP(LOG_RESEAU[[#This Row],[Cell_ID]],Registre_Maintenance!A:F,6,FALSE),"Non trouvé")</f>
        <v>Non trouvé</v>
      </c>
      <c r="J366" s="6" t="str">
        <f t="shared" si="15"/>
        <v>Antenne inconnue</v>
      </c>
      <c r="K366" s="6">
        <f t="shared" si="16"/>
        <v>2</v>
      </c>
      <c r="L366" s="6">
        <f t="shared" si="17"/>
        <v>151</v>
      </c>
    </row>
    <row r="367" spans="1:12" ht="15.75" x14ac:dyDescent="0.25">
      <c r="A367" s="6" t="s">
        <v>920</v>
      </c>
      <c r="B367" s="7">
        <v>45221.583333333343</v>
      </c>
      <c r="C367" s="6">
        <v>106</v>
      </c>
      <c r="D367" s="6" t="s">
        <v>792</v>
      </c>
      <c r="E367" s="8" t="str">
        <f>IFERROR(VLOOKUP(LOG_RESEAU[[#This Row],[Cell_ID]],Registre_Maintenance!A:B,2,FALSE),"Non trouvé")</f>
        <v>Non trouvé</v>
      </c>
      <c r="F367" s="8" t="str">
        <f>IFERROR(VLOOKUP(LOG_RESEAU[[#This Row],[Cell_ID]],Registre_Maintenance!A:C,3,FALSE),"Non trouvé")</f>
        <v>Non trouvé</v>
      </c>
      <c r="G367" s="8" t="str">
        <f>IFERROR(VLOOKUP(LOG_RESEAU[[#This Row],[Cell_ID]],Registre_Maintenance!A:D,4,FALSE),"Non trouvé")</f>
        <v>Non trouvé</v>
      </c>
      <c r="H367" s="6" t="str">
        <f>IFERROR(VLOOKUP(LOG_RESEAU[[#This Row],[Cell_ID]],Registre_Maintenance!A:E,5,FALSE),"Non trouvé")</f>
        <v>Non trouvé</v>
      </c>
      <c r="I367" s="6" t="str">
        <f>IFERROR(VLOOKUP(LOG_RESEAU[[#This Row],[Cell_ID]],Registre_Maintenance!A:F,6,FALSE),"Non trouvé")</f>
        <v>Non trouvé</v>
      </c>
      <c r="J367" s="6" t="str">
        <f t="shared" si="15"/>
        <v>Antenne inconnue</v>
      </c>
      <c r="K367" s="6">
        <f t="shared" si="16"/>
        <v>2</v>
      </c>
      <c r="L367" s="6">
        <f t="shared" si="17"/>
        <v>151</v>
      </c>
    </row>
    <row r="368" spans="1:12" ht="15.75" x14ac:dyDescent="0.25">
      <c r="A368" s="6" t="s">
        <v>810</v>
      </c>
      <c r="B368" s="7">
        <v>45210.128472222219</v>
      </c>
      <c r="C368" s="6">
        <v>39</v>
      </c>
      <c r="D368" s="6" t="s">
        <v>794</v>
      </c>
      <c r="E368" s="8" t="str">
        <f>IFERROR(VLOOKUP(LOG_RESEAU[[#This Row],[Cell_ID]],Registre_Maintenance!A:B,2,FALSE),"Non trouvé")</f>
        <v>Non trouvé</v>
      </c>
      <c r="F368" s="8" t="str">
        <f>IFERROR(VLOOKUP(LOG_RESEAU[[#This Row],[Cell_ID]],Registre_Maintenance!A:C,3,FALSE),"Non trouvé")</f>
        <v>Non trouvé</v>
      </c>
      <c r="G368" s="8" t="str">
        <f>IFERROR(VLOOKUP(LOG_RESEAU[[#This Row],[Cell_ID]],Registre_Maintenance!A:D,4,FALSE),"Non trouvé")</f>
        <v>Non trouvé</v>
      </c>
      <c r="H368" s="6" t="str">
        <f>IFERROR(VLOOKUP(LOG_RESEAU[[#This Row],[Cell_ID]],Registre_Maintenance!A:E,5,FALSE),"Non trouvé")</f>
        <v>Non trouvé</v>
      </c>
      <c r="I368" s="6" t="str">
        <f>IFERROR(VLOOKUP(LOG_RESEAU[[#This Row],[Cell_ID]],Registre_Maintenance!A:F,6,FALSE),"Non trouvé")</f>
        <v>Non trouvé</v>
      </c>
      <c r="J368" s="6" t="str">
        <f t="shared" si="15"/>
        <v>Antenne inconnue</v>
      </c>
      <c r="K368" s="6">
        <f t="shared" si="16"/>
        <v>4</v>
      </c>
      <c r="L368" s="6">
        <f t="shared" si="17"/>
        <v>196</v>
      </c>
    </row>
    <row r="369" spans="1:12" ht="15.75" x14ac:dyDescent="0.25">
      <c r="A369" s="6" t="s">
        <v>810</v>
      </c>
      <c r="B369" s="7">
        <v>45222.367361111108</v>
      </c>
      <c r="C369" s="6">
        <v>64</v>
      </c>
      <c r="D369" s="6" t="s">
        <v>800</v>
      </c>
      <c r="E369" s="8" t="str">
        <f>IFERROR(VLOOKUP(LOG_RESEAU[[#This Row],[Cell_ID]],Registre_Maintenance!A:B,2,FALSE),"Non trouvé")</f>
        <v>Non trouvé</v>
      </c>
      <c r="F369" s="8" t="str">
        <f>IFERROR(VLOOKUP(LOG_RESEAU[[#This Row],[Cell_ID]],Registre_Maintenance!A:C,3,FALSE),"Non trouvé")</f>
        <v>Non trouvé</v>
      </c>
      <c r="G369" s="8" t="str">
        <f>IFERROR(VLOOKUP(LOG_RESEAU[[#This Row],[Cell_ID]],Registre_Maintenance!A:D,4,FALSE),"Non trouvé")</f>
        <v>Non trouvé</v>
      </c>
      <c r="H369" s="6" t="str">
        <f>IFERROR(VLOOKUP(LOG_RESEAU[[#This Row],[Cell_ID]],Registre_Maintenance!A:E,5,FALSE),"Non trouvé")</f>
        <v>Non trouvé</v>
      </c>
      <c r="I369" s="6" t="str">
        <f>IFERROR(VLOOKUP(LOG_RESEAU[[#This Row],[Cell_ID]],Registre_Maintenance!A:F,6,FALSE),"Non trouvé")</f>
        <v>Non trouvé</v>
      </c>
      <c r="J369" s="6" t="str">
        <f t="shared" si="15"/>
        <v>Antenne inconnue</v>
      </c>
      <c r="K369" s="6">
        <f t="shared" si="16"/>
        <v>4</v>
      </c>
      <c r="L369" s="6">
        <f t="shared" si="17"/>
        <v>196</v>
      </c>
    </row>
    <row r="370" spans="1:12" ht="15.75" x14ac:dyDescent="0.25">
      <c r="A370" s="6" t="s">
        <v>810</v>
      </c>
      <c r="B370" s="7">
        <v>45207.61041666667</v>
      </c>
      <c r="C370" s="6">
        <v>63</v>
      </c>
      <c r="D370" s="6" t="s">
        <v>792</v>
      </c>
      <c r="E370" s="8" t="str">
        <f>IFERROR(VLOOKUP(LOG_RESEAU[[#This Row],[Cell_ID]],Registre_Maintenance!A:B,2,FALSE),"Non trouvé")</f>
        <v>Non trouvé</v>
      </c>
      <c r="F370" s="8" t="str">
        <f>IFERROR(VLOOKUP(LOG_RESEAU[[#This Row],[Cell_ID]],Registre_Maintenance!A:C,3,FALSE),"Non trouvé")</f>
        <v>Non trouvé</v>
      </c>
      <c r="G370" s="8" t="str">
        <f>IFERROR(VLOOKUP(LOG_RESEAU[[#This Row],[Cell_ID]],Registre_Maintenance!A:D,4,FALSE),"Non trouvé")</f>
        <v>Non trouvé</v>
      </c>
      <c r="H370" s="6" t="str">
        <f>IFERROR(VLOOKUP(LOG_RESEAU[[#This Row],[Cell_ID]],Registre_Maintenance!A:E,5,FALSE),"Non trouvé")</f>
        <v>Non trouvé</v>
      </c>
      <c r="I370" s="6" t="str">
        <f>IFERROR(VLOOKUP(LOG_RESEAU[[#This Row],[Cell_ID]],Registre_Maintenance!A:F,6,FALSE),"Non trouvé")</f>
        <v>Non trouvé</v>
      </c>
      <c r="J370" s="6" t="str">
        <f t="shared" si="15"/>
        <v>Antenne inconnue</v>
      </c>
      <c r="K370" s="6">
        <f t="shared" si="16"/>
        <v>4</v>
      </c>
      <c r="L370" s="6">
        <f t="shared" si="17"/>
        <v>196</v>
      </c>
    </row>
    <row r="371" spans="1:12" ht="15.75" x14ac:dyDescent="0.25">
      <c r="A371" s="6" t="s">
        <v>810</v>
      </c>
      <c r="B371" s="7">
        <v>45230.984722222223</v>
      </c>
      <c r="C371" s="6">
        <v>30</v>
      </c>
      <c r="D371" s="6" t="s">
        <v>792</v>
      </c>
      <c r="E371" s="8" t="str">
        <f>IFERROR(VLOOKUP(LOG_RESEAU[[#This Row],[Cell_ID]],Registre_Maintenance!A:B,2,FALSE),"Non trouvé")</f>
        <v>Non trouvé</v>
      </c>
      <c r="F371" s="8" t="str">
        <f>IFERROR(VLOOKUP(LOG_RESEAU[[#This Row],[Cell_ID]],Registre_Maintenance!A:C,3,FALSE),"Non trouvé")</f>
        <v>Non trouvé</v>
      </c>
      <c r="G371" s="8" t="str">
        <f>IFERROR(VLOOKUP(LOG_RESEAU[[#This Row],[Cell_ID]],Registre_Maintenance!A:D,4,FALSE),"Non trouvé")</f>
        <v>Non trouvé</v>
      </c>
      <c r="H371" s="6" t="str">
        <f>IFERROR(VLOOKUP(LOG_RESEAU[[#This Row],[Cell_ID]],Registre_Maintenance!A:E,5,FALSE),"Non trouvé")</f>
        <v>Non trouvé</v>
      </c>
      <c r="I371" s="6" t="str">
        <f>IFERROR(VLOOKUP(LOG_RESEAU[[#This Row],[Cell_ID]],Registre_Maintenance!A:F,6,FALSE),"Non trouvé")</f>
        <v>Non trouvé</v>
      </c>
      <c r="J371" s="6" t="str">
        <f t="shared" si="15"/>
        <v>Antenne inconnue</v>
      </c>
      <c r="K371" s="6">
        <f t="shared" si="16"/>
        <v>4</v>
      </c>
      <c r="L371" s="6">
        <f t="shared" si="17"/>
        <v>196</v>
      </c>
    </row>
    <row r="372" spans="1:12" ht="15.75" x14ac:dyDescent="0.25">
      <c r="A372" s="6" t="s">
        <v>868</v>
      </c>
      <c r="B372" s="7">
        <v>45202.944444444453</v>
      </c>
      <c r="C372" s="6">
        <v>51</v>
      </c>
      <c r="D372" s="6" t="s">
        <v>792</v>
      </c>
      <c r="E372" s="8" t="str">
        <f>IFERROR(VLOOKUP(LOG_RESEAU[[#This Row],[Cell_ID]],Registre_Maintenance!A:B,2,FALSE),"Non trouvé")</f>
        <v>Kasai-Central</v>
      </c>
      <c r="F372" s="8">
        <f>IFERROR(VLOOKUP(LOG_RESEAU[[#This Row],[Cell_ID]],Registre_Maintenance!A:C,3,FALSE),"Non trouvé")</f>
        <v>-8.0800809999999998</v>
      </c>
      <c r="G372" s="8">
        <f>IFERROR(VLOOKUP(LOG_RESEAU[[#This Row],[Cell_ID]],Registre_Maintenance!A:D,4,FALSE),"Non trouvé")</f>
        <v>30.147970999999998</v>
      </c>
      <c r="H372" s="6" t="str">
        <f>IFERROR(VLOOKUP(LOG_RESEAU[[#This Row],[Cell_ID]],Registre_Maintenance!A:E,5,FALSE),"Non trouvé")</f>
        <v>5G</v>
      </c>
      <c r="I372" s="6" t="str">
        <f>IFERROR(VLOOKUP(LOG_RESEAU[[#This Row],[Cell_ID]],Registre_Maintenance!A:F,6,FALSE),"Non trouvé")</f>
        <v>Huawei</v>
      </c>
      <c r="J372" s="6" t="str">
        <f t="shared" si="15"/>
        <v>OK</v>
      </c>
      <c r="K372" s="6">
        <f t="shared" si="16"/>
        <v>7</v>
      </c>
      <c r="L372" s="6">
        <f t="shared" si="17"/>
        <v>334</v>
      </c>
    </row>
    <row r="373" spans="1:12" ht="15.75" x14ac:dyDescent="0.25">
      <c r="A373" s="6" t="s">
        <v>991</v>
      </c>
      <c r="B373" s="7">
        <v>45216.76458333333</v>
      </c>
      <c r="C373" s="6">
        <v>8</v>
      </c>
      <c r="D373" s="6" t="s">
        <v>792</v>
      </c>
      <c r="E373" s="8" t="str">
        <f>IFERROR(VLOOKUP(LOG_RESEAU[[#This Row],[Cell_ID]],Registre_Maintenance!A:B,2,FALSE),"Non trouvé")</f>
        <v>Kasai-Central</v>
      </c>
      <c r="F373" s="8">
        <f>IFERROR(VLOOKUP(LOG_RESEAU[[#This Row],[Cell_ID]],Registre_Maintenance!A:C,3,FALSE),"Non trouvé")</f>
        <v>-8.0800809999999998</v>
      </c>
      <c r="G373" s="8">
        <f>IFERROR(VLOOKUP(LOG_RESEAU[[#This Row],[Cell_ID]],Registre_Maintenance!A:D,4,FALSE),"Non trouvé")</f>
        <v>30.147970999999998</v>
      </c>
      <c r="H373" s="6" t="str">
        <f>IFERROR(VLOOKUP(LOG_RESEAU[[#This Row],[Cell_ID]],Registre_Maintenance!A:E,5,FALSE),"Non trouvé")</f>
        <v>5G</v>
      </c>
      <c r="I373" s="6" t="str">
        <f>IFERROR(VLOOKUP(LOG_RESEAU[[#This Row],[Cell_ID]],Registre_Maintenance!A:F,6,FALSE),"Non trouvé")</f>
        <v>Huawei</v>
      </c>
      <c r="J373" s="6" t="str">
        <f t="shared" si="15"/>
        <v>OK</v>
      </c>
      <c r="K373" s="6">
        <f t="shared" si="16"/>
        <v>7</v>
      </c>
      <c r="L373" s="6">
        <f t="shared" si="17"/>
        <v>334</v>
      </c>
    </row>
    <row r="374" spans="1:12" ht="15.75" x14ac:dyDescent="0.25">
      <c r="A374" s="6" t="s">
        <v>868</v>
      </c>
      <c r="B374" s="7">
        <v>45217.481249999997</v>
      </c>
      <c r="C374" s="6">
        <v>48</v>
      </c>
      <c r="D374" s="6" t="s">
        <v>792</v>
      </c>
      <c r="E374" s="8" t="str">
        <f>IFERROR(VLOOKUP(LOG_RESEAU[[#This Row],[Cell_ID]],Registre_Maintenance!A:B,2,FALSE),"Non trouvé")</f>
        <v>Kasai-Central</v>
      </c>
      <c r="F374" s="8">
        <f>IFERROR(VLOOKUP(LOG_RESEAU[[#This Row],[Cell_ID]],Registre_Maintenance!A:C,3,FALSE),"Non trouvé")</f>
        <v>-8.0800809999999998</v>
      </c>
      <c r="G374" s="8">
        <f>IFERROR(VLOOKUP(LOG_RESEAU[[#This Row],[Cell_ID]],Registre_Maintenance!A:D,4,FALSE),"Non trouvé")</f>
        <v>30.147970999999998</v>
      </c>
      <c r="H374" s="6" t="str">
        <f>IFERROR(VLOOKUP(LOG_RESEAU[[#This Row],[Cell_ID]],Registre_Maintenance!A:E,5,FALSE),"Non trouvé")</f>
        <v>5G</v>
      </c>
      <c r="I374" s="6" t="str">
        <f>IFERROR(VLOOKUP(LOG_RESEAU[[#This Row],[Cell_ID]],Registre_Maintenance!A:F,6,FALSE),"Non trouvé")</f>
        <v>Huawei</v>
      </c>
      <c r="J374" s="6" t="str">
        <f t="shared" si="15"/>
        <v>OK</v>
      </c>
      <c r="K374" s="6">
        <f t="shared" si="16"/>
        <v>7</v>
      </c>
      <c r="L374" s="6">
        <f t="shared" si="17"/>
        <v>334</v>
      </c>
    </row>
    <row r="375" spans="1:12" ht="15.75" x14ac:dyDescent="0.25">
      <c r="A375" s="6" t="s">
        <v>868</v>
      </c>
      <c r="B375" s="7">
        <v>45212.599305555559</v>
      </c>
      <c r="C375" s="6">
        <v>67</v>
      </c>
      <c r="D375" s="6" t="s">
        <v>792</v>
      </c>
      <c r="E375" s="8" t="str">
        <f>IFERROR(VLOOKUP(LOG_RESEAU[[#This Row],[Cell_ID]],Registre_Maintenance!A:B,2,FALSE),"Non trouvé")</f>
        <v>Kasai-Central</v>
      </c>
      <c r="F375" s="8">
        <f>IFERROR(VLOOKUP(LOG_RESEAU[[#This Row],[Cell_ID]],Registre_Maintenance!A:C,3,FALSE),"Non trouvé")</f>
        <v>-8.0800809999999998</v>
      </c>
      <c r="G375" s="8">
        <f>IFERROR(VLOOKUP(LOG_RESEAU[[#This Row],[Cell_ID]],Registre_Maintenance!A:D,4,FALSE),"Non trouvé")</f>
        <v>30.147970999999998</v>
      </c>
      <c r="H375" s="6" t="str">
        <f>IFERROR(VLOOKUP(LOG_RESEAU[[#This Row],[Cell_ID]],Registre_Maintenance!A:E,5,FALSE),"Non trouvé")</f>
        <v>5G</v>
      </c>
      <c r="I375" s="6" t="str">
        <f>IFERROR(VLOOKUP(LOG_RESEAU[[#This Row],[Cell_ID]],Registre_Maintenance!A:F,6,FALSE),"Non trouvé")</f>
        <v>Huawei</v>
      </c>
      <c r="J375" s="6" t="str">
        <f t="shared" si="15"/>
        <v>OK</v>
      </c>
      <c r="K375" s="6">
        <f t="shared" si="16"/>
        <v>7</v>
      </c>
      <c r="L375" s="6">
        <f t="shared" si="17"/>
        <v>334</v>
      </c>
    </row>
    <row r="376" spans="1:12" ht="15.75" x14ac:dyDescent="0.25">
      <c r="A376" s="6" t="s">
        <v>868</v>
      </c>
      <c r="B376" s="7">
        <v>45226.2</v>
      </c>
      <c r="C376" s="6">
        <v>12</v>
      </c>
      <c r="D376" s="6" t="s">
        <v>800</v>
      </c>
      <c r="E376" s="8" t="str">
        <f>IFERROR(VLOOKUP(LOG_RESEAU[[#This Row],[Cell_ID]],Registre_Maintenance!A:B,2,FALSE),"Non trouvé")</f>
        <v>Kasai-Central</v>
      </c>
      <c r="F376" s="8">
        <f>IFERROR(VLOOKUP(LOG_RESEAU[[#This Row],[Cell_ID]],Registre_Maintenance!A:C,3,FALSE),"Non trouvé")</f>
        <v>-8.0800809999999998</v>
      </c>
      <c r="G376" s="8">
        <f>IFERROR(VLOOKUP(LOG_RESEAU[[#This Row],[Cell_ID]],Registre_Maintenance!A:D,4,FALSE),"Non trouvé")</f>
        <v>30.147970999999998</v>
      </c>
      <c r="H376" s="6" t="str">
        <f>IFERROR(VLOOKUP(LOG_RESEAU[[#This Row],[Cell_ID]],Registre_Maintenance!A:E,5,FALSE),"Non trouvé")</f>
        <v>5G</v>
      </c>
      <c r="I376" s="6" t="str">
        <f>IFERROR(VLOOKUP(LOG_RESEAU[[#This Row],[Cell_ID]],Registre_Maintenance!A:F,6,FALSE),"Non trouvé")</f>
        <v>Huawei</v>
      </c>
      <c r="J376" s="6" t="str">
        <f t="shared" si="15"/>
        <v>OK</v>
      </c>
      <c r="K376" s="6">
        <f t="shared" si="16"/>
        <v>7</v>
      </c>
      <c r="L376" s="6">
        <f t="shared" si="17"/>
        <v>334</v>
      </c>
    </row>
    <row r="377" spans="1:12" ht="15.75" x14ac:dyDescent="0.25">
      <c r="A377" s="6" t="s">
        <v>868</v>
      </c>
      <c r="B377" s="7">
        <v>45225.220833333333</v>
      </c>
      <c r="C377" s="6">
        <v>104</v>
      </c>
      <c r="D377" s="6" t="s">
        <v>800</v>
      </c>
      <c r="E377" s="8" t="str">
        <f>IFERROR(VLOOKUP(LOG_RESEAU[[#This Row],[Cell_ID]],Registre_Maintenance!A:B,2,FALSE),"Non trouvé")</f>
        <v>Kasai-Central</v>
      </c>
      <c r="F377" s="8">
        <f>IFERROR(VLOOKUP(LOG_RESEAU[[#This Row],[Cell_ID]],Registre_Maintenance!A:C,3,FALSE),"Non trouvé")</f>
        <v>-8.0800809999999998</v>
      </c>
      <c r="G377" s="8">
        <f>IFERROR(VLOOKUP(LOG_RESEAU[[#This Row],[Cell_ID]],Registre_Maintenance!A:D,4,FALSE),"Non trouvé")</f>
        <v>30.147970999999998</v>
      </c>
      <c r="H377" s="6" t="str">
        <f>IFERROR(VLOOKUP(LOG_RESEAU[[#This Row],[Cell_ID]],Registre_Maintenance!A:E,5,FALSE),"Non trouvé")</f>
        <v>5G</v>
      </c>
      <c r="I377" s="6" t="str">
        <f>IFERROR(VLOOKUP(LOG_RESEAU[[#This Row],[Cell_ID]],Registre_Maintenance!A:F,6,FALSE),"Non trouvé")</f>
        <v>Huawei</v>
      </c>
      <c r="J377" s="6" t="str">
        <f t="shared" si="15"/>
        <v>OK</v>
      </c>
      <c r="K377" s="6">
        <f t="shared" si="16"/>
        <v>7</v>
      </c>
      <c r="L377" s="6">
        <f t="shared" si="17"/>
        <v>334</v>
      </c>
    </row>
    <row r="378" spans="1:12" ht="15.75" x14ac:dyDescent="0.25">
      <c r="A378" s="6" t="s">
        <v>868</v>
      </c>
      <c r="B378" s="7">
        <v>45208.558333333327</v>
      </c>
      <c r="C378" s="6">
        <v>44</v>
      </c>
      <c r="D378" s="6" t="s">
        <v>792</v>
      </c>
      <c r="E378" s="8" t="str">
        <f>IFERROR(VLOOKUP(LOG_RESEAU[[#This Row],[Cell_ID]],Registre_Maintenance!A:B,2,FALSE),"Non trouvé")</f>
        <v>Kasai-Central</v>
      </c>
      <c r="F378" s="8">
        <f>IFERROR(VLOOKUP(LOG_RESEAU[[#This Row],[Cell_ID]],Registre_Maintenance!A:C,3,FALSE),"Non trouvé")</f>
        <v>-8.0800809999999998</v>
      </c>
      <c r="G378" s="8">
        <f>IFERROR(VLOOKUP(LOG_RESEAU[[#This Row],[Cell_ID]],Registre_Maintenance!A:D,4,FALSE),"Non trouvé")</f>
        <v>30.147970999999998</v>
      </c>
      <c r="H378" s="6" t="str">
        <f>IFERROR(VLOOKUP(LOG_RESEAU[[#This Row],[Cell_ID]],Registre_Maintenance!A:E,5,FALSE),"Non trouvé")</f>
        <v>5G</v>
      </c>
      <c r="I378" s="6" t="str">
        <f>IFERROR(VLOOKUP(LOG_RESEAU[[#This Row],[Cell_ID]],Registre_Maintenance!A:F,6,FALSE),"Non trouvé")</f>
        <v>Huawei</v>
      </c>
      <c r="J378" s="6" t="str">
        <f t="shared" si="15"/>
        <v>OK</v>
      </c>
      <c r="K378" s="6">
        <f t="shared" si="16"/>
        <v>7</v>
      </c>
      <c r="L378" s="6">
        <f t="shared" si="17"/>
        <v>334</v>
      </c>
    </row>
    <row r="379" spans="1:12" ht="15.75" x14ac:dyDescent="0.25">
      <c r="A379" s="6" t="s">
        <v>933</v>
      </c>
      <c r="B379" s="7">
        <v>45219.420138888891</v>
      </c>
      <c r="C379" s="6">
        <v>71</v>
      </c>
      <c r="D379" s="6" t="s">
        <v>800</v>
      </c>
      <c r="E379" s="8" t="str">
        <f>IFERROR(VLOOKUP(LOG_RESEAU[[#This Row],[Cell_ID]],Registre_Maintenance!A:B,2,FALSE),"Non trouvé")</f>
        <v>Non trouvé</v>
      </c>
      <c r="F379" s="8" t="str">
        <f>IFERROR(VLOOKUP(LOG_RESEAU[[#This Row],[Cell_ID]],Registre_Maintenance!A:C,3,FALSE),"Non trouvé")</f>
        <v>Non trouvé</v>
      </c>
      <c r="G379" s="8" t="str">
        <f>IFERROR(VLOOKUP(LOG_RESEAU[[#This Row],[Cell_ID]],Registre_Maintenance!A:D,4,FALSE),"Non trouvé")</f>
        <v>Non trouvé</v>
      </c>
      <c r="H379" s="6" t="str">
        <f>IFERROR(VLOOKUP(LOG_RESEAU[[#This Row],[Cell_ID]],Registre_Maintenance!A:E,5,FALSE),"Non trouvé")</f>
        <v>Non trouvé</v>
      </c>
      <c r="I379" s="6" t="str">
        <f>IFERROR(VLOOKUP(LOG_RESEAU[[#This Row],[Cell_ID]],Registre_Maintenance!A:F,6,FALSE),"Non trouvé")</f>
        <v>Non trouvé</v>
      </c>
      <c r="J379" s="6" t="str">
        <f t="shared" si="15"/>
        <v>Antenne inconnue</v>
      </c>
      <c r="K379" s="6">
        <f t="shared" si="16"/>
        <v>4</v>
      </c>
      <c r="L379" s="6">
        <f t="shared" si="17"/>
        <v>278</v>
      </c>
    </row>
    <row r="380" spans="1:12" ht="15.75" x14ac:dyDescent="0.25">
      <c r="A380" s="6" t="s">
        <v>933</v>
      </c>
      <c r="B380" s="7">
        <v>45208.421527777777</v>
      </c>
      <c r="C380" s="6">
        <v>107</v>
      </c>
      <c r="D380" s="6" t="s">
        <v>800</v>
      </c>
      <c r="E380" s="8" t="str">
        <f>IFERROR(VLOOKUP(LOG_RESEAU[[#This Row],[Cell_ID]],Registre_Maintenance!A:B,2,FALSE),"Non trouvé")</f>
        <v>Non trouvé</v>
      </c>
      <c r="F380" s="8" t="str">
        <f>IFERROR(VLOOKUP(LOG_RESEAU[[#This Row],[Cell_ID]],Registre_Maintenance!A:C,3,FALSE),"Non trouvé")</f>
        <v>Non trouvé</v>
      </c>
      <c r="G380" s="8" t="str">
        <f>IFERROR(VLOOKUP(LOG_RESEAU[[#This Row],[Cell_ID]],Registre_Maintenance!A:D,4,FALSE),"Non trouvé")</f>
        <v>Non trouvé</v>
      </c>
      <c r="H380" s="6" t="str">
        <f>IFERROR(VLOOKUP(LOG_RESEAU[[#This Row],[Cell_ID]],Registre_Maintenance!A:E,5,FALSE),"Non trouvé")</f>
        <v>Non trouvé</v>
      </c>
      <c r="I380" s="6" t="str">
        <f>IFERROR(VLOOKUP(LOG_RESEAU[[#This Row],[Cell_ID]],Registre_Maintenance!A:F,6,FALSE),"Non trouvé")</f>
        <v>Non trouvé</v>
      </c>
      <c r="J380" s="6" t="str">
        <f t="shared" si="15"/>
        <v>Antenne inconnue</v>
      </c>
      <c r="K380" s="6">
        <f t="shared" si="16"/>
        <v>4</v>
      </c>
      <c r="L380" s="6">
        <f t="shared" si="17"/>
        <v>278</v>
      </c>
    </row>
    <row r="381" spans="1:12" ht="15.75" x14ac:dyDescent="0.25">
      <c r="A381" s="6" t="s">
        <v>933</v>
      </c>
      <c r="B381" s="7">
        <v>45207.57916666667</v>
      </c>
      <c r="C381" s="6">
        <v>87</v>
      </c>
      <c r="D381" s="6" t="s">
        <v>792</v>
      </c>
      <c r="E381" s="8" t="str">
        <f>IFERROR(VLOOKUP(LOG_RESEAU[[#This Row],[Cell_ID]],Registre_Maintenance!A:B,2,FALSE),"Non trouvé")</f>
        <v>Non trouvé</v>
      </c>
      <c r="F381" s="8" t="str">
        <f>IFERROR(VLOOKUP(LOG_RESEAU[[#This Row],[Cell_ID]],Registre_Maintenance!A:C,3,FALSE),"Non trouvé")</f>
        <v>Non trouvé</v>
      </c>
      <c r="G381" s="8" t="str">
        <f>IFERROR(VLOOKUP(LOG_RESEAU[[#This Row],[Cell_ID]],Registre_Maintenance!A:D,4,FALSE),"Non trouvé")</f>
        <v>Non trouvé</v>
      </c>
      <c r="H381" s="6" t="str">
        <f>IFERROR(VLOOKUP(LOG_RESEAU[[#This Row],[Cell_ID]],Registre_Maintenance!A:E,5,FALSE),"Non trouvé")</f>
        <v>Non trouvé</v>
      </c>
      <c r="I381" s="6" t="str">
        <f>IFERROR(VLOOKUP(LOG_RESEAU[[#This Row],[Cell_ID]],Registre_Maintenance!A:F,6,FALSE),"Non trouvé")</f>
        <v>Non trouvé</v>
      </c>
      <c r="J381" s="6" t="str">
        <f t="shared" si="15"/>
        <v>Antenne inconnue</v>
      </c>
      <c r="K381" s="6">
        <f t="shared" si="16"/>
        <v>4</v>
      </c>
      <c r="L381" s="6">
        <f t="shared" si="17"/>
        <v>278</v>
      </c>
    </row>
    <row r="382" spans="1:12" ht="15.75" x14ac:dyDescent="0.25">
      <c r="A382" s="6" t="s">
        <v>933</v>
      </c>
      <c r="B382" s="7">
        <v>45204.570138888892</v>
      </c>
      <c r="C382" s="6">
        <v>13</v>
      </c>
      <c r="D382" s="6" t="s">
        <v>792</v>
      </c>
      <c r="E382" s="8" t="str">
        <f>IFERROR(VLOOKUP(LOG_RESEAU[[#This Row],[Cell_ID]],Registre_Maintenance!A:B,2,FALSE),"Non trouvé")</f>
        <v>Non trouvé</v>
      </c>
      <c r="F382" s="8" t="str">
        <f>IFERROR(VLOOKUP(LOG_RESEAU[[#This Row],[Cell_ID]],Registre_Maintenance!A:C,3,FALSE),"Non trouvé")</f>
        <v>Non trouvé</v>
      </c>
      <c r="G382" s="8" t="str">
        <f>IFERROR(VLOOKUP(LOG_RESEAU[[#This Row],[Cell_ID]],Registre_Maintenance!A:D,4,FALSE),"Non trouvé")</f>
        <v>Non trouvé</v>
      </c>
      <c r="H382" s="6" t="str">
        <f>IFERROR(VLOOKUP(LOG_RESEAU[[#This Row],[Cell_ID]],Registre_Maintenance!A:E,5,FALSE),"Non trouvé")</f>
        <v>Non trouvé</v>
      </c>
      <c r="I382" s="6" t="str">
        <f>IFERROR(VLOOKUP(LOG_RESEAU[[#This Row],[Cell_ID]],Registre_Maintenance!A:F,6,FALSE),"Non trouvé")</f>
        <v>Non trouvé</v>
      </c>
      <c r="J382" s="6" t="str">
        <f t="shared" si="15"/>
        <v>Antenne inconnue</v>
      </c>
      <c r="K382" s="6">
        <f t="shared" si="16"/>
        <v>4</v>
      </c>
      <c r="L382" s="6">
        <f t="shared" si="17"/>
        <v>278</v>
      </c>
    </row>
    <row r="383" spans="1:12" ht="15.75" x14ac:dyDescent="0.25">
      <c r="A383" s="6" t="s">
        <v>836</v>
      </c>
      <c r="B383" s="7">
        <v>45207.982638888891</v>
      </c>
      <c r="C383" s="6">
        <v>15</v>
      </c>
      <c r="D383" s="6" t="s">
        <v>800</v>
      </c>
      <c r="E383" s="8" t="str">
        <f>IFERROR(VLOOKUP(LOG_RESEAU[[#This Row],[Cell_ID]],Registre_Maintenance!A:B,2,FALSE),"Non trouvé")</f>
        <v>Non trouvé</v>
      </c>
      <c r="F383" s="8" t="str">
        <f>IFERROR(VLOOKUP(LOG_RESEAU[[#This Row],[Cell_ID]],Registre_Maintenance!A:C,3,FALSE),"Non trouvé")</f>
        <v>Non trouvé</v>
      </c>
      <c r="G383" s="8" t="str">
        <f>IFERROR(VLOOKUP(LOG_RESEAU[[#This Row],[Cell_ID]],Registre_Maintenance!A:D,4,FALSE),"Non trouvé")</f>
        <v>Non trouvé</v>
      </c>
      <c r="H383" s="6" t="str">
        <f>IFERROR(VLOOKUP(LOG_RESEAU[[#This Row],[Cell_ID]],Registre_Maintenance!A:E,5,FALSE),"Non trouvé")</f>
        <v>Non trouvé</v>
      </c>
      <c r="I383" s="6" t="str">
        <f>IFERROR(VLOOKUP(LOG_RESEAU[[#This Row],[Cell_ID]],Registre_Maintenance!A:F,6,FALSE),"Non trouvé")</f>
        <v>Non trouvé</v>
      </c>
      <c r="J383" s="6" t="str">
        <f t="shared" si="15"/>
        <v>Antenne inconnue</v>
      </c>
      <c r="K383" s="6">
        <f t="shared" si="16"/>
        <v>13</v>
      </c>
      <c r="L383" s="6">
        <f t="shared" si="17"/>
        <v>731</v>
      </c>
    </row>
    <row r="384" spans="1:12" ht="15.75" x14ac:dyDescent="0.25">
      <c r="A384" s="6" t="s">
        <v>836</v>
      </c>
      <c r="B384" s="7">
        <v>45206.273611111108</v>
      </c>
      <c r="C384" s="6">
        <v>55</v>
      </c>
      <c r="D384" s="6" t="s">
        <v>794</v>
      </c>
      <c r="E384" s="8" t="str">
        <f>IFERROR(VLOOKUP(LOG_RESEAU[[#This Row],[Cell_ID]],Registre_Maintenance!A:B,2,FALSE),"Non trouvé")</f>
        <v>Non trouvé</v>
      </c>
      <c r="F384" s="8" t="str">
        <f>IFERROR(VLOOKUP(LOG_RESEAU[[#This Row],[Cell_ID]],Registre_Maintenance!A:C,3,FALSE),"Non trouvé")</f>
        <v>Non trouvé</v>
      </c>
      <c r="G384" s="8" t="str">
        <f>IFERROR(VLOOKUP(LOG_RESEAU[[#This Row],[Cell_ID]],Registre_Maintenance!A:D,4,FALSE),"Non trouvé")</f>
        <v>Non trouvé</v>
      </c>
      <c r="H384" s="6" t="str">
        <f>IFERROR(VLOOKUP(LOG_RESEAU[[#This Row],[Cell_ID]],Registre_Maintenance!A:E,5,FALSE),"Non trouvé")</f>
        <v>Non trouvé</v>
      </c>
      <c r="I384" s="6" t="str">
        <f>IFERROR(VLOOKUP(LOG_RESEAU[[#This Row],[Cell_ID]],Registre_Maintenance!A:F,6,FALSE),"Non trouvé")</f>
        <v>Non trouvé</v>
      </c>
      <c r="J384" s="6" t="str">
        <f t="shared" si="15"/>
        <v>Antenne inconnue</v>
      </c>
      <c r="K384" s="6">
        <f t="shared" si="16"/>
        <v>13</v>
      </c>
      <c r="L384" s="6">
        <f t="shared" si="17"/>
        <v>731</v>
      </c>
    </row>
    <row r="385" spans="1:12" ht="15.75" x14ac:dyDescent="0.25">
      <c r="A385" s="6" t="s">
        <v>836</v>
      </c>
      <c r="B385" s="7">
        <v>45227.211111111108</v>
      </c>
      <c r="C385" s="6">
        <v>67</v>
      </c>
      <c r="D385" s="6" t="s">
        <v>794</v>
      </c>
      <c r="E385" s="8" t="str">
        <f>IFERROR(VLOOKUP(LOG_RESEAU[[#This Row],[Cell_ID]],Registre_Maintenance!A:B,2,FALSE),"Non trouvé")</f>
        <v>Non trouvé</v>
      </c>
      <c r="F385" s="8" t="str">
        <f>IFERROR(VLOOKUP(LOG_RESEAU[[#This Row],[Cell_ID]],Registre_Maintenance!A:C,3,FALSE),"Non trouvé")</f>
        <v>Non trouvé</v>
      </c>
      <c r="G385" s="8" t="str">
        <f>IFERROR(VLOOKUP(LOG_RESEAU[[#This Row],[Cell_ID]],Registre_Maintenance!A:D,4,FALSE),"Non trouvé")</f>
        <v>Non trouvé</v>
      </c>
      <c r="H385" s="6" t="str">
        <f>IFERROR(VLOOKUP(LOG_RESEAU[[#This Row],[Cell_ID]],Registre_Maintenance!A:E,5,FALSE),"Non trouvé")</f>
        <v>Non trouvé</v>
      </c>
      <c r="I385" s="6" t="str">
        <f>IFERROR(VLOOKUP(LOG_RESEAU[[#This Row],[Cell_ID]],Registre_Maintenance!A:F,6,FALSE),"Non trouvé")</f>
        <v>Non trouvé</v>
      </c>
      <c r="J385" s="6" t="str">
        <f t="shared" si="15"/>
        <v>Antenne inconnue</v>
      </c>
      <c r="K385" s="6">
        <f t="shared" si="16"/>
        <v>13</v>
      </c>
      <c r="L385" s="6">
        <f t="shared" si="17"/>
        <v>731</v>
      </c>
    </row>
    <row r="386" spans="1:12" ht="15.75" x14ac:dyDescent="0.25">
      <c r="A386" s="6" t="s">
        <v>836</v>
      </c>
      <c r="B386" s="7">
        <v>45208.279166666667</v>
      </c>
      <c r="C386" s="6">
        <v>120</v>
      </c>
      <c r="D386" s="6" t="s">
        <v>800</v>
      </c>
      <c r="E386" s="8" t="str">
        <f>IFERROR(VLOOKUP(LOG_RESEAU[[#This Row],[Cell_ID]],Registre_Maintenance!A:B,2,FALSE),"Non trouvé")</f>
        <v>Non trouvé</v>
      </c>
      <c r="F386" s="8" t="str">
        <f>IFERROR(VLOOKUP(LOG_RESEAU[[#This Row],[Cell_ID]],Registre_Maintenance!A:C,3,FALSE),"Non trouvé")</f>
        <v>Non trouvé</v>
      </c>
      <c r="G386" s="8" t="str">
        <f>IFERROR(VLOOKUP(LOG_RESEAU[[#This Row],[Cell_ID]],Registre_Maintenance!A:D,4,FALSE),"Non trouvé")</f>
        <v>Non trouvé</v>
      </c>
      <c r="H386" s="6" t="str">
        <f>IFERROR(VLOOKUP(LOG_RESEAU[[#This Row],[Cell_ID]],Registre_Maintenance!A:E,5,FALSE),"Non trouvé")</f>
        <v>Non trouvé</v>
      </c>
      <c r="I386" s="6" t="str">
        <f>IFERROR(VLOOKUP(LOG_RESEAU[[#This Row],[Cell_ID]],Registre_Maintenance!A:F,6,FALSE),"Non trouvé")</f>
        <v>Non trouvé</v>
      </c>
      <c r="J386" s="6" t="str">
        <f t="shared" ref="J386:J449" si="18">IF(ISERROR(SEARCH("Non trouvé",F386)),"OK","Antenne inconnue")</f>
        <v>Antenne inconnue</v>
      </c>
      <c r="K386" s="6">
        <f t="shared" ref="K386:K449" si="19">COUNTIF(A:A,A386)</f>
        <v>13</v>
      </c>
      <c r="L386" s="6">
        <f t="shared" ref="L386:L449" si="20">SUMIF(A:A,A386,C:C)</f>
        <v>731</v>
      </c>
    </row>
    <row r="387" spans="1:12" ht="15.75" x14ac:dyDescent="0.25">
      <c r="A387" s="6" t="s">
        <v>836</v>
      </c>
      <c r="B387" s="7">
        <v>45208.45416666667</v>
      </c>
      <c r="C387" s="6">
        <v>17</v>
      </c>
      <c r="D387" s="6" t="s">
        <v>800</v>
      </c>
      <c r="E387" s="8" t="str">
        <f>IFERROR(VLOOKUP(LOG_RESEAU[[#This Row],[Cell_ID]],Registre_Maintenance!A:B,2,FALSE),"Non trouvé")</f>
        <v>Non trouvé</v>
      </c>
      <c r="F387" s="8" t="str">
        <f>IFERROR(VLOOKUP(LOG_RESEAU[[#This Row],[Cell_ID]],Registre_Maintenance!A:C,3,FALSE),"Non trouvé")</f>
        <v>Non trouvé</v>
      </c>
      <c r="G387" s="8" t="str">
        <f>IFERROR(VLOOKUP(LOG_RESEAU[[#This Row],[Cell_ID]],Registre_Maintenance!A:D,4,FALSE),"Non trouvé")</f>
        <v>Non trouvé</v>
      </c>
      <c r="H387" s="6" t="str">
        <f>IFERROR(VLOOKUP(LOG_RESEAU[[#This Row],[Cell_ID]],Registre_Maintenance!A:E,5,FALSE),"Non trouvé")</f>
        <v>Non trouvé</v>
      </c>
      <c r="I387" s="6" t="str">
        <f>IFERROR(VLOOKUP(LOG_RESEAU[[#This Row],[Cell_ID]],Registre_Maintenance!A:F,6,FALSE),"Non trouvé")</f>
        <v>Non trouvé</v>
      </c>
      <c r="J387" s="6" t="str">
        <f t="shared" si="18"/>
        <v>Antenne inconnue</v>
      </c>
      <c r="K387" s="6">
        <f t="shared" si="19"/>
        <v>13</v>
      </c>
      <c r="L387" s="6">
        <f t="shared" si="20"/>
        <v>731</v>
      </c>
    </row>
    <row r="388" spans="1:12" ht="15.75" x14ac:dyDescent="0.25">
      <c r="A388" s="6" t="s">
        <v>836</v>
      </c>
      <c r="B388" s="7">
        <v>45224.568055555559</v>
      </c>
      <c r="C388" s="6">
        <v>22</v>
      </c>
      <c r="D388" s="6" t="s">
        <v>792</v>
      </c>
      <c r="E388" s="8" t="str">
        <f>IFERROR(VLOOKUP(LOG_RESEAU[[#This Row],[Cell_ID]],Registre_Maintenance!A:B,2,FALSE),"Non trouvé")</f>
        <v>Non trouvé</v>
      </c>
      <c r="F388" s="8" t="str">
        <f>IFERROR(VLOOKUP(LOG_RESEAU[[#This Row],[Cell_ID]],Registre_Maintenance!A:C,3,FALSE),"Non trouvé")</f>
        <v>Non trouvé</v>
      </c>
      <c r="G388" s="8" t="str">
        <f>IFERROR(VLOOKUP(LOG_RESEAU[[#This Row],[Cell_ID]],Registre_Maintenance!A:D,4,FALSE),"Non trouvé")</f>
        <v>Non trouvé</v>
      </c>
      <c r="H388" s="6" t="str">
        <f>IFERROR(VLOOKUP(LOG_RESEAU[[#This Row],[Cell_ID]],Registre_Maintenance!A:E,5,FALSE),"Non trouvé")</f>
        <v>Non trouvé</v>
      </c>
      <c r="I388" s="6" t="str">
        <f>IFERROR(VLOOKUP(LOG_RESEAU[[#This Row],[Cell_ID]],Registre_Maintenance!A:F,6,FALSE),"Non trouvé")</f>
        <v>Non trouvé</v>
      </c>
      <c r="J388" s="6" t="str">
        <f t="shared" si="18"/>
        <v>Antenne inconnue</v>
      </c>
      <c r="K388" s="6">
        <f t="shared" si="19"/>
        <v>13</v>
      </c>
      <c r="L388" s="6">
        <f t="shared" si="20"/>
        <v>731</v>
      </c>
    </row>
    <row r="389" spans="1:12" ht="15.75" x14ac:dyDescent="0.25">
      <c r="A389" s="6" t="s">
        <v>836</v>
      </c>
      <c r="B389" s="7">
        <v>45225.215277777781</v>
      </c>
      <c r="C389" s="6">
        <v>36</v>
      </c>
      <c r="D389" s="6" t="s">
        <v>794</v>
      </c>
      <c r="E389" s="8" t="str">
        <f>IFERROR(VLOOKUP(LOG_RESEAU[[#This Row],[Cell_ID]],Registre_Maintenance!A:B,2,FALSE),"Non trouvé")</f>
        <v>Non trouvé</v>
      </c>
      <c r="F389" s="8" t="str">
        <f>IFERROR(VLOOKUP(LOG_RESEAU[[#This Row],[Cell_ID]],Registre_Maintenance!A:C,3,FALSE),"Non trouvé")</f>
        <v>Non trouvé</v>
      </c>
      <c r="G389" s="8" t="str">
        <f>IFERROR(VLOOKUP(LOG_RESEAU[[#This Row],[Cell_ID]],Registre_Maintenance!A:D,4,FALSE),"Non trouvé")</f>
        <v>Non trouvé</v>
      </c>
      <c r="H389" s="6" t="str">
        <f>IFERROR(VLOOKUP(LOG_RESEAU[[#This Row],[Cell_ID]],Registre_Maintenance!A:E,5,FALSE),"Non trouvé")</f>
        <v>Non trouvé</v>
      </c>
      <c r="I389" s="6" t="str">
        <f>IFERROR(VLOOKUP(LOG_RESEAU[[#This Row],[Cell_ID]],Registre_Maintenance!A:F,6,FALSE),"Non trouvé")</f>
        <v>Non trouvé</v>
      </c>
      <c r="J389" s="6" t="str">
        <f t="shared" si="18"/>
        <v>Antenne inconnue</v>
      </c>
      <c r="K389" s="6">
        <f t="shared" si="19"/>
        <v>13</v>
      </c>
      <c r="L389" s="6">
        <f t="shared" si="20"/>
        <v>731</v>
      </c>
    </row>
    <row r="390" spans="1:12" ht="15.75" x14ac:dyDescent="0.25">
      <c r="A390" s="6" t="s">
        <v>836</v>
      </c>
      <c r="B390" s="7">
        <v>45208.908333333333</v>
      </c>
      <c r="C390" s="6">
        <v>76</v>
      </c>
      <c r="D390" s="6" t="s">
        <v>794</v>
      </c>
      <c r="E390" s="8" t="str">
        <f>IFERROR(VLOOKUP(LOG_RESEAU[[#This Row],[Cell_ID]],Registre_Maintenance!A:B,2,FALSE),"Non trouvé")</f>
        <v>Non trouvé</v>
      </c>
      <c r="F390" s="8" t="str">
        <f>IFERROR(VLOOKUP(LOG_RESEAU[[#This Row],[Cell_ID]],Registre_Maintenance!A:C,3,FALSE),"Non trouvé")</f>
        <v>Non trouvé</v>
      </c>
      <c r="G390" s="8" t="str">
        <f>IFERROR(VLOOKUP(LOG_RESEAU[[#This Row],[Cell_ID]],Registre_Maintenance!A:D,4,FALSE),"Non trouvé")</f>
        <v>Non trouvé</v>
      </c>
      <c r="H390" s="6" t="str">
        <f>IFERROR(VLOOKUP(LOG_RESEAU[[#This Row],[Cell_ID]],Registre_Maintenance!A:E,5,FALSE),"Non trouvé")</f>
        <v>Non trouvé</v>
      </c>
      <c r="I390" s="6" t="str">
        <f>IFERROR(VLOOKUP(LOG_RESEAU[[#This Row],[Cell_ID]],Registre_Maintenance!A:F,6,FALSE),"Non trouvé")</f>
        <v>Non trouvé</v>
      </c>
      <c r="J390" s="6" t="str">
        <f t="shared" si="18"/>
        <v>Antenne inconnue</v>
      </c>
      <c r="K390" s="6">
        <f t="shared" si="19"/>
        <v>13</v>
      </c>
      <c r="L390" s="6">
        <f t="shared" si="20"/>
        <v>731</v>
      </c>
    </row>
    <row r="391" spans="1:12" ht="15.75" x14ac:dyDescent="0.25">
      <c r="A391" s="6" t="s">
        <v>836</v>
      </c>
      <c r="B391" s="7">
        <v>45213.342361111107</v>
      </c>
      <c r="C391" s="6">
        <v>28</v>
      </c>
      <c r="D391" s="6" t="s">
        <v>794</v>
      </c>
      <c r="E391" s="8" t="str">
        <f>IFERROR(VLOOKUP(LOG_RESEAU[[#This Row],[Cell_ID]],Registre_Maintenance!A:B,2,FALSE),"Non trouvé")</f>
        <v>Non trouvé</v>
      </c>
      <c r="F391" s="8" t="str">
        <f>IFERROR(VLOOKUP(LOG_RESEAU[[#This Row],[Cell_ID]],Registre_Maintenance!A:C,3,FALSE),"Non trouvé")</f>
        <v>Non trouvé</v>
      </c>
      <c r="G391" s="8" t="str">
        <f>IFERROR(VLOOKUP(LOG_RESEAU[[#This Row],[Cell_ID]],Registre_Maintenance!A:D,4,FALSE),"Non trouvé")</f>
        <v>Non trouvé</v>
      </c>
      <c r="H391" s="6" t="str">
        <f>IFERROR(VLOOKUP(LOG_RESEAU[[#This Row],[Cell_ID]],Registre_Maintenance!A:E,5,FALSE),"Non trouvé")</f>
        <v>Non trouvé</v>
      </c>
      <c r="I391" s="6" t="str">
        <f>IFERROR(VLOOKUP(LOG_RESEAU[[#This Row],[Cell_ID]],Registre_Maintenance!A:F,6,FALSE),"Non trouvé")</f>
        <v>Non trouvé</v>
      </c>
      <c r="J391" s="6" t="str">
        <f t="shared" si="18"/>
        <v>Antenne inconnue</v>
      </c>
      <c r="K391" s="6">
        <f t="shared" si="19"/>
        <v>13</v>
      </c>
      <c r="L391" s="6">
        <f t="shared" si="20"/>
        <v>731</v>
      </c>
    </row>
    <row r="392" spans="1:12" ht="15.75" x14ac:dyDescent="0.25">
      <c r="A392" s="6" t="s">
        <v>836</v>
      </c>
      <c r="B392" s="7">
        <v>45202.42083333333</v>
      </c>
      <c r="C392" s="6">
        <v>97</v>
      </c>
      <c r="D392" s="6" t="s">
        <v>794</v>
      </c>
      <c r="E392" s="8" t="str">
        <f>IFERROR(VLOOKUP(LOG_RESEAU[[#This Row],[Cell_ID]],Registre_Maintenance!A:B,2,FALSE),"Non trouvé")</f>
        <v>Non trouvé</v>
      </c>
      <c r="F392" s="8" t="str">
        <f>IFERROR(VLOOKUP(LOG_RESEAU[[#This Row],[Cell_ID]],Registre_Maintenance!A:C,3,FALSE),"Non trouvé")</f>
        <v>Non trouvé</v>
      </c>
      <c r="G392" s="8" t="str">
        <f>IFERROR(VLOOKUP(LOG_RESEAU[[#This Row],[Cell_ID]],Registre_Maintenance!A:D,4,FALSE),"Non trouvé")</f>
        <v>Non trouvé</v>
      </c>
      <c r="H392" s="6" t="str">
        <f>IFERROR(VLOOKUP(LOG_RESEAU[[#This Row],[Cell_ID]],Registre_Maintenance!A:E,5,FALSE),"Non trouvé")</f>
        <v>Non trouvé</v>
      </c>
      <c r="I392" s="6" t="str">
        <f>IFERROR(VLOOKUP(LOG_RESEAU[[#This Row],[Cell_ID]],Registre_Maintenance!A:F,6,FALSE),"Non trouvé")</f>
        <v>Non trouvé</v>
      </c>
      <c r="J392" s="6" t="str">
        <f t="shared" si="18"/>
        <v>Antenne inconnue</v>
      </c>
      <c r="K392" s="6">
        <f t="shared" si="19"/>
        <v>13</v>
      </c>
      <c r="L392" s="6">
        <f t="shared" si="20"/>
        <v>731</v>
      </c>
    </row>
    <row r="393" spans="1:12" ht="15.75" x14ac:dyDescent="0.25">
      <c r="A393" s="6" t="s">
        <v>836</v>
      </c>
      <c r="B393" s="7">
        <v>45209.251388888893</v>
      </c>
      <c r="C393" s="6">
        <v>44</v>
      </c>
      <c r="D393" s="6" t="s">
        <v>794</v>
      </c>
      <c r="E393" s="8" t="str">
        <f>IFERROR(VLOOKUP(LOG_RESEAU[[#This Row],[Cell_ID]],Registre_Maintenance!A:B,2,FALSE),"Non trouvé")</f>
        <v>Non trouvé</v>
      </c>
      <c r="F393" s="8" t="str">
        <f>IFERROR(VLOOKUP(LOG_RESEAU[[#This Row],[Cell_ID]],Registre_Maintenance!A:C,3,FALSE),"Non trouvé")</f>
        <v>Non trouvé</v>
      </c>
      <c r="G393" s="8" t="str">
        <f>IFERROR(VLOOKUP(LOG_RESEAU[[#This Row],[Cell_ID]],Registre_Maintenance!A:D,4,FALSE),"Non trouvé")</f>
        <v>Non trouvé</v>
      </c>
      <c r="H393" s="6" t="str">
        <f>IFERROR(VLOOKUP(LOG_RESEAU[[#This Row],[Cell_ID]],Registre_Maintenance!A:E,5,FALSE),"Non trouvé")</f>
        <v>Non trouvé</v>
      </c>
      <c r="I393" s="6" t="str">
        <f>IFERROR(VLOOKUP(LOG_RESEAU[[#This Row],[Cell_ID]],Registre_Maintenance!A:F,6,FALSE),"Non trouvé")</f>
        <v>Non trouvé</v>
      </c>
      <c r="J393" s="6" t="str">
        <f t="shared" si="18"/>
        <v>Antenne inconnue</v>
      </c>
      <c r="K393" s="6">
        <f t="shared" si="19"/>
        <v>13</v>
      </c>
      <c r="L393" s="6">
        <f t="shared" si="20"/>
        <v>731</v>
      </c>
    </row>
    <row r="394" spans="1:12" ht="15.75" x14ac:dyDescent="0.25">
      <c r="A394" s="6" t="s">
        <v>836</v>
      </c>
      <c r="B394" s="7">
        <v>45212.626388888893</v>
      </c>
      <c r="C394" s="6">
        <v>107</v>
      </c>
      <c r="D394" s="6" t="s">
        <v>800</v>
      </c>
      <c r="E394" s="8" t="str">
        <f>IFERROR(VLOOKUP(LOG_RESEAU[[#This Row],[Cell_ID]],Registre_Maintenance!A:B,2,FALSE),"Non trouvé")</f>
        <v>Non trouvé</v>
      </c>
      <c r="F394" s="8" t="str">
        <f>IFERROR(VLOOKUP(LOG_RESEAU[[#This Row],[Cell_ID]],Registre_Maintenance!A:C,3,FALSE),"Non trouvé")</f>
        <v>Non trouvé</v>
      </c>
      <c r="G394" s="8" t="str">
        <f>IFERROR(VLOOKUP(LOG_RESEAU[[#This Row],[Cell_ID]],Registre_Maintenance!A:D,4,FALSE),"Non trouvé")</f>
        <v>Non trouvé</v>
      </c>
      <c r="H394" s="6" t="str">
        <f>IFERROR(VLOOKUP(LOG_RESEAU[[#This Row],[Cell_ID]],Registre_Maintenance!A:E,5,FALSE),"Non trouvé")</f>
        <v>Non trouvé</v>
      </c>
      <c r="I394" s="6" t="str">
        <f>IFERROR(VLOOKUP(LOG_RESEAU[[#This Row],[Cell_ID]],Registre_Maintenance!A:F,6,FALSE),"Non trouvé")</f>
        <v>Non trouvé</v>
      </c>
      <c r="J394" s="6" t="str">
        <f t="shared" si="18"/>
        <v>Antenne inconnue</v>
      </c>
      <c r="K394" s="6">
        <f t="shared" si="19"/>
        <v>13</v>
      </c>
      <c r="L394" s="6">
        <f t="shared" si="20"/>
        <v>731</v>
      </c>
    </row>
    <row r="395" spans="1:12" ht="15.75" x14ac:dyDescent="0.25">
      <c r="A395" s="6" t="s">
        <v>836</v>
      </c>
      <c r="B395" s="7">
        <v>45210.30972222222</v>
      </c>
      <c r="C395" s="6">
        <v>47</v>
      </c>
      <c r="D395" s="6" t="s">
        <v>800</v>
      </c>
      <c r="E395" s="8" t="str">
        <f>IFERROR(VLOOKUP(LOG_RESEAU[[#This Row],[Cell_ID]],Registre_Maintenance!A:B,2,FALSE),"Non trouvé")</f>
        <v>Non trouvé</v>
      </c>
      <c r="F395" s="8" t="str">
        <f>IFERROR(VLOOKUP(LOG_RESEAU[[#This Row],[Cell_ID]],Registre_Maintenance!A:C,3,FALSE),"Non trouvé")</f>
        <v>Non trouvé</v>
      </c>
      <c r="G395" s="8" t="str">
        <f>IFERROR(VLOOKUP(LOG_RESEAU[[#This Row],[Cell_ID]],Registre_Maintenance!A:D,4,FALSE),"Non trouvé")</f>
        <v>Non trouvé</v>
      </c>
      <c r="H395" s="6" t="str">
        <f>IFERROR(VLOOKUP(LOG_RESEAU[[#This Row],[Cell_ID]],Registre_Maintenance!A:E,5,FALSE),"Non trouvé")</f>
        <v>Non trouvé</v>
      </c>
      <c r="I395" s="6" t="str">
        <f>IFERROR(VLOOKUP(LOG_RESEAU[[#This Row],[Cell_ID]],Registre_Maintenance!A:F,6,FALSE),"Non trouvé")</f>
        <v>Non trouvé</v>
      </c>
      <c r="J395" s="6" t="str">
        <f t="shared" si="18"/>
        <v>Antenne inconnue</v>
      </c>
      <c r="K395" s="6">
        <f t="shared" si="19"/>
        <v>13</v>
      </c>
      <c r="L395" s="6">
        <f t="shared" si="20"/>
        <v>731</v>
      </c>
    </row>
    <row r="396" spans="1:12" ht="15.75" x14ac:dyDescent="0.25">
      <c r="A396" s="6" t="s">
        <v>875</v>
      </c>
      <c r="B396" s="7">
        <v>45213.477083333331</v>
      </c>
      <c r="C396" s="6">
        <v>102</v>
      </c>
      <c r="D396" s="6" t="s">
        <v>792</v>
      </c>
      <c r="E396" s="8" t="str">
        <f>IFERROR(VLOOKUP(LOG_RESEAU[[#This Row],[Cell_ID]],Registre_Maintenance!A:B,2,FALSE),"Non trouvé")</f>
        <v>Sud-Ubangi</v>
      </c>
      <c r="F396" s="8">
        <f>IFERROR(VLOOKUP(LOG_RESEAU[[#This Row],[Cell_ID]],Registre_Maintenance!A:C,3,FALSE),"Non trouvé")</f>
        <v>-12.141233</v>
      </c>
      <c r="G396" s="8">
        <f>IFERROR(VLOOKUP(LOG_RESEAU[[#This Row],[Cell_ID]],Registre_Maintenance!A:D,4,FALSE),"Non trouvé")</f>
        <v>15.179043999999999</v>
      </c>
      <c r="H396" s="6" t="str">
        <f>IFERROR(VLOOKUP(LOG_RESEAU[[#This Row],[Cell_ID]],Registre_Maintenance!A:E,5,FALSE),"Non trouvé")</f>
        <v>5G</v>
      </c>
      <c r="I396" s="6" t="str">
        <f>IFERROR(VLOOKUP(LOG_RESEAU[[#This Row],[Cell_ID]],Registre_Maintenance!A:F,6,FALSE),"Non trouvé")</f>
        <v>Ericsson</v>
      </c>
      <c r="J396" s="6" t="str">
        <f t="shared" si="18"/>
        <v>OK</v>
      </c>
      <c r="K396" s="6">
        <f t="shared" si="19"/>
        <v>6</v>
      </c>
      <c r="L396" s="6">
        <f t="shared" si="20"/>
        <v>489</v>
      </c>
    </row>
    <row r="397" spans="1:12" ht="15.75" x14ac:dyDescent="0.25">
      <c r="A397" s="6" t="s">
        <v>875</v>
      </c>
      <c r="B397" s="7">
        <v>45229.329861111109</v>
      </c>
      <c r="C397" s="6">
        <v>75</v>
      </c>
      <c r="D397" s="6" t="s">
        <v>800</v>
      </c>
      <c r="E397" s="8" t="str">
        <f>IFERROR(VLOOKUP(LOG_RESEAU[[#This Row],[Cell_ID]],Registre_Maintenance!A:B,2,FALSE),"Non trouvé")</f>
        <v>Sud-Ubangi</v>
      </c>
      <c r="F397" s="8">
        <f>IFERROR(VLOOKUP(LOG_RESEAU[[#This Row],[Cell_ID]],Registre_Maintenance!A:C,3,FALSE),"Non trouvé")</f>
        <v>-12.141233</v>
      </c>
      <c r="G397" s="8">
        <f>IFERROR(VLOOKUP(LOG_RESEAU[[#This Row],[Cell_ID]],Registre_Maintenance!A:D,4,FALSE),"Non trouvé")</f>
        <v>15.179043999999999</v>
      </c>
      <c r="H397" s="6" t="str">
        <f>IFERROR(VLOOKUP(LOG_RESEAU[[#This Row],[Cell_ID]],Registre_Maintenance!A:E,5,FALSE),"Non trouvé")</f>
        <v>5G</v>
      </c>
      <c r="I397" s="6" t="str">
        <f>IFERROR(VLOOKUP(LOG_RESEAU[[#This Row],[Cell_ID]],Registre_Maintenance!A:F,6,FALSE),"Non trouvé")</f>
        <v>Ericsson</v>
      </c>
      <c r="J397" s="6" t="str">
        <f t="shared" si="18"/>
        <v>OK</v>
      </c>
      <c r="K397" s="6">
        <f t="shared" si="19"/>
        <v>6</v>
      </c>
      <c r="L397" s="6">
        <f t="shared" si="20"/>
        <v>489</v>
      </c>
    </row>
    <row r="398" spans="1:12" ht="15.75" x14ac:dyDescent="0.25">
      <c r="A398" s="6" t="s">
        <v>875</v>
      </c>
      <c r="B398" s="7">
        <v>45223.102083333331</v>
      </c>
      <c r="C398" s="6">
        <v>85</v>
      </c>
      <c r="D398" s="6" t="s">
        <v>800</v>
      </c>
      <c r="E398" s="8" t="str">
        <f>IFERROR(VLOOKUP(LOG_RESEAU[[#This Row],[Cell_ID]],Registre_Maintenance!A:B,2,FALSE),"Non trouvé")</f>
        <v>Sud-Ubangi</v>
      </c>
      <c r="F398" s="8">
        <f>IFERROR(VLOOKUP(LOG_RESEAU[[#This Row],[Cell_ID]],Registre_Maintenance!A:C,3,FALSE),"Non trouvé")</f>
        <v>-12.141233</v>
      </c>
      <c r="G398" s="8">
        <f>IFERROR(VLOOKUP(LOG_RESEAU[[#This Row],[Cell_ID]],Registre_Maintenance!A:D,4,FALSE),"Non trouvé")</f>
        <v>15.179043999999999</v>
      </c>
      <c r="H398" s="6" t="str">
        <f>IFERROR(VLOOKUP(LOG_RESEAU[[#This Row],[Cell_ID]],Registre_Maintenance!A:E,5,FALSE),"Non trouvé")</f>
        <v>5G</v>
      </c>
      <c r="I398" s="6" t="str">
        <f>IFERROR(VLOOKUP(LOG_RESEAU[[#This Row],[Cell_ID]],Registre_Maintenance!A:F,6,FALSE),"Non trouvé")</f>
        <v>Ericsson</v>
      </c>
      <c r="J398" s="6" t="str">
        <f t="shared" si="18"/>
        <v>OK</v>
      </c>
      <c r="K398" s="6">
        <f t="shared" si="19"/>
        <v>6</v>
      </c>
      <c r="L398" s="6">
        <f t="shared" si="20"/>
        <v>489</v>
      </c>
    </row>
    <row r="399" spans="1:12" ht="15.75" x14ac:dyDescent="0.25">
      <c r="A399" s="6" t="s">
        <v>875</v>
      </c>
      <c r="B399" s="7">
        <v>45212.629166666673</v>
      </c>
      <c r="C399" s="6">
        <v>69</v>
      </c>
      <c r="D399" s="6" t="s">
        <v>800</v>
      </c>
      <c r="E399" s="8" t="str">
        <f>IFERROR(VLOOKUP(LOG_RESEAU[[#This Row],[Cell_ID]],Registre_Maintenance!A:B,2,FALSE),"Non trouvé")</f>
        <v>Sud-Ubangi</v>
      </c>
      <c r="F399" s="8">
        <f>IFERROR(VLOOKUP(LOG_RESEAU[[#This Row],[Cell_ID]],Registre_Maintenance!A:C,3,FALSE),"Non trouvé")</f>
        <v>-12.141233</v>
      </c>
      <c r="G399" s="8">
        <f>IFERROR(VLOOKUP(LOG_RESEAU[[#This Row],[Cell_ID]],Registre_Maintenance!A:D,4,FALSE),"Non trouvé")</f>
        <v>15.179043999999999</v>
      </c>
      <c r="H399" s="6" t="str">
        <f>IFERROR(VLOOKUP(LOG_RESEAU[[#This Row],[Cell_ID]],Registre_Maintenance!A:E,5,FALSE),"Non trouvé")</f>
        <v>5G</v>
      </c>
      <c r="I399" s="6" t="str">
        <f>IFERROR(VLOOKUP(LOG_RESEAU[[#This Row],[Cell_ID]],Registre_Maintenance!A:F,6,FALSE),"Non trouvé")</f>
        <v>Ericsson</v>
      </c>
      <c r="J399" s="6" t="str">
        <f t="shared" si="18"/>
        <v>OK</v>
      </c>
      <c r="K399" s="6">
        <f t="shared" si="19"/>
        <v>6</v>
      </c>
      <c r="L399" s="6">
        <f t="shared" si="20"/>
        <v>489</v>
      </c>
    </row>
    <row r="400" spans="1:12" ht="15.75" x14ac:dyDescent="0.25">
      <c r="A400" s="6" t="s">
        <v>875</v>
      </c>
      <c r="B400" s="7">
        <v>45214.59375</v>
      </c>
      <c r="C400" s="6">
        <v>41</v>
      </c>
      <c r="D400" s="6" t="s">
        <v>794</v>
      </c>
      <c r="E400" s="8" t="str">
        <f>IFERROR(VLOOKUP(LOG_RESEAU[[#This Row],[Cell_ID]],Registre_Maintenance!A:B,2,FALSE),"Non trouvé")</f>
        <v>Sud-Ubangi</v>
      </c>
      <c r="F400" s="8">
        <f>IFERROR(VLOOKUP(LOG_RESEAU[[#This Row],[Cell_ID]],Registre_Maintenance!A:C,3,FALSE),"Non trouvé")</f>
        <v>-12.141233</v>
      </c>
      <c r="G400" s="8">
        <f>IFERROR(VLOOKUP(LOG_RESEAU[[#This Row],[Cell_ID]],Registre_Maintenance!A:D,4,FALSE),"Non trouvé")</f>
        <v>15.179043999999999</v>
      </c>
      <c r="H400" s="6" t="str">
        <f>IFERROR(VLOOKUP(LOG_RESEAU[[#This Row],[Cell_ID]],Registre_Maintenance!A:E,5,FALSE),"Non trouvé")</f>
        <v>5G</v>
      </c>
      <c r="I400" s="6" t="str">
        <f>IFERROR(VLOOKUP(LOG_RESEAU[[#This Row],[Cell_ID]],Registre_Maintenance!A:F,6,FALSE),"Non trouvé")</f>
        <v>Ericsson</v>
      </c>
      <c r="J400" s="6" t="str">
        <f t="shared" si="18"/>
        <v>OK</v>
      </c>
      <c r="K400" s="6">
        <f t="shared" si="19"/>
        <v>6</v>
      </c>
      <c r="L400" s="6">
        <f t="shared" si="20"/>
        <v>489</v>
      </c>
    </row>
    <row r="401" spans="1:12" ht="15.75" x14ac:dyDescent="0.25">
      <c r="A401" s="6" t="s">
        <v>875</v>
      </c>
      <c r="B401" s="7">
        <v>45216.673611111109</v>
      </c>
      <c r="C401" s="6">
        <v>117</v>
      </c>
      <c r="D401" s="6" t="s">
        <v>794</v>
      </c>
      <c r="E401" s="8" t="str">
        <f>IFERROR(VLOOKUP(LOG_RESEAU[[#This Row],[Cell_ID]],Registre_Maintenance!A:B,2,FALSE),"Non trouvé")</f>
        <v>Sud-Ubangi</v>
      </c>
      <c r="F401" s="8">
        <f>IFERROR(VLOOKUP(LOG_RESEAU[[#This Row],[Cell_ID]],Registre_Maintenance!A:C,3,FALSE),"Non trouvé")</f>
        <v>-12.141233</v>
      </c>
      <c r="G401" s="8">
        <f>IFERROR(VLOOKUP(LOG_RESEAU[[#This Row],[Cell_ID]],Registre_Maintenance!A:D,4,FALSE),"Non trouvé")</f>
        <v>15.179043999999999</v>
      </c>
      <c r="H401" s="6" t="str">
        <f>IFERROR(VLOOKUP(LOG_RESEAU[[#This Row],[Cell_ID]],Registre_Maintenance!A:E,5,FALSE),"Non trouvé")</f>
        <v>5G</v>
      </c>
      <c r="I401" s="6" t="str">
        <f>IFERROR(VLOOKUP(LOG_RESEAU[[#This Row],[Cell_ID]],Registre_Maintenance!A:F,6,FALSE),"Non trouvé")</f>
        <v>Ericsson</v>
      </c>
      <c r="J401" s="6" t="str">
        <f t="shared" si="18"/>
        <v>OK</v>
      </c>
      <c r="K401" s="6">
        <f t="shared" si="19"/>
        <v>6</v>
      </c>
      <c r="L401" s="6">
        <f t="shared" si="20"/>
        <v>489</v>
      </c>
    </row>
    <row r="402" spans="1:12" ht="15.75" x14ac:dyDescent="0.25">
      <c r="A402" s="6" t="s">
        <v>924</v>
      </c>
      <c r="B402" s="7">
        <v>45228.758333333331</v>
      </c>
      <c r="C402" s="6">
        <v>71</v>
      </c>
      <c r="D402" s="6" t="s">
        <v>800</v>
      </c>
      <c r="E402" s="8" t="str">
        <f>IFERROR(VLOOKUP(LOG_RESEAU[[#This Row],[Cell_ID]],Registre_Maintenance!A:B,2,FALSE),"Non trouvé")</f>
        <v>Maniema</v>
      </c>
      <c r="F402" s="8">
        <f>IFERROR(VLOOKUP(LOG_RESEAU[[#This Row],[Cell_ID]],Registre_Maintenance!A:C,3,FALSE),"Non trouvé")</f>
        <v>-8.4824669999999998</v>
      </c>
      <c r="G402" s="8">
        <f>IFERROR(VLOOKUP(LOG_RESEAU[[#This Row],[Cell_ID]],Registre_Maintenance!A:D,4,FALSE),"Non trouvé")</f>
        <v>21.897777999999999</v>
      </c>
      <c r="H402" s="6" t="str">
        <f>IFERROR(VLOOKUP(LOG_RESEAU[[#This Row],[Cell_ID]],Registre_Maintenance!A:E,5,FALSE),"Non trouvé")</f>
        <v>5G</v>
      </c>
      <c r="I402" s="6" t="str">
        <f>IFERROR(VLOOKUP(LOG_RESEAU[[#This Row],[Cell_ID]],Registre_Maintenance!A:F,6,FALSE),"Non trouvé")</f>
        <v>Ericsson</v>
      </c>
      <c r="J402" s="6" t="str">
        <f t="shared" si="18"/>
        <v>OK</v>
      </c>
      <c r="K402" s="6">
        <f t="shared" si="19"/>
        <v>4</v>
      </c>
      <c r="L402" s="6">
        <f t="shared" si="20"/>
        <v>300</v>
      </c>
    </row>
    <row r="403" spans="1:12" ht="15.75" x14ac:dyDescent="0.25">
      <c r="A403" s="6" t="s">
        <v>924</v>
      </c>
      <c r="B403" s="7" t="s">
        <v>985</v>
      </c>
      <c r="C403" s="6">
        <v>80</v>
      </c>
      <c r="D403" s="6" t="s">
        <v>792</v>
      </c>
      <c r="E403" s="8" t="str">
        <f>IFERROR(VLOOKUP(LOG_RESEAU[[#This Row],[Cell_ID]],Registre_Maintenance!A:B,2,FALSE),"Non trouvé")</f>
        <v>Maniema</v>
      </c>
      <c r="F403" s="8">
        <f>IFERROR(VLOOKUP(LOG_RESEAU[[#This Row],[Cell_ID]],Registre_Maintenance!A:C,3,FALSE),"Non trouvé")</f>
        <v>-8.4824669999999998</v>
      </c>
      <c r="G403" s="8">
        <f>IFERROR(VLOOKUP(LOG_RESEAU[[#This Row],[Cell_ID]],Registre_Maintenance!A:D,4,FALSE),"Non trouvé")</f>
        <v>21.897777999999999</v>
      </c>
      <c r="H403" s="6" t="str">
        <f>IFERROR(VLOOKUP(LOG_RESEAU[[#This Row],[Cell_ID]],Registre_Maintenance!A:E,5,FALSE),"Non trouvé")</f>
        <v>5G</v>
      </c>
      <c r="I403" s="6" t="str">
        <f>IFERROR(VLOOKUP(LOG_RESEAU[[#This Row],[Cell_ID]],Registre_Maintenance!A:F,6,FALSE),"Non trouvé")</f>
        <v>Ericsson</v>
      </c>
      <c r="J403" s="6" t="str">
        <f t="shared" si="18"/>
        <v>OK</v>
      </c>
      <c r="K403" s="6">
        <f t="shared" si="19"/>
        <v>4</v>
      </c>
      <c r="L403" s="6">
        <f t="shared" si="20"/>
        <v>300</v>
      </c>
    </row>
    <row r="404" spans="1:12" ht="15.75" x14ac:dyDescent="0.25">
      <c r="A404" s="6" t="s">
        <v>924</v>
      </c>
      <c r="B404" s="7">
        <v>45219.920138888891</v>
      </c>
      <c r="C404" s="6">
        <v>90</v>
      </c>
      <c r="D404" s="6" t="s">
        <v>794</v>
      </c>
      <c r="E404" s="8" t="str">
        <f>IFERROR(VLOOKUP(LOG_RESEAU[[#This Row],[Cell_ID]],Registre_Maintenance!A:B,2,FALSE),"Non trouvé")</f>
        <v>Maniema</v>
      </c>
      <c r="F404" s="8">
        <f>IFERROR(VLOOKUP(LOG_RESEAU[[#This Row],[Cell_ID]],Registre_Maintenance!A:C,3,FALSE),"Non trouvé")</f>
        <v>-8.4824669999999998</v>
      </c>
      <c r="G404" s="8">
        <f>IFERROR(VLOOKUP(LOG_RESEAU[[#This Row],[Cell_ID]],Registre_Maintenance!A:D,4,FALSE),"Non trouvé")</f>
        <v>21.897777999999999</v>
      </c>
      <c r="H404" s="6" t="str">
        <f>IFERROR(VLOOKUP(LOG_RESEAU[[#This Row],[Cell_ID]],Registre_Maintenance!A:E,5,FALSE),"Non trouvé")</f>
        <v>5G</v>
      </c>
      <c r="I404" s="6" t="str">
        <f>IFERROR(VLOOKUP(LOG_RESEAU[[#This Row],[Cell_ID]],Registre_Maintenance!A:F,6,FALSE),"Non trouvé")</f>
        <v>Ericsson</v>
      </c>
      <c r="J404" s="6" t="str">
        <f t="shared" si="18"/>
        <v>OK</v>
      </c>
      <c r="K404" s="6">
        <f t="shared" si="19"/>
        <v>4</v>
      </c>
      <c r="L404" s="6">
        <f t="shared" si="20"/>
        <v>300</v>
      </c>
    </row>
    <row r="405" spans="1:12" ht="15.75" x14ac:dyDescent="0.25">
      <c r="A405" s="6" t="s">
        <v>924</v>
      </c>
      <c r="B405" s="7">
        <v>45221.376388888893</v>
      </c>
      <c r="C405" s="6">
        <v>59</v>
      </c>
      <c r="D405" s="6" t="s">
        <v>792</v>
      </c>
      <c r="E405" s="8" t="str">
        <f>IFERROR(VLOOKUP(LOG_RESEAU[[#This Row],[Cell_ID]],Registre_Maintenance!A:B,2,FALSE),"Non trouvé")</f>
        <v>Maniema</v>
      </c>
      <c r="F405" s="8">
        <f>IFERROR(VLOOKUP(LOG_RESEAU[[#This Row],[Cell_ID]],Registre_Maintenance!A:C,3,FALSE),"Non trouvé")</f>
        <v>-8.4824669999999998</v>
      </c>
      <c r="G405" s="8">
        <f>IFERROR(VLOOKUP(LOG_RESEAU[[#This Row],[Cell_ID]],Registre_Maintenance!A:D,4,FALSE),"Non trouvé")</f>
        <v>21.897777999999999</v>
      </c>
      <c r="H405" s="6" t="str">
        <f>IFERROR(VLOOKUP(LOG_RESEAU[[#This Row],[Cell_ID]],Registre_Maintenance!A:E,5,FALSE),"Non trouvé")</f>
        <v>5G</v>
      </c>
      <c r="I405" s="6" t="str">
        <f>IFERROR(VLOOKUP(LOG_RESEAU[[#This Row],[Cell_ID]],Registre_Maintenance!A:F,6,FALSE),"Non trouvé")</f>
        <v>Ericsson</v>
      </c>
      <c r="J405" s="6" t="str">
        <f t="shared" si="18"/>
        <v>OK</v>
      </c>
      <c r="K405" s="6">
        <f t="shared" si="19"/>
        <v>4</v>
      </c>
      <c r="L405" s="6">
        <f t="shared" si="20"/>
        <v>300</v>
      </c>
    </row>
    <row r="406" spans="1:12" ht="15.75" x14ac:dyDescent="0.25">
      <c r="A406" s="6" t="s">
        <v>1008</v>
      </c>
      <c r="B406" s="7">
        <v>45210.458333333343</v>
      </c>
      <c r="C406" s="6">
        <v>73</v>
      </c>
      <c r="D406" s="6" t="s">
        <v>800</v>
      </c>
      <c r="E406" s="8" t="str">
        <f>IFERROR(VLOOKUP(LOG_RESEAU[[#This Row],[Cell_ID]],Registre_Maintenance!A:B,2,FALSE),"Non trouvé")</f>
        <v>Ituri</v>
      </c>
      <c r="F406" s="8">
        <f>IFERROR(VLOOKUP(LOG_RESEAU[[#This Row],[Cell_ID]],Registre_Maintenance!A:C,3,FALSE),"Non trouvé")</f>
        <v>0.24202000000000001</v>
      </c>
      <c r="G406" s="8">
        <f>IFERROR(VLOOKUP(LOG_RESEAU[[#This Row],[Cell_ID]],Registre_Maintenance!A:D,4,FALSE),"Non trouvé")</f>
        <v>17.396256999999999</v>
      </c>
      <c r="H406" s="6" t="str">
        <f>IFERROR(VLOOKUP(LOG_RESEAU[[#This Row],[Cell_ID]],Registre_Maintenance!A:E,5,FALSE),"Non trouvé")</f>
        <v>4G</v>
      </c>
      <c r="I406" s="6" t="str">
        <f>IFERROR(VLOOKUP(LOG_RESEAU[[#This Row],[Cell_ID]],Registre_Maintenance!A:F,6,FALSE),"Non trouvé")</f>
        <v>Huawei</v>
      </c>
      <c r="J406" s="6" t="str">
        <f t="shared" si="18"/>
        <v>OK</v>
      </c>
      <c r="K406" s="6">
        <f t="shared" si="19"/>
        <v>2</v>
      </c>
      <c r="L406" s="6">
        <f t="shared" si="20"/>
        <v>137</v>
      </c>
    </row>
    <row r="407" spans="1:12" ht="15.75" x14ac:dyDescent="0.25">
      <c r="A407" s="6" t="s">
        <v>1008</v>
      </c>
      <c r="B407" s="7">
        <v>45206.167361111111</v>
      </c>
      <c r="C407" s="6">
        <v>64</v>
      </c>
      <c r="D407" s="6" t="s">
        <v>800</v>
      </c>
      <c r="E407" s="8" t="str">
        <f>IFERROR(VLOOKUP(LOG_RESEAU[[#This Row],[Cell_ID]],Registre_Maintenance!A:B,2,FALSE),"Non trouvé")</f>
        <v>Ituri</v>
      </c>
      <c r="F407" s="8">
        <f>IFERROR(VLOOKUP(LOG_RESEAU[[#This Row],[Cell_ID]],Registre_Maintenance!A:C,3,FALSE),"Non trouvé")</f>
        <v>0.24202000000000001</v>
      </c>
      <c r="G407" s="8">
        <f>IFERROR(VLOOKUP(LOG_RESEAU[[#This Row],[Cell_ID]],Registre_Maintenance!A:D,4,FALSE),"Non trouvé")</f>
        <v>17.396256999999999</v>
      </c>
      <c r="H407" s="6" t="str">
        <f>IFERROR(VLOOKUP(LOG_RESEAU[[#This Row],[Cell_ID]],Registre_Maintenance!A:E,5,FALSE),"Non trouvé")</f>
        <v>4G</v>
      </c>
      <c r="I407" s="6" t="str">
        <f>IFERROR(VLOOKUP(LOG_RESEAU[[#This Row],[Cell_ID]],Registre_Maintenance!A:F,6,FALSE),"Non trouvé")</f>
        <v>Huawei</v>
      </c>
      <c r="J407" s="6" t="str">
        <f t="shared" si="18"/>
        <v>OK</v>
      </c>
      <c r="K407" s="6">
        <f t="shared" si="19"/>
        <v>2</v>
      </c>
      <c r="L407" s="6">
        <f t="shared" si="20"/>
        <v>137</v>
      </c>
    </row>
    <row r="408" spans="1:12" ht="15.75" x14ac:dyDescent="0.25">
      <c r="A408" s="6" t="s">
        <v>929</v>
      </c>
      <c r="B408" s="7">
        <v>45217.175000000003</v>
      </c>
      <c r="C408" s="6">
        <v>69</v>
      </c>
      <c r="D408" s="6" t="s">
        <v>800</v>
      </c>
      <c r="E408" s="8" t="str">
        <f>IFERROR(VLOOKUP(LOG_RESEAU[[#This Row],[Cell_ID]],Registre_Maintenance!A:B,2,FALSE),"Non trouvé")</f>
        <v>Tshuapa</v>
      </c>
      <c r="F408" s="8">
        <f>IFERROR(VLOOKUP(LOG_RESEAU[[#This Row],[Cell_ID]],Registre_Maintenance!A:C,3,FALSE),"Non trouvé")</f>
        <v>-10.577049000000001</v>
      </c>
      <c r="G408" s="8">
        <f>IFERROR(VLOOKUP(LOG_RESEAU[[#This Row],[Cell_ID]],Registre_Maintenance!A:D,4,FALSE),"Non trouvé")</f>
        <v>23.721854</v>
      </c>
      <c r="H408" s="6" t="str">
        <f>IFERROR(VLOOKUP(LOG_RESEAU[[#This Row],[Cell_ID]],Registre_Maintenance!A:E,5,FALSE),"Non trouvé")</f>
        <v>4G</v>
      </c>
      <c r="I408" s="6" t="str">
        <f>IFERROR(VLOOKUP(LOG_RESEAU[[#This Row],[Cell_ID]],Registre_Maintenance!A:F,6,FALSE),"Non trouvé")</f>
        <v>ZTE</v>
      </c>
      <c r="J408" s="6" t="str">
        <f t="shared" si="18"/>
        <v>OK</v>
      </c>
      <c r="K408" s="6">
        <f t="shared" si="19"/>
        <v>9</v>
      </c>
      <c r="L408" s="6">
        <f t="shared" si="20"/>
        <v>608</v>
      </c>
    </row>
    <row r="409" spans="1:12" ht="15.75" x14ac:dyDescent="0.25">
      <c r="A409" s="6" t="s">
        <v>929</v>
      </c>
      <c r="B409" s="7" t="s">
        <v>970</v>
      </c>
      <c r="C409" s="6">
        <v>88</v>
      </c>
      <c r="D409" s="6" t="s">
        <v>794</v>
      </c>
      <c r="E409" s="8" t="str">
        <f>IFERROR(VLOOKUP(LOG_RESEAU[[#This Row],[Cell_ID]],Registre_Maintenance!A:B,2,FALSE),"Non trouvé")</f>
        <v>Tshuapa</v>
      </c>
      <c r="F409" s="8">
        <f>IFERROR(VLOOKUP(LOG_RESEAU[[#This Row],[Cell_ID]],Registre_Maintenance!A:C,3,FALSE),"Non trouvé")</f>
        <v>-10.577049000000001</v>
      </c>
      <c r="G409" s="8">
        <f>IFERROR(VLOOKUP(LOG_RESEAU[[#This Row],[Cell_ID]],Registre_Maintenance!A:D,4,FALSE),"Non trouvé")</f>
        <v>23.721854</v>
      </c>
      <c r="H409" s="6" t="str">
        <f>IFERROR(VLOOKUP(LOG_RESEAU[[#This Row],[Cell_ID]],Registre_Maintenance!A:E,5,FALSE),"Non trouvé")</f>
        <v>4G</v>
      </c>
      <c r="I409" s="6" t="str">
        <f>IFERROR(VLOOKUP(LOG_RESEAU[[#This Row],[Cell_ID]],Registre_Maintenance!A:F,6,FALSE),"Non trouvé")</f>
        <v>ZTE</v>
      </c>
      <c r="J409" s="6" t="str">
        <f t="shared" si="18"/>
        <v>OK</v>
      </c>
      <c r="K409" s="6">
        <f t="shared" si="19"/>
        <v>9</v>
      </c>
      <c r="L409" s="6">
        <f t="shared" si="20"/>
        <v>608</v>
      </c>
    </row>
    <row r="410" spans="1:12" ht="15.75" x14ac:dyDescent="0.25">
      <c r="A410" s="6" t="s">
        <v>929</v>
      </c>
      <c r="B410" s="7">
        <v>45211.963888888888</v>
      </c>
      <c r="C410" s="6">
        <v>45</v>
      </c>
      <c r="D410" s="6" t="s">
        <v>794</v>
      </c>
      <c r="E410" s="8" t="str">
        <f>IFERROR(VLOOKUP(LOG_RESEAU[[#This Row],[Cell_ID]],Registre_Maintenance!A:B,2,FALSE),"Non trouvé")</f>
        <v>Tshuapa</v>
      </c>
      <c r="F410" s="8">
        <f>IFERROR(VLOOKUP(LOG_RESEAU[[#This Row],[Cell_ID]],Registre_Maintenance!A:C,3,FALSE),"Non trouvé")</f>
        <v>-10.577049000000001</v>
      </c>
      <c r="G410" s="8">
        <f>IFERROR(VLOOKUP(LOG_RESEAU[[#This Row],[Cell_ID]],Registre_Maintenance!A:D,4,FALSE),"Non trouvé")</f>
        <v>23.721854</v>
      </c>
      <c r="H410" s="6" t="str">
        <f>IFERROR(VLOOKUP(LOG_RESEAU[[#This Row],[Cell_ID]],Registre_Maintenance!A:E,5,FALSE),"Non trouvé")</f>
        <v>4G</v>
      </c>
      <c r="I410" s="6" t="str">
        <f>IFERROR(VLOOKUP(LOG_RESEAU[[#This Row],[Cell_ID]],Registre_Maintenance!A:F,6,FALSE),"Non trouvé")</f>
        <v>ZTE</v>
      </c>
      <c r="J410" s="6" t="str">
        <f t="shared" si="18"/>
        <v>OK</v>
      </c>
      <c r="K410" s="6">
        <f t="shared" si="19"/>
        <v>9</v>
      </c>
      <c r="L410" s="6">
        <f t="shared" si="20"/>
        <v>608</v>
      </c>
    </row>
    <row r="411" spans="1:12" ht="15.75" x14ac:dyDescent="0.25">
      <c r="A411" s="6" t="s">
        <v>929</v>
      </c>
      <c r="B411" s="7">
        <v>45225.77847222222</v>
      </c>
      <c r="C411" s="6">
        <v>22</v>
      </c>
      <c r="D411" s="6" t="s">
        <v>800</v>
      </c>
      <c r="E411" s="8" t="str">
        <f>IFERROR(VLOOKUP(LOG_RESEAU[[#This Row],[Cell_ID]],Registre_Maintenance!A:B,2,FALSE),"Non trouvé")</f>
        <v>Tshuapa</v>
      </c>
      <c r="F411" s="8">
        <f>IFERROR(VLOOKUP(LOG_RESEAU[[#This Row],[Cell_ID]],Registre_Maintenance!A:C,3,FALSE),"Non trouvé")</f>
        <v>-10.577049000000001</v>
      </c>
      <c r="G411" s="8">
        <f>IFERROR(VLOOKUP(LOG_RESEAU[[#This Row],[Cell_ID]],Registre_Maintenance!A:D,4,FALSE),"Non trouvé")</f>
        <v>23.721854</v>
      </c>
      <c r="H411" s="6" t="str">
        <f>IFERROR(VLOOKUP(LOG_RESEAU[[#This Row],[Cell_ID]],Registre_Maintenance!A:E,5,FALSE),"Non trouvé")</f>
        <v>4G</v>
      </c>
      <c r="I411" s="6" t="str">
        <f>IFERROR(VLOOKUP(LOG_RESEAU[[#This Row],[Cell_ID]],Registre_Maintenance!A:F,6,FALSE),"Non trouvé")</f>
        <v>ZTE</v>
      </c>
      <c r="J411" s="6" t="str">
        <f t="shared" si="18"/>
        <v>OK</v>
      </c>
      <c r="K411" s="6">
        <f t="shared" si="19"/>
        <v>9</v>
      </c>
      <c r="L411" s="6">
        <f t="shared" si="20"/>
        <v>608</v>
      </c>
    </row>
    <row r="412" spans="1:12" ht="15.75" x14ac:dyDescent="0.25">
      <c r="A412" s="6" t="s">
        <v>929</v>
      </c>
      <c r="B412" s="7">
        <v>45204.47152777778</v>
      </c>
      <c r="C412" s="6">
        <v>93</v>
      </c>
      <c r="D412" s="6" t="s">
        <v>794</v>
      </c>
      <c r="E412" s="8" t="str">
        <f>IFERROR(VLOOKUP(LOG_RESEAU[[#This Row],[Cell_ID]],Registre_Maintenance!A:B,2,FALSE),"Non trouvé")</f>
        <v>Tshuapa</v>
      </c>
      <c r="F412" s="8">
        <f>IFERROR(VLOOKUP(LOG_RESEAU[[#This Row],[Cell_ID]],Registre_Maintenance!A:C,3,FALSE),"Non trouvé")</f>
        <v>-10.577049000000001</v>
      </c>
      <c r="G412" s="8">
        <f>IFERROR(VLOOKUP(LOG_RESEAU[[#This Row],[Cell_ID]],Registre_Maintenance!A:D,4,FALSE),"Non trouvé")</f>
        <v>23.721854</v>
      </c>
      <c r="H412" s="6" t="str">
        <f>IFERROR(VLOOKUP(LOG_RESEAU[[#This Row],[Cell_ID]],Registre_Maintenance!A:E,5,FALSE),"Non trouvé")</f>
        <v>4G</v>
      </c>
      <c r="I412" s="6" t="str">
        <f>IFERROR(VLOOKUP(LOG_RESEAU[[#This Row],[Cell_ID]],Registre_Maintenance!A:F,6,FALSE),"Non trouvé")</f>
        <v>ZTE</v>
      </c>
      <c r="J412" s="6" t="str">
        <f t="shared" si="18"/>
        <v>OK</v>
      </c>
      <c r="K412" s="6">
        <f t="shared" si="19"/>
        <v>9</v>
      </c>
      <c r="L412" s="6">
        <f t="shared" si="20"/>
        <v>608</v>
      </c>
    </row>
    <row r="413" spans="1:12" ht="15.75" x14ac:dyDescent="0.25">
      <c r="A413" s="6" t="s">
        <v>929</v>
      </c>
      <c r="B413" s="7">
        <v>45207.410416666673</v>
      </c>
      <c r="C413" s="6">
        <v>52</v>
      </c>
      <c r="D413" s="6" t="s">
        <v>792</v>
      </c>
      <c r="E413" s="8" t="str">
        <f>IFERROR(VLOOKUP(LOG_RESEAU[[#This Row],[Cell_ID]],Registre_Maintenance!A:B,2,FALSE),"Non trouvé")</f>
        <v>Tshuapa</v>
      </c>
      <c r="F413" s="8">
        <f>IFERROR(VLOOKUP(LOG_RESEAU[[#This Row],[Cell_ID]],Registre_Maintenance!A:C,3,FALSE),"Non trouvé")</f>
        <v>-10.577049000000001</v>
      </c>
      <c r="G413" s="8">
        <f>IFERROR(VLOOKUP(LOG_RESEAU[[#This Row],[Cell_ID]],Registre_Maintenance!A:D,4,FALSE),"Non trouvé")</f>
        <v>23.721854</v>
      </c>
      <c r="H413" s="6" t="str">
        <f>IFERROR(VLOOKUP(LOG_RESEAU[[#This Row],[Cell_ID]],Registre_Maintenance!A:E,5,FALSE),"Non trouvé")</f>
        <v>4G</v>
      </c>
      <c r="I413" s="6" t="str">
        <f>IFERROR(VLOOKUP(LOG_RESEAU[[#This Row],[Cell_ID]],Registre_Maintenance!A:F,6,FALSE),"Non trouvé")</f>
        <v>ZTE</v>
      </c>
      <c r="J413" s="6" t="str">
        <f t="shared" si="18"/>
        <v>OK</v>
      </c>
      <c r="K413" s="6">
        <f t="shared" si="19"/>
        <v>9</v>
      </c>
      <c r="L413" s="6">
        <f t="shared" si="20"/>
        <v>608</v>
      </c>
    </row>
    <row r="414" spans="1:12" ht="15.75" x14ac:dyDescent="0.25">
      <c r="A414" s="6" t="s">
        <v>929</v>
      </c>
      <c r="B414" s="7">
        <v>45202.04791666667</v>
      </c>
      <c r="C414" s="6">
        <v>115</v>
      </c>
      <c r="D414" s="6" t="s">
        <v>800</v>
      </c>
      <c r="E414" s="8" t="str">
        <f>IFERROR(VLOOKUP(LOG_RESEAU[[#This Row],[Cell_ID]],Registre_Maintenance!A:B,2,FALSE),"Non trouvé")</f>
        <v>Tshuapa</v>
      </c>
      <c r="F414" s="8">
        <f>IFERROR(VLOOKUP(LOG_RESEAU[[#This Row],[Cell_ID]],Registre_Maintenance!A:C,3,FALSE),"Non trouvé")</f>
        <v>-10.577049000000001</v>
      </c>
      <c r="G414" s="8">
        <f>IFERROR(VLOOKUP(LOG_RESEAU[[#This Row],[Cell_ID]],Registre_Maintenance!A:D,4,FALSE),"Non trouvé")</f>
        <v>23.721854</v>
      </c>
      <c r="H414" s="6" t="str">
        <f>IFERROR(VLOOKUP(LOG_RESEAU[[#This Row],[Cell_ID]],Registre_Maintenance!A:E,5,FALSE),"Non trouvé")</f>
        <v>4G</v>
      </c>
      <c r="I414" s="6" t="str">
        <f>IFERROR(VLOOKUP(LOG_RESEAU[[#This Row],[Cell_ID]],Registre_Maintenance!A:F,6,FALSE),"Non trouvé")</f>
        <v>ZTE</v>
      </c>
      <c r="J414" s="6" t="str">
        <f t="shared" si="18"/>
        <v>OK</v>
      </c>
      <c r="K414" s="6">
        <f t="shared" si="19"/>
        <v>9</v>
      </c>
      <c r="L414" s="6">
        <f t="shared" si="20"/>
        <v>608</v>
      </c>
    </row>
    <row r="415" spans="1:12" ht="15.75" x14ac:dyDescent="0.25">
      <c r="A415" s="6" t="s">
        <v>929</v>
      </c>
      <c r="B415" s="7">
        <v>45225.979166666657</v>
      </c>
      <c r="C415" s="6">
        <v>6</v>
      </c>
      <c r="D415" s="6" t="s">
        <v>794</v>
      </c>
      <c r="E415" s="8" t="str">
        <f>IFERROR(VLOOKUP(LOG_RESEAU[[#This Row],[Cell_ID]],Registre_Maintenance!A:B,2,FALSE),"Non trouvé")</f>
        <v>Tshuapa</v>
      </c>
      <c r="F415" s="8">
        <f>IFERROR(VLOOKUP(LOG_RESEAU[[#This Row],[Cell_ID]],Registre_Maintenance!A:C,3,FALSE),"Non trouvé")</f>
        <v>-10.577049000000001</v>
      </c>
      <c r="G415" s="8">
        <f>IFERROR(VLOOKUP(LOG_RESEAU[[#This Row],[Cell_ID]],Registre_Maintenance!A:D,4,FALSE),"Non trouvé")</f>
        <v>23.721854</v>
      </c>
      <c r="H415" s="6" t="str">
        <f>IFERROR(VLOOKUP(LOG_RESEAU[[#This Row],[Cell_ID]],Registre_Maintenance!A:E,5,FALSE),"Non trouvé")</f>
        <v>4G</v>
      </c>
      <c r="I415" s="6" t="str">
        <f>IFERROR(VLOOKUP(LOG_RESEAU[[#This Row],[Cell_ID]],Registre_Maintenance!A:F,6,FALSE),"Non trouvé")</f>
        <v>ZTE</v>
      </c>
      <c r="J415" s="6" t="str">
        <f t="shared" si="18"/>
        <v>OK</v>
      </c>
      <c r="K415" s="6">
        <f t="shared" si="19"/>
        <v>9</v>
      </c>
      <c r="L415" s="6">
        <f t="shared" si="20"/>
        <v>608</v>
      </c>
    </row>
    <row r="416" spans="1:12" ht="15.75" x14ac:dyDescent="0.25">
      <c r="A416" s="6" t="s">
        <v>929</v>
      </c>
      <c r="B416" s="7">
        <v>45219.65625</v>
      </c>
      <c r="C416" s="6">
        <v>118</v>
      </c>
      <c r="D416" s="6" t="s">
        <v>800</v>
      </c>
      <c r="E416" s="8" t="str">
        <f>IFERROR(VLOOKUP(LOG_RESEAU[[#This Row],[Cell_ID]],Registre_Maintenance!A:B,2,FALSE),"Non trouvé")</f>
        <v>Tshuapa</v>
      </c>
      <c r="F416" s="8">
        <f>IFERROR(VLOOKUP(LOG_RESEAU[[#This Row],[Cell_ID]],Registre_Maintenance!A:C,3,FALSE),"Non trouvé")</f>
        <v>-10.577049000000001</v>
      </c>
      <c r="G416" s="8">
        <f>IFERROR(VLOOKUP(LOG_RESEAU[[#This Row],[Cell_ID]],Registre_Maintenance!A:D,4,FALSE),"Non trouvé")</f>
        <v>23.721854</v>
      </c>
      <c r="H416" s="6" t="str">
        <f>IFERROR(VLOOKUP(LOG_RESEAU[[#This Row],[Cell_ID]],Registre_Maintenance!A:E,5,FALSE),"Non trouvé")</f>
        <v>4G</v>
      </c>
      <c r="I416" s="6" t="str">
        <f>IFERROR(VLOOKUP(LOG_RESEAU[[#This Row],[Cell_ID]],Registre_Maintenance!A:F,6,FALSE),"Non trouvé")</f>
        <v>ZTE</v>
      </c>
      <c r="J416" s="6" t="str">
        <f t="shared" si="18"/>
        <v>OK</v>
      </c>
      <c r="K416" s="6">
        <f t="shared" si="19"/>
        <v>9</v>
      </c>
      <c r="L416" s="6">
        <f t="shared" si="20"/>
        <v>608</v>
      </c>
    </row>
    <row r="417" spans="1:12" ht="15.75" x14ac:dyDescent="0.25">
      <c r="A417" s="6" t="s">
        <v>871</v>
      </c>
      <c r="B417" s="7">
        <v>45207.362500000003</v>
      </c>
      <c r="C417" s="6">
        <v>82</v>
      </c>
      <c r="D417" s="6" t="s">
        <v>794</v>
      </c>
      <c r="E417" s="8" t="str">
        <f>IFERROR(VLOOKUP(LOG_RESEAU[[#This Row],[Cell_ID]],Registre_Maintenance!A:B,2,FALSE),"Non trouvé")</f>
        <v>Haut-Katanga</v>
      </c>
      <c r="F417" s="8">
        <f>IFERROR(VLOOKUP(LOG_RESEAU[[#This Row],[Cell_ID]],Registre_Maintenance!A:C,3,FALSE),"Non trouvé")</f>
        <v>-12.776386</v>
      </c>
      <c r="G417" s="8">
        <f>IFERROR(VLOOKUP(LOG_RESEAU[[#This Row],[Cell_ID]],Registre_Maintenance!A:D,4,FALSE),"Non trouvé")</f>
        <v>14.157596</v>
      </c>
      <c r="H417" s="6" t="str">
        <f>IFERROR(VLOOKUP(LOG_RESEAU[[#This Row],[Cell_ID]],Registre_Maintenance!A:E,5,FALSE),"Non trouvé")</f>
        <v>3G</v>
      </c>
      <c r="I417" s="6" t="str">
        <f>IFERROR(VLOOKUP(LOG_RESEAU[[#This Row],[Cell_ID]],Registre_Maintenance!A:F,6,FALSE),"Non trouvé")</f>
        <v>Nokia</v>
      </c>
      <c r="J417" s="6" t="str">
        <f t="shared" si="18"/>
        <v>OK</v>
      </c>
      <c r="K417" s="6">
        <f t="shared" si="19"/>
        <v>6</v>
      </c>
      <c r="L417" s="6">
        <f t="shared" si="20"/>
        <v>480</v>
      </c>
    </row>
    <row r="418" spans="1:12" ht="15.75" x14ac:dyDescent="0.25">
      <c r="A418" s="6" t="s">
        <v>871</v>
      </c>
      <c r="B418" s="7">
        <v>45223.710416666669</v>
      </c>
      <c r="C418" s="6">
        <v>62</v>
      </c>
      <c r="D418" s="6" t="s">
        <v>800</v>
      </c>
      <c r="E418" s="8" t="str">
        <f>IFERROR(VLOOKUP(LOG_RESEAU[[#This Row],[Cell_ID]],Registre_Maintenance!A:B,2,FALSE),"Non trouvé")</f>
        <v>Haut-Katanga</v>
      </c>
      <c r="F418" s="8">
        <f>IFERROR(VLOOKUP(LOG_RESEAU[[#This Row],[Cell_ID]],Registre_Maintenance!A:C,3,FALSE),"Non trouvé")</f>
        <v>-12.776386</v>
      </c>
      <c r="G418" s="8">
        <f>IFERROR(VLOOKUP(LOG_RESEAU[[#This Row],[Cell_ID]],Registre_Maintenance!A:D,4,FALSE),"Non trouvé")</f>
        <v>14.157596</v>
      </c>
      <c r="H418" s="6" t="str">
        <f>IFERROR(VLOOKUP(LOG_RESEAU[[#This Row],[Cell_ID]],Registre_Maintenance!A:E,5,FALSE),"Non trouvé")</f>
        <v>3G</v>
      </c>
      <c r="I418" s="6" t="str">
        <f>IFERROR(VLOOKUP(LOG_RESEAU[[#This Row],[Cell_ID]],Registre_Maintenance!A:F,6,FALSE),"Non trouvé")</f>
        <v>Nokia</v>
      </c>
      <c r="J418" s="6" t="str">
        <f t="shared" si="18"/>
        <v>OK</v>
      </c>
      <c r="K418" s="6">
        <f t="shared" si="19"/>
        <v>6</v>
      </c>
      <c r="L418" s="6">
        <f t="shared" si="20"/>
        <v>480</v>
      </c>
    </row>
    <row r="419" spans="1:12" ht="15.75" x14ac:dyDescent="0.25">
      <c r="A419" s="6" t="s">
        <v>871</v>
      </c>
      <c r="B419" s="7">
        <v>45209.679861111108</v>
      </c>
      <c r="C419" s="6">
        <v>103</v>
      </c>
      <c r="D419" s="6" t="s">
        <v>800</v>
      </c>
      <c r="E419" s="8" t="str">
        <f>IFERROR(VLOOKUP(LOG_RESEAU[[#This Row],[Cell_ID]],Registre_Maintenance!A:B,2,FALSE),"Non trouvé")</f>
        <v>Haut-Katanga</v>
      </c>
      <c r="F419" s="8">
        <f>IFERROR(VLOOKUP(LOG_RESEAU[[#This Row],[Cell_ID]],Registre_Maintenance!A:C,3,FALSE),"Non trouvé")</f>
        <v>-12.776386</v>
      </c>
      <c r="G419" s="8">
        <f>IFERROR(VLOOKUP(LOG_RESEAU[[#This Row],[Cell_ID]],Registre_Maintenance!A:D,4,FALSE),"Non trouvé")</f>
        <v>14.157596</v>
      </c>
      <c r="H419" s="6" t="str">
        <f>IFERROR(VLOOKUP(LOG_RESEAU[[#This Row],[Cell_ID]],Registre_Maintenance!A:E,5,FALSE),"Non trouvé")</f>
        <v>3G</v>
      </c>
      <c r="I419" s="6" t="str">
        <f>IFERROR(VLOOKUP(LOG_RESEAU[[#This Row],[Cell_ID]],Registre_Maintenance!A:F,6,FALSE),"Non trouvé")</f>
        <v>Nokia</v>
      </c>
      <c r="J419" s="6" t="str">
        <f t="shared" si="18"/>
        <v>OK</v>
      </c>
      <c r="K419" s="6">
        <f t="shared" si="19"/>
        <v>6</v>
      </c>
      <c r="L419" s="6">
        <f t="shared" si="20"/>
        <v>480</v>
      </c>
    </row>
    <row r="420" spans="1:12" ht="15.75" x14ac:dyDescent="0.25">
      <c r="A420" s="6" t="s">
        <v>871</v>
      </c>
      <c r="B420" s="7">
        <v>45205.399305555547</v>
      </c>
      <c r="C420" s="6">
        <v>55</v>
      </c>
      <c r="D420" s="6" t="s">
        <v>794</v>
      </c>
      <c r="E420" s="8" t="str">
        <f>IFERROR(VLOOKUP(LOG_RESEAU[[#This Row],[Cell_ID]],Registre_Maintenance!A:B,2,FALSE),"Non trouvé")</f>
        <v>Haut-Katanga</v>
      </c>
      <c r="F420" s="8">
        <f>IFERROR(VLOOKUP(LOG_RESEAU[[#This Row],[Cell_ID]],Registre_Maintenance!A:C,3,FALSE),"Non trouvé")</f>
        <v>-12.776386</v>
      </c>
      <c r="G420" s="8">
        <f>IFERROR(VLOOKUP(LOG_RESEAU[[#This Row],[Cell_ID]],Registre_Maintenance!A:D,4,FALSE),"Non trouvé")</f>
        <v>14.157596</v>
      </c>
      <c r="H420" s="6" t="str">
        <f>IFERROR(VLOOKUP(LOG_RESEAU[[#This Row],[Cell_ID]],Registre_Maintenance!A:E,5,FALSE),"Non trouvé")</f>
        <v>3G</v>
      </c>
      <c r="I420" s="6" t="str">
        <f>IFERROR(VLOOKUP(LOG_RESEAU[[#This Row],[Cell_ID]],Registre_Maintenance!A:F,6,FALSE),"Non trouvé")</f>
        <v>Nokia</v>
      </c>
      <c r="J420" s="6" t="str">
        <f t="shared" si="18"/>
        <v>OK</v>
      </c>
      <c r="K420" s="6">
        <f t="shared" si="19"/>
        <v>6</v>
      </c>
      <c r="L420" s="6">
        <f t="shared" si="20"/>
        <v>480</v>
      </c>
    </row>
    <row r="421" spans="1:12" ht="15.75" x14ac:dyDescent="0.25">
      <c r="A421" s="6" t="s">
        <v>871</v>
      </c>
      <c r="B421" s="7">
        <v>45206.201388888891</v>
      </c>
      <c r="C421" s="6">
        <v>73</v>
      </c>
      <c r="D421" s="6" t="s">
        <v>794</v>
      </c>
      <c r="E421" s="8" t="str">
        <f>IFERROR(VLOOKUP(LOG_RESEAU[[#This Row],[Cell_ID]],Registre_Maintenance!A:B,2,FALSE),"Non trouvé")</f>
        <v>Haut-Katanga</v>
      </c>
      <c r="F421" s="8">
        <f>IFERROR(VLOOKUP(LOG_RESEAU[[#This Row],[Cell_ID]],Registre_Maintenance!A:C,3,FALSE),"Non trouvé")</f>
        <v>-12.776386</v>
      </c>
      <c r="G421" s="8">
        <f>IFERROR(VLOOKUP(LOG_RESEAU[[#This Row],[Cell_ID]],Registre_Maintenance!A:D,4,FALSE),"Non trouvé")</f>
        <v>14.157596</v>
      </c>
      <c r="H421" s="6" t="str">
        <f>IFERROR(VLOOKUP(LOG_RESEAU[[#This Row],[Cell_ID]],Registre_Maintenance!A:E,5,FALSE),"Non trouvé")</f>
        <v>3G</v>
      </c>
      <c r="I421" s="6" t="str">
        <f>IFERROR(VLOOKUP(LOG_RESEAU[[#This Row],[Cell_ID]],Registre_Maintenance!A:F,6,FALSE),"Non trouvé")</f>
        <v>Nokia</v>
      </c>
      <c r="J421" s="6" t="str">
        <f t="shared" si="18"/>
        <v>OK</v>
      </c>
      <c r="K421" s="6">
        <f t="shared" si="19"/>
        <v>6</v>
      </c>
      <c r="L421" s="6">
        <f t="shared" si="20"/>
        <v>480</v>
      </c>
    </row>
    <row r="422" spans="1:12" ht="15.75" x14ac:dyDescent="0.25">
      <c r="A422" s="6" t="s">
        <v>871</v>
      </c>
      <c r="B422" s="7">
        <v>45214.893750000003</v>
      </c>
      <c r="C422" s="6">
        <v>105</v>
      </c>
      <c r="D422" s="6" t="s">
        <v>794</v>
      </c>
      <c r="E422" s="8" t="str">
        <f>IFERROR(VLOOKUP(LOG_RESEAU[[#This Row],[Cell_ID]],Registre_Maintenance!A:B,2,FALSE),"Non trouvé")</f>
        <v>Haut-Katanga</v>
      </c>
      <c r="F422" s="8">
        <f>IFERROR(VLOOKUP(LOG_RESEAU[[#This Row],[Cell_ID]],Registre_Maintenance!A:C,3,FALSE),"Non trouvé")</f>
        <v>-12.776386</v>
      </c>
      <c r="G422" s="8">
        <f>IFERROR(VLOOKUP(LOG_RESEAU[[#This Row],[Cell_ID]],Registre_Maintenance!A:D,4,FALSE),"Non trouvé")</f>
        <v>14.157596</v>
      </c>
      <c r="H422" s="6" t="str">
        <f>IFERROR(VLOOKUP(LOG_RESEAU[[#This Row],[Cell_ID]],Registre_Maintenance!A:E,5,FALSE),"Non trouvé")</f>
        <v>3G</v>
      </c>
      <c r="I422" s="6" t="str">
        <f>IFERROR(VLOOKUP(LOG_RESEAU[[#This Row],[Cell_ID]],Registre_Maintenance!A:F,6,FALSE),"Non trouvé")</f>
        <v>Nokia</v>
      </c>
      <c r="J422" s="6" t="str">
        <f t="shared" si="18"/>
        <v>OK</v>
      </c>
      <c r="K422" s="6">
        <f t="shared" si="19"/>
        <v>6</v>
      </c>
      <c r="L422" s="6">
        <f t="shared" si="20"/>
        <v>480</v>
      </c>
    </row>
    <row r="423" spans="1:12" ht="15.75" x14ac:dyDescent="0.25">
      <c r="A423" s="6" t="s">
        <v>873</v>
      </c>
      <c r="B423" s="7">
        <v>45215.55</v>
      </c>
      <c r="C423" s="6">
        <v>52</v>
      </c>
      <c r="D423" s="6" t="s">
        <v>794</v>
      </c>
      <c r="E423" s="8" t="str">
        <f>IFERROR(VLOOKUP(LOG_RESEAU[[#This Row],[Cell_ID]],Registre_Maintenance!A:B,2,FALSE),"Non trouvé")</f>
        <v>Non trouvé</v>
      </c>
      <c r="F423" s="8" t="str">
        <f>IFERROR(VLOOKUP(LOG_RESEAU[[#This Row],[Cell_ID]],Registre_Maintenance!A:C,3,FALSE),"Non trouvé")</f>
        <v>Non trouvé</v>
      </c>
      <c r="G423" s="8" t="str">
        <f>IFERROR(VLOOKUP(LOG_RESEAU[[#This Row],[Cell_ID]],Registre_Maintenance!A:D,4,FALSE),"Non trouvé")</f>
        <v>Non trouvé</v>
      </c>
      <c r="H423" s="6" t="str">
        <f>IFERROR(VLOOKUP(LOG_RESEAU[[#This Row],[Cell_ID]],Registre_Maintenance!A:E,5,FALSE),"Non trouvé")</f>
        <v>Non trouvé</v>
      </c>
      <c r="I423" s="6" t="str">
        <f>IFERROR(VLOOKUP(LOG_RESEAU[[#This Row],[Cell_ID]],Registre_Maintenance!A:F,6,FALSE),"Non trouvé")</f>
        <v>Non trouvé</v>
      </c>
      <c r="J423" s="6" t="str">
        <f t="shared" si="18"/>
        <v>Antenne inconnue</v>
      </c>
      <c r="K423" s="6">
        <f t="shared" si="19"/>
        <v>4</v>
      </c>
      <c r="L423" s="6">
        <f t="shared" si="20"/>
        <v>167</v>
      </c>
    </row>
    <row r="424" spans="1:12" ht="15.75" x14ac:dyDescent="0.25">
      <c r="A424" s="6" t="s">
        <v>873</v>
      </c>
      <c r="B424" s="7">
        <v>45223.904861111107</v>
      </c>
      <c r="C424" s="6">
        <v>46</v>
      </c>
      <c r="D424" s="6" t="s">
        <v>792</v>
      </c>
      <c r="E424" s="8" t="str">
        <f>IFERROR(VLOOKUP(LOG_RESEAU[[#This Row],[Cell_ID]],Registre_Maintenance!A:B,2,FALSE),"Non trouvé")</f>
        <v>Non trouvé</v>
      </c>
      <c r="F424" s="8" t="str">
        <f>IFERROR(VLOOKUP(LOG_RESEAU[[#This Row],[Cell_ID]],Registre_Maintenance!A:C,3,FALSE),"Non trouvé")</f>
        <v>Non trouvé</v>
      </c>
      <c r="G424" s="8" t="str">
        <f>IFERROR(VLOOKUP(LOG_RESEAU[[#This Row],[Cell_ID]],Registre_Maintenance!A:D,4,FALSE),"Non trouvé")</f>
        <v>Non trouvé</v>
      </c>
      <c r="H424" s="6" t="str">
        <f>IFERROR(VLOOKUP(LOG_RESEAU[[#This Row],[Cell_ID]],Registre_Maintenance!A:E,5,FALSE),"Non trouvé")</f>
        <v>Non trouvé</v>
      </c>
      <c r="I424" s="6" t="str">
        <f>IFERROR(VLOOKUP(LOG_RESEAU[[#This Row],[Cell_ID]],Registre_Maintenance!A:F,6,FALSE),"Non trouvé")</f>
        <v>Non trouvé</v>
      </c>
      <c r="J424" s="6" t="str">
        <f t="shared" si="18"/>
        <v>Antenne inconnue</v>
      </c>
      <c r="K424" s="6">
        <f t="shared" si="19"/>
        <v>4</v>
      </c>
      <c r="L424" s="6">
        <f t="shared" si="20"/>
        <v>167</v>
      </c>
    </row>
    <row r="425" spans="1:12" ht="15.75" x14ac:dyDescent="0.25">
      <c r="A425" s="6" t="s">
        <v>873</v>
      </c>
      <c r="B425" s="7">
        <v>45213.334722222222</v>
      </c>
      <c r="C425" s="6">
        <v>62</v>
      </c>
      <c r="D425" s="6" t="s">
        <v>794</v>
      </c>
      <c r="E425" s="8" t="str">
        <f>IFERROR(VLOOKUP(LOG_RESEAU[[#This Row],[Cell_ID]],Registre_Maintenance!A:B,2,FALSE),"Non trouvé")</f>
        <v>Non trouvé</v>
      </c>
      <c r="F425" s="8" t="str">
        <f>IFERROR(VLOOKUP(LOG_RESEAU[[#This Row],[Cell_ID]],Registre_Maintenance!A:C,3,FALSE),"Non trouvé")</f>
        <v>Non trouvé</v>
      </c>
      <c r="G425" s="8" t="str">
        <f>IFERROR(VLOOKUP(LOG_RESEAU[[#This Row],[Cell_ID]],Registre_Maintenance!A:D,4,FALSE),"Non trouvé")</f>
        <v>Non trouvé</v>
      </c>
      <c r="H425" s="6" t="str">
        <f>IFERROR(VLOOKUP(LOG_RESEAU[[#This Row],[Cell_ID]],Registre_Maintenance!A:E,5,FALSE),"Non trouvé")</f>
        <v>Non trouvé</v>
      </c>
      <c r="I425" s="6" t="str">
        <f>IFERROR(VLOOKUP(LOG_RESEAU[[#This Row],[Cell_ID]],Registre_Maintenance!A:F,6,FALSE),"Non trouvé")</f>
        <v>Non trouvé</v>
      </c>
      <c r="J425" s="6" t="str">
        <f t="shared" si="18"/>
        <v>Antenne inconnue</v>
      </c>
      <c r="K425" s="6">
        <f t="shared" si="19"/>
        <v>4</v>
      </c>
      <c r="L425" s="6">
        <f t="shared" si="20"/>
        <v>167</v>
      </c>
    </row>
    <row r="426" spans="1:12" ht="15.75" x14ac:dyDescent="0.25">
      <c r="A426" s="6" t="s">
        <v>873</v>
      </c>
      <c r="B426" s="7">
        <v>45226.656944444447</v>
      </c>
      <c r="C426" s="6">
        <v>7</v>
      </c>
      <c r="D426" s="6" t="s">
        <v>794</v>
      </c>
      <c r="E426" s="8" t="str">
        <f>IFERROR(VLOOKUP(LOG_RESEAU[[#This Row],[Cell_ID]],Registre_Maintenance!A:B,2,FALSE),"Non trouvé")</f>
        <v>Non trouvé</v>
      </c>
      <c r="F426" s="8" t="str">
        <f>IFERROR(VLOOKUP(LOG_RESEAU[[#This Row],[Cell_ID]],Registre_Maintenance!A:C,3,FALSE),"Non trouvé")</f>
        <v>Non trouvé</v>
      </c>
      <c r="G426" s="8" t="str">
        <f>IFERROR(VLOOKUP(LOG_RESEAU[[#This Row],[Cell_ID]],Registre_Maintenance!A:D,4,FALSE),"Non trouvé")</f>
        <v>Non trouvé</v>
      </c>
      <c r="H426" s="6" t="str">
        <f>IFERROR(VLOOKUP(LOG_RESEAU[[#This Row],[Cell_ID]],Registre_Maintenance!A:E,5,FALSE),"Non trouvé")</f>
        <v>Non trouvé</v>
      </c>
      <c r="I426" s="6" t="str">
        <f>IFERROR(VLOOKUP(LOG_RESEAU[[#This Row],[Cell_ID]],Registre_Maintenance!A:F,6,FALSE),"Non trouvé")</f>
        <v>Non trouvé</v>
      </c>
      <c r="J426" s="6" t="str">
        <f t="shared" si="18"/>
        <v>Antenne inconnue</v>
      </c>
      <c r="K426" s="6">
        <f t="shared" si="19"/>
        <v>4</v>
      </c>
      <c r="L426" s="6">
        <f t="shared" si="20"/>
        <v>167</v>
      </c>
    </row>
    <row r="427" spans="1:12" ht="15.75" x14ac:dyDescent="0.25">
      <c r="A427" s="6" t="s">
        <v>980</v>
      </c>
      <c r="B427" s="7">
        <v>45201.574305555558</v>
      </c>
      <c r="C427" s="6">
        <v>55</v>
      </c>
      <c r="D427" s="6" t="s">
        <v>794</v>
      </c>
      <c r="E427" s="8" t="str">
        <f>IFERROR(VLOOKUP(LOG_RESEAU[[#This Row],[Cell_ID]],Registre_Maintenance!A:B,2,FALSE),"Non trouvé")</f>
        <v>Kwilu</v>
      </c>
      <c r="F427" s="8">
        <f>IFERROR(VLOOKUP(LOG_RESEAU[[#This Row],[Cell_ID]],Registre_Maintenance!A:C,3,FALSE),"Non trouvé")</f>
        <v>2.413557</v>
      </c>
      <c r="G427" s="8">
        <f>IFERROR(VLOOKUP(LOG_RESEAU[[#This Row],[Cell_ID]],Registre_Maintenance!A:D,4,FALSE),"Non trouvé")</f>
        <v>19.690681999999999</v>
      </c>
      <c r="H427" s="6" t="str">
        <f>IFERROR(VLOOKUP(LOG_RESEAU[[#This Row],[Cell_ID]],Registre_Maintenance!A:E,5,FALSE),"Non trouvé")</f>
        <v>4G</v>
      </c>
      <c r="I427" s="6" t="str">
        <f>IFERROR(VLOOKUP(LOG_RESEAU[[#This Row],[Cell_ID]],Registre_Maintenance!A:F,6,FALSE),"Non trouvé")</f>
        <v>Huawei</v>
      </c>
      <c r="J427" s="6" t="str">
        <f t="shared" si="18"/>
        <v>OK</v>
      </c>
      <c r="K427" s="6">
        <f t="shared" si="19"/>
        <v>4</v>
      </c>
      <c r="L427" s="6">
        <f t="shared" si="20"/>
        <v>373</v>
      </c>
    </row>
    <row r="428" spans="1:12" ht="15.75" x14ac:dyDescent="0.25">
      <c r="A428" s="6" t="s">
        <v>980</v>
      </c>
      <c r="B428" s="7">
        <v>45222.51666666667</v>
      </c>
      <c r="C428" s="6">
        <v>116</v>
      </c>
      <c r="D428" s="6" t="s">
        <v>800</v>
      </c>
      <c r="E428" s="8" t="str">
        <f>IFERROR(VLOOKUP(LOG_RESEAU[[#This Row],[Cell_ID]],Registre_Maintenance!A:B,2,FALSE),"Non trouvé")</f>
        <v>Kwilu</v>
      </c>
      <c r="F428" s="8">
        <f>IFERROR(VLOOKUP(LOG_RESEAU[[#This Row],[Cell_ID]],Registre_Maintenance!A:C,3,FALSE),"Non trouvé")</f>
        <v>2.413557</v>
      </c>
      <c r="G428" s="8">
        <f>IFERROR(VLOOKUP(LOG_RESEAU[[#This Row],[Cell_ID]],Registre_Maintenance!A:D,4,FALSE),"Non trouvé")</f>
        <v>19.690681999999999</v>
      </c>
      <c r="H428" s="6" t="str">
        <f>IFERROR(VLOOKUP(LOG_RESEAU[[#This Row],[Cell_ID]],Registre_Maintenance!A:E,5,FALSE),"Non trouvé")</f>
        <v>4G</v>
      </c>
      <c r="I428" s="6" t="str">
        <f>IFERROR(VLOOKUP(LOG_RESEAU[[#This Row],[Cell_ID]],Registre_Maintenance!A:F,6,FALSE),"Non trouvé")</f>
        <v>Huawei</v>
      </c>
      <c r="J428" s="6" t="str">
        <f t="shared" si="18"/>
        <v>OK</v>
      </c>
      <c r="K428" s="6">
        <f t="shared" si="19"/>
        <v>4</v>
      </c>
      <c r="L428" s="6">
        <f t="shared" si="20"/>
        <v>373</v>
      </c>
    </row>
    <row r="429" spans="1:12" ht="15.75" x14ac:dyDescent="0.25">
      <c r="A429" s="6" t="s">
        <v>980</v>
      </c>
      <c r="B429" s="7">
        <v>45224.329861111109</v>
      </c>
      <c r="C429" s="6">
        <v>92</v>
      </c>
      <c r="D429" s="6" t="s">
        <v>800</v>
      </c>
      <c r="E429" s="8" t="str">
        <f>IFERROR(VLOOKUP(LOG_RESEAU[[#This Row],[Cell_ID]],Registre_Maintenance!A:B,2,FALSE),"Non trouvé")</f>
        <v>Kwilu</v>
      </c>
      <c r="F429" s="8">
        <f>IFERROR(VLOOKUP(LOG_RESEAU[[#This Row],[Cell_ID]],Registre_Maintenance!A:C,3,FALSE),"Non trouvé")</f>
        <v>2.413557</v>
      </c>
      <c r="G429" s="8">
        <f>IFERROR(VLOOKUP(LOG_RESEAU[[#This Row],[Cell_ID]],Registre_Maintenance!A:D,4,FALSE),"Non trouvé")</f>
        <v>19.690681999999999</v>
      </c>
      <c r="H429" s="6" t="str">
        <f>IFERROR(VLOOKUP(LOG_RESEAU[[#This Row],[Cell_ID]],Registre_Maintenance!A:E,5,FALSE),"Non trouvé")</f>
        <v>4G</v>
      </c>
      <c r="I429" s="6" t="str">
        <f>IFERROR(VLOOKUP(LOG_RESEAU[[#This Row],[Cell_ID]],Registre_Maintenance!A:F,6,FALSE),"Non trouvé")</f>
        <v>Huawei</v>
      </c>
      <c r="J429" s="6" t="str">
        <f t="shared" si="18"/>
        <v>OK</v>
      </c>
      <c r="K429" s="6">
        <f t="shared" si="19"/>
        <v>4</v>
      </c>
      <c r="L429" s="6">
        <f t="shared" si="20"/>
        <v>373</v>
      </c>
    </row>
    <row r="430" spans="1:12" ht="15.75" x14ac:dyDescent="0.25">
      <c r="A430" s="6" t="s">
        <v>980</v>
      </c>
      <c r="B430" s="7">
        <v>45201.480555555558</v>
      </c>
      <c r="C430" s="6">
        <v>110</v>
      </c>
      <c r="D430" s="6" t="s">
        <v>800</v>
      </c>
      <c r="E430" s="8" t="str">
        <f>IFERROR(VLOOKUP(LOG_RESEAU[[#This Row],[Cell_ID]],Registre_Maintenance!A:B,2,FALSE),"Non trouvé")</f>
        <v>Kwilu</v>
      </c>
      <c r="F430" s="8">
        <f>IFERROR(VLOOKUP(LOG_RESEAU[[#This Row],[Cell_ID]],Registre_Maintenance!A:C,3,FALSE),"Non trouvé")</f>
        <v>2.413557</v>
      </c>
      <c r="G430" s="8">
        <f>IFERROR(VLOOKUP(LOG_RESEAU[[#This Row],[Cell_ID]],Registre_Maintenance!A:D,4,FALSE),"Non trouvé")</f>
        <v>19.690681999999999</v>
      </c>
      <c r="H430" s="6" t="str">
        <f>IFERROR(VLOOKUP(LOG_RESEAU[[#This Row],[Cell_ID]],Registre_Maintenance!A:E,5,FALSE),"Non trouvé")</f>
        <v>4G</v>
      </c>
      <c r="I430" s="6" t="str">
        <f>IFERROR(VLOOKUP(LOG_RESEAU[[#This Row],[Cell_ID]],Registre_Maintenance!A:F,6,FALSE),"Non trouvé")</f>
        <v>Huawei</v>
      </c>
      <c r="J430" s="6" t="str">
        <f t="shared" si="18"/>
        <v>OK</v>
      </c>
      <c r="K430" s="6">
        <f t="shared" si="19"/>
        <v>4</v>
      </c>
      <c r="L430" s="6">
        <f t="shared" si="20"/>
        <v>373</v>
      </c>
    </row>
    <row r="431" spans="1:12" ht="15.75" x14ac:dyDescent="0.25">
      <c r="A431" s="6" t="s">
        <v>899</v>
      </c>
      <c r="B431" s="7">
        <v>45221.72152777778</v>
      </c>
      <c r="C431" s="6">
        <v>119</v>
      </c>
      <c r="D431" s="6" t="s">
        <v>794</v>
      </c>
      <c r="E431" s="8" t="str">
        <f>IFERROR(VLOOKUP(LOG_RESEAU[[#This Row],[Cell_ID]],Registre_Maintenance!A:B,2,FALSE),"Non trouvé")</f>
        <v>Non trouvé</v>
      </c>
      <c r="F431" s="8" t="str">
        <f>IFERROR(VLOOKUP(LOG_RESEAU[[#This Row],[Cell_ID]],Registre_Maintenance!A:C,3,FALSE),"Non trouvé")</f>
        <v>Non trouvé</v>
      </c>
      <c r="G431" s="8" t="str">
        <f>IFERROR(VLOOKUP(LOG_RESEAU[[#This Row],[Cell_ID]],Registre_Maintenance!A:D,4,FALSE),"Non trouvé")</f>
        <v>Non trouvé</v>
      </c>
      <c r="H431" s="6" t="str">
        <f>IFERROR(VLOOKUP(LOG_RESEAU[[#This Row],[Cell_ID]],Registre_Maintenance!A:E,5,FALSE),"Non trouvé")</f>
        <v>Non trouvé</v>
      </c>
      <c r="I431" s="6" t="str">
        <f>IFERROR(VLOOKUP(LOG_RESEAU[[#This Row],[Cell_ID]],Registre_Maintenance!A:F,6,FALSE),"Non trouvé")</f>
        <v>Non trouvé</v>
      </c>
      <c r="J431" s="6" t="str">
        <f t="shared" si="18"/>
        <v>Antenne inconnue</v>
      </c>
      <c r="K431" s="6">
        <f t="shared" si="19"/>
        <v>7</v>
      </c>
      <c r="L431" s="6">
        <f t="shared" si="20"/>
        <v>553</v>
      </c>
    </row>
    <row r="432" spans="1:12" ht="15.75" x14ac:dyDescent="0.25">
      <c r="A432" s="6" t="s">
        <v>899</v>
      </c>
      <c r="B432" s="7">
        <v>45206.167361111111</v>
      </c>
      <c r="C432" s="6">
        <v>113</v>
      </c>
      <c r="D432" s="6" t="s">
        <v>792</v>
      </c>
      <c r="E432" s="8" t="str">
        <f>IFERROR(VLOOKUP(LOG_RESEAU[[#This Row],[Cell_ID]],Registre_Maintenance!A:B,2,FALSE),"Non trouvé")</f>
        <v>Non trouvé</v>
      </c>
      <c r="F432" s="8" t="str">
        <f>IFERROR(VLOOKUP(LOG_RESEAU[[#This Row],[Cell_ID]],Registre_Maintenance!A:C,3,FALSE),"Non trouvé")</f>
        <v>Non trouvé</v>
      </c>
      <c r="G432" s="8" t="str">
        <f>IFERROR(VLOOKUP(LOG_RESEAU[[#This Row],[Cell_ID]],Registre_Maintenance!A:D,4,FALSE),"Non trouvé")</f>
        <v>Non trouvé</v>
      </c>
      <c r="H432" s="6" t="str">
        <f>IFERROR(VLOOKUP(LOG_RESEAU[[#This Row],[Cell_ID]],Registre_Maintenance!A:E,5,FALSE),"Non trouvé")</f>
        <v>Non trouvé</v>
      </c>
      <c r="I432" s="6" t="str">
        <f>IFERROR(VLOOKUP(LOG_RESEAU[[#This Row],[Cell_ID]],Registre_Maintenance!A:F,6,FALSE),"Non trouvé")</f>
        <v>Non trouvé</v>
      </c>
      <c r="J432" s="6" t="str">
        <f t="shared" si="18"/>
        <v>Antenne inconnue</v>
      </c>
      <c r="K432" s="6">
        <f t="shared" si="19"/>
        <v>7</v>
      </c>
      <c r="L432" s="6">
        <f t="shared" si="20"/>
        <v>553</v>
      </c>
    </row>
    <row r="433" spans="1:12" ht="15.75" x14ac:dyDescent="0.25">
      <c r="A433" s="6" t="s">
        <v>899</v>
      </c>
      <c r="B433" s="7">
        <v>45213.982638888891</v>
      </c>
      <c r="C433" s="6">
        <v>68</v>
      </c>
      <c r="D433" s="6" t="s">
        <v>794</v>
      </c>
      <c r="E433" s="8" t="str">
        <f>IFERROR(VLOOKUP(LOG_RESEAU[[#This Row],[Cell_ID]],Registre_Maintenance!A:B,2,FALSE),"Non trouvé")</f>
        <v>Non trouvé</v>
      </c>
      <c r="F433" s="8" t="str">
        <f>IFERROR(VLOOKUP(LOG_RESEAU[[#This Row],[Cell_ID]],Registre_Maintenance!A:C,3,FALSE),"Non trouvé")</f>
        <v>Non trouvé</v>
      </c>
      <c r="G433" s="8" t="str">
        <f>IFERROR(VLOOKUP(LOG_RESEAU[[#This Row],[Cell_ID]],Registre_Maintenance!A:D,4,FALSE),"Non trouvé")</f>
        <v>Non trouvé</v>
      </c>
      <c r="H433" s="6" t="str">
        <f>IFERROR(VLOOKUP(LOG_RESEAU[[#This Row],[Cell_ID]],Registre_Maintenance!A:E,5,FALSE),"Non trouvé")</f>
        <v>Non trouvé</v>
      </c>
      <c r="I433" s="6" t="str">
        <f>IFERROR(VLOOKUP(LOG_RESEAU[[#This Row],[Cell_ID]],Registre_Maintenance!A:F,6,FALSE),"Non trouvé")</f>
        <v>Non trouvé</v>
      </c>
      <c r="J433" s="6" t="str">
        <f t="shared" si="18"/>
        <v>Antenne inconnue</v>
      </c>
      <c r="K433" s="6">
        <f t="shared" si="19"/>
        <v>7</v>
      </c>
      <c r="L433" s="6">
        <f t="shared" si="20"/>
        <v>553</v>
      </c>
    </row>
    <row r="434" spans="1:12" ht="15.75" x14ac:dyDescent="0.25">
      <c r="A434" s="6" t="s">
        <v>975</v>
      </c>
      <c r="B434" s="7">
        <v>45206.362500000003</v>
      </c>
      <c r="C434" s="6">
        <v>10</v>
      </c>
      <c r="D434" s="6" t="s">
        <v>794</v>
      </c>
      <c r="E434" s="8" t="str">
        <f>IFERROR(VLOOKUP(LOG_RESEAU[[#This Row],[Cell_ID]],Registre_Maintenance!A:B,2,FALSE),"Non trouvé")</f>
        <v>Non trouvé</v>
      </c>
      <c r="F434" s="8" t="str">
        <f>IFERROR(VLOOKUP(LOG_RESEAU[[#This Row],[Cell_ID]],Registre_Maintenance!A:C,3,FALSE),"Non trouvé")</f>
        <v>Non trouvé</v>
      </c>
      <c r="G434" s="8" t="str">
        <f>IFERROR(VLOOKUP(LOG_RESEAU[[#This Row],[Cell_ID]],Registre_Maintenance!A:D,4,FALSE),"Non trouvé")</f>
        <v>Non trouvé</v>
      </c>
      <c r="H434" s="6" t="str">
        <f>IFERROR(VLOOKUP(LOG_RESEAU[[#This Row],[Cell_ID]],Registre_Maintenance!A:E,5,FALSE),"Non trouvé")</f>
        <v>Non trouvé</v>
      </c>
      <c r="I434" s="6" t="str">
        <f>IFERROR(VLOOKUP(LOG_RESEAU[[#This Row],[Cell_ID]],Registre_Maintenance!A:F,6,FALSE),"Non trouvé")</f>
        <v>Non trouvé</v>
      </c>
      <c r="J434" s="6" t="str">
        <f t="shared" si="18"/>
        <v>Antenne inconnue</v>
      </c>
      <c r="K434" s="6">
        <f t="shared" si="19"/>
        <v>7</v>
      </c>
      <c r="L434" s="6">
        <f t="shared" si="20"/>
        <v>553</v>
      </c>
    </row>
    <row r="435" spans="1:12" ht="15.75" x14ac:dyDescent="0.25">
      <c r="A435" s="6" t="s">
        <v>899</v>
      </c>
      <c r="B435" s="7">
        <v>45227.90902777778</v>
      </c>
      <c r="C435" s="6">
        <v>99</v>
      </c>
      <c r="D435" s="6" t="s">
        <v>794</v>
      </c>
      <c r="E435" s="8" t="str">
        <f>IFERROR(VLOOKUP(LOG_RESEAU[[#This Row],[Cell_ID]],Registre_Maintenance!A:B,2,FALSE),"Non trouvé")</f>
        <v>Non trouvé</v>
      </c>
      <c r="F435" s="8" t="str">
        <f>IFERROR(VLOOKUP(LOG_RESEAU[[#This Row],[Cell_ID]],Registre_Maintenance!A:C,3,FALSE),"Non trouvé")</f>
        <v>Non trouvé</v>
      </c>
      <c r="G435" s="8" t="str">
        <f>IFERROR(VLOOKUP(LOG_RESEAU[[#This Row],[Cell_ID]],Registre_Maintenance!A:D,4,FALSE),"Non trouvé")</f>
        <v>Non trouvé</v>
      </c>
      <c r="H435" s="6" t="str">
        <f>IFERROR(VLOOKUP(LOG_RESEAU[[#This Row],[Cell_ID]],Registre_Maintenance!A:E,5,FALSE),"Non trouvé")</f>
        <v>Non trouvé</v>
      </c>
      <c r="I435" s="6" t="str">
        <f>IFERROR(VLOOKUP(LOG_RESEAU[[#This Row],[Cell_ID]],Registre_Maintenance!A:F,6,FALSE),"Non trouvé")</f>
        <v>Non trouvé</v>
      </c>
      <c r="J435" s="6" t="str">
        <f t="shared" si="18"/>
        <v>Antenne inconnue</v>
      </c>
      <c r="K435" s="6">
        <f t="shared" si="19"/>
        <v>7</v>
      </c>
      <c r="L435" s="6">
        <f t="shared" si="20"/>
        <v>553</v>
      </c>
    </row>
    <row r="436" spans="1:12" ht="15.75" x14ac:dyDescent="0.25">
      <c r="A436" s="6" t="s">
        <v>899</v>
      </c>
      <c r="B436" s="7">
        <v>45214.693055555559</v>
      </c>
      <c r="C436" s="6">
        <v>72</v>
      </c>
      <c r="D436" s="6" t="s">
        <v>794</v>
      </c>
      <c r="E436" s="8" t="str">
        <f>IFERROR(VLOOKUP(LOG_RESEAU[[#This Row],[Cell_ID]],Registre_Maintenance!A:B,2,FALSE),"Non trouvé")</f>
        <v>Non trouvé</v>
      </c>
      <c r="F436" s="8" t="str">
        <f>IFERROR(VLOOKUP(LOG_RESEAU[[#This Row],[Cell_ID]],Registre_Maintenance!A:C,3,FALSE),"Non trouvé")</f>
        <v>Non trouvé</v>
      </c>
      <c r="G436" s="8" t="str">
        <f>IFERROR(VLOOKUP(LOG_RESEAU[[#This Row],[Cell_ID]],Registre_Maintenance!A:D,4,FALSE),"Non trouvé")</f>
        <v>Non trouvé</v>
      </c>
      <c r="H436" s="6" t="str">
        <f>IFERROR(VLOOKUP(LOG_RESEAU[[#This Row],[Cell_ID]],Registre_Maintenance!A:E,5,FALSE),"Non trouvé")</f>
        <v>Non trouvé</v>
      </c>
      <c r="I436" s="6" t="str">
        <f>IFERROR(VLOOKUP(LOG_RESEAU[[#This Row],[Cell_ID]],Registre_Maintenance!A:F,6,FALSE),"Non trouvé")</f>
        <v>Non trouvé</v>
      </c>
      <c r="J436" s="6" t="str">
        <f t="shared" si="18"/>
        <v>Antenne inconnue</v>
      </c>
      <c r="K436" s="6">
        <f t="shared" si="19"/>
        <v>7</v>
      </c>
      <c r="L436" s="6">
        <f t="shared" si="20"/>
        <v>553</v>
      </c>
    </row>
    <row r="437" spans="1:12" ht="15.75" x14ac:dyDescent="0.25">
      <c r="A437" s="6" t="s">
        <v>899</v>
      </c>
      <c r="B437" s="7">
        <v>45212.959722222222</v>
      </c>
      <c r="C437" s="6">
        <v>72</v>
      </c>
      <c r="D437" s="6" t="s">
        <v>794</v>
      </c>
      <c r="E437" s="8" t="str">
        <f>IFERROR(VLOOKUP(LOG_RESEAU[[#This Row],[Cell_ID]],Registre_Maintenance!A:B,2,FALSE),"Non trouvé")</f>
        <v>Non trouvé</v>
      </c>
      <c r="F437" s="8" t="str">
        <f>IFERROR(VLOOKUP(LOG_RESEAU[[#This Row],[Cell_ID]],Registre_Maintenance!A:C,3,FALSE),"Non trouvé")</f>
        <v>Non trouvé</v>
      </c>
      <c r="G437" s="8" t="str">
        <f>IFERROR(VLOOKUP(LOG_RESEAU[[#This Row],[Cell_ID]],Registre_Maintenance!A:D,4,FALSE),"Non trouvé")</f>
        <v>Non trouvé</v>
      </c>
      <c r="H437" s="6" t="str">
        <f>IFERROR(VLOOKUP(LOG_RESEAU[[#This Row],[Cell_ID]],Registre_Maintenance!A:E,5,FALSE),"Non trouvé")</f>
        <v>Non trouvé</v>
      </c>
      <c r="I437" s="6" t="str">
        <f>IFERROR(VLOOKUP(LOG_RESEAU[[#This Row],[Cell_ID]],Registre_Maintenance!A:F,6,FALSE),"Non trouvé")</f>
        <v>Non trouvé</v>
      </c>
      <c r="J437" s="6" t="str">
        <f t="shared" si="18"/>
        <v>Antenne inconnue</v>
      </c>
      <c r="K437" s="6">
        <f t="shared" si="19"/>
        <v>7</v>
      </c>
      <c r="L437" s="6">
        <f t="shared" si="20"/>
        <v>553</v>
      </c>
    </row>
    <row r="438" spans="1:12" ht="15.75" x14ac:dyDescent="0.25">
      <c r="A438" s="6" t="s">
        <v>912</v>
      </c>
      <c r="B438" s="7">
        <v>45223.207638888889</v>
      </c>
      <c r="C438" s="6">
        <v>107</v>
      </c>
      <c r="D438" s="6" t="s">
        <v>800</v>
      </c>
      <c r="E438" s="8" t="str">
        <f>IFERROR(VLOOKUP(LOG_RESEAU[[#This Row],[Cell_ID]],Registre_Maintenance!A:B,2,FALSE),"Non trouvé")</f>
        <v>Sud-Kivu</v>
      </c>
      <c r="F438" s="8">
        <f>IFERROR(VLOOKUP(LOG_RESEAU[[#This Row],[Cell_ID]],Registre_Maintenance!A:C,3,FALSE),"Non trouvé")</f>
        <v>4.2904629999999999</v>
      </c>
      <c r="G438" s="8">
        <f>IFERROR(VLOOKUP(LOG_RESEAU[[#This Row],[Cell_ID]],Registre_Maintenance!A:D,4,FALSE),"Non trouvé")</f>
        <v>26.354195000000001</v>
      </c>
      <c r="H438" s="6" t="str">
        <f>IFERROR(VLOOKUP(LOG_RESEAU[[#This Row],[Cell_ID]],Registre_Maintenance!A:E,5,FALSE),"Non trouvé")</f>
        <v>3G</v>
      </c>
      <c r="I438" s="6" t="str">
        <f>IFERROR(VLOOKUP(LOG_RESEAU[[#This Row],[Cell_ID]],Registre_Maintenance!A:F,6,FALSE),"Non trouvé")</f>
        <v>Ericsson</v>
      </c>
      <c r="J438" s="6" t="str">
        <f t="shared" si="18"/>
        <v>OK</v>
      </c>
      <c r="K438" s="6">
        <f t="shared" si="19"/>
        <v>4</v>
      </c>
      <c r="L438" s="6">
        <f t="shared" si="20"/>
        <v>228</v>
      </c>
    </row>
    <row r="439" spans="1:12" ht="15.75" x14ac:dyDescent="0.25">
      <c r="A439" s="6" t="s">
        <v>912</v>
      </c>
      <c r="B439" s="7">
        <v>45222.375694444447</v>
      </c>
      <c r="C439" s="6">
        <v>65</v>
      </c>
      <c r="D439" s="6" t="s">
        <v>792</v>
      </c>
      <c r="E439" s="8" t="str">
        <f>IFERROR(VLOOKUP(LOG_RESEAU[[#This Row],[Cell_ID]],Registre_Maintenance!A:B,2,FALSE),"Non trouvé")</f>
        <v>Sud-Kivu</v>
      </c>
      <c r="F439" s="8">
        <f>IFERROR(VLOOKUP(LOG_RESEAU[[#This Row],[Cell_ID]],Registre_Maintenance!A:C,3,FALSE),"Non trouvé")</f>
        <v>4.2904629999999999</v>
      </c>
      <c r="G439" s="8">
        <f>IFERROR(VLOOKUP(LOG_RESEAU[[#This Row],[Cell_ID]],Registre_Maintenance!A:D,4,FALSE),"Non trouvé")</f>
        <v>26.354195000000001</v>
      </c>
      <c r="H439" s="6" t="str">
        <f>IFERROR(VLOOKUP(LOG_RESEAU[[#This Row],[Cell_ID]],Registre_Maintenance!A:E,5,FALSE),"Non trouvé")</f>
        <v>3G</v>
      </c>
      <c r="I439" s="6" t="str">
        <f>IFERROR(VLOOKUP(LOG_RESEAU[[#This Row],[Cell_ID]],Registre_Maintenance!A:F,6,FALSE),"Non trouvé")</f>
        <v>Ericsson</v>
      </c>
      <c r="J439" s="6" t="str">
        <f t="shared" si="18"/>
        <v>OK</v>
      </c>
      <c r="K439" s="6">
        <f t="shared" si="19"/>
        <v>4</v>
      </c>
      <c r="L439" s="6">
        <f t="shared" si="20"/>
        <v>228</v>
      </c>
    </row>
    <row r="440" spans="1:12" ht="15.75" x14ac:dyDescent="0.25">
      <c r="A440" s="6" t="s">
        <v>912</v>
      </c>
      <c r="B440" s="7">
        <v>45219.979861111111</v>
      </c>
      <c r="C440" s="6">
        <v>12</v>
      </c>
      <c r="D440" s="6" t="s">
        <v>792</v>
      </c>
      <c r="E440" s="8" t="str">
        <f>IFERROR(VLOOKUP(LOG_RESEAU[[#This Row],[Cell_ID]],Registre_Maintenance!A:B,2,FALSE),"Non trouvé")</f>
        <v>Sud-Kivu</v>
      </c>
      <c r="F440" s="8">
        <f>IFERROR(VLOOKUP(LOG_RESEAU[[#This Row],[Cell_ID]],Registre_Maintenance!A:C,3,FALSE),"Non trouvé")</f>
        <v>4.2904629999999999</v>
      </c>
      <c r="G440" s="8">
        <f>IFERROR(VLOOKUP(LOG_RESEAU[[#This Row],[Cell_ID]],Registre_Maintenance!A:D,4,FALSE),"Non trouvé")</f>
        <v>26.354195000000001</v>
      </c>
      <c r="H440" s="6" t="str">
        <f>IFERROR(VLOOKUP(LOG_RESEAU[[#This Row],[Cell_ID]],Registre_Maintenance!A:E,5,FALSE),"Non trouvé")</f>
        <v>3G</v>
      </c>
      <c r="I440" s="6" t="str">
        <f>IFERROR(VLOOKUP(LOG_RESEAU[[#This Row],[Cell_ID]],Registre_Maintenance!A:F,6,FALSE),"Non trouvé")</f>
        <v>Ericsson</v>
      </c>
      <c r="J440" s="6" t="str">
        <f t="shared" si="18"/>
        <v>OK</v>
      </c>
      <c r="K440" s="6">
        <f t="shared" si="19"/>
        <v>4</v>
      </c>
      <c r="L440" s="6">
        <f t="shared" si="20"/>
        <v>228</v>
      </c>
    </row>
    <row r="441" spans="1:12" ht="15.75" x14ac:dyDescent="0.25">
      <c r="A441" s="6" t="s">
        <v>912</v>
      </c>
      <c r="B441" s="7">
        <v>45225.147222222222</v>
      </c>
      <c r="C441" s="6">
        <v>44</v>
      </c>
      <c r="D441" s="6" t="s">
        <v>794</v>
      </c>
      <c r="E441" s="8" t="str">
        <f>IFERROR(VLOOKUP(LOG_RESEAU[[#This Row],[Cell_ID]],Registre_Maintenance!A:B,2,FALSE),"Non trouvé")</f>
        <v>Sud-Kivu</v>
      </c>
      <c r="F441" s="8">
        <f>IFERROR(VLOOKUP(LOG_RESEAU[[#This Row],[Cell_ID]],Registre_Maintenance!A:C,3,FALSE),"Non trouvé")</f>
        <v>4.2904629999999999</v>
      </c>
      <c r="G441" s="8">
        <f>IFERROR(VLOOKUP(LOG_RESEAU[[#This Row],[Cell_ID]],Registre_Maintenance!A:D,4,FALSE),"Non trouvé")</f>
        <v>26.354195000000001</v>
      </c>
      <c r="H441" s="6" t="str">
        <f>IFERROR(VLOOKUP(LOG_RESEAU[[#This Row],[Cell_ID]],Registre_Maintenance!A:E,5,FALSE),"Non trouvé")</f>
        <v>3G</v>
      </c>
      <c r="I441" s="6" t="str">
        <f>IFERROR(VLOOKUP(LOG_RESEAU[[#This Row],[Cell_ID]],Registre_Maintenance!A:F,6,FALSE),"Non trouvé")</f>
        <v>Ericsson</v>
      </c>
      <c r="J441" s="6" t="str">
        <f t="shared" si="18"/>
        <v>OK</v>
      </c>
      <c r="K441" s="6">
        <f t="shared" si="19"/>
        <v>4</v>
      </c>
      <c r="L441" s="6">
        <f t="shared" si="20"/>
        <v>228</v>
      </c>
    </row>
    <row r="442" spans="1:12" ht="15.75" x14ac:dyDescent="0.25">
      <c r="A442" s="6" t="s">
        <v>938</v>
      </c>
      <c r="B442" s="7">
        <v>45213.299305555563</v>
      </c>
      <c r="C442" s="6">
        <v>43</v>
      </c>
      <c r="D442" s="6" t="s">
        <v>792</v>
      </c>
      <c r="E442" s="8" t="str">
        <f>IFERROR(VLOOKUP(LOG_RESEAU[[#This Row],[Cell_ID]],Registre_Maintenance!A:B,2,FALSE),"Non trouvé")</f>
        <v>Non trouvé</v>
      </c>
      <c r="F442" s="8" t="str">
        <f>IFERROR(VLOOKUP(LOG_RESEAU[[#This Row],[Cell_ID]],Registre_Maintenance!A:C,3,FALSE),"Non trouvé")</f>
        <v>Non trouvé</v>
      </c>
      <c r="G442" s="8" t="str">
        <f>IFERROR(VLOOKUP(LOG_RESEAU[[#This Row],[Cell_ID]],Registre_Maintenance!A:D,4,FALSE),"Non trouvé")</f>
        <v>Non trouvé</v>
      </c>
      <c r="H442" s="6" t="str">
        <f>IFERROR(VLOOKUP(LOG_RESEAU[[#This Row],[Cell_ID]],Registre_Maintenance!A:E,5,FALSE),"Non trouvé")</f>
        <v>Non trouvé</v>
      </c>
      <c r="I442" s="6" t="str">
        <f>IFERROR(VLOOKUP(LOG_RESEAU[[#This Row],[Cell_ID]],Registre_Maintenance!A:F,6,FALSE),"Non trouvé")</f>
        <v>Non trouvé</v>
      </c>
      <c r="J442" s="6" t="str">
        <f t="shared" si="18"/>
        <v>Antenne inconnue</v>
      </c>
      <c r="K442" s="6">
        <f t="shared" si="19"/>
        <v>2</v>
      </c>
      <c r="L442" s="6">
        <f t="shared" si="20"/>
        <v>77</v>
      </c>
    </row>
    <row r="443" spans="1:12" ht="15.75" x14ac:dyDescent="0.25">
      <c r="A443" s="6" t="s">
        <v>938</v>
      </c>
      <c r="B443" s="7">
        <v>45203.324305555558</v>
      </c>
      <c r="C443" s="6">
        <v>34</v>
      </c>
      <c r="D443" s="6" t="s">
        <v>794</v>
      </c>
      <c r="E443" s="8" t="str">
        <f>IFERROR(VLOOKUP(LOG_RESEAU[[#This Row],[Cell_ID]],Registre_Maintenance!A:B,2,FALSE),"Non trouvé")</f>
        <v>Non trouvé</v>
      </c>
      <c r="F443" s="8" t="str">
        <f>IFERROR(VLOOKUP(LOG_RESEAU[[#This Row],[Cell_ID]],Registre_Maintenance!A:C,3,FALSE),"Non trouvé")</f>
        <v>Non trouvé</v>
      </c>
      <c r="G443" s="8" t="str">
        <f>IFERROR(VLOOKUP(LOG_RESEAU[[#This Row],[Cell_ID]],Registre_Maintenance!A:D,4,FALSE),"Non trouvé")</f>
        <v>Non trouvé</v>
      </c>
      <c r="H443" s="6" t="str">
        <f>IFERROR(VLOOKUP(LOG_RESEAU[[#This Row],[Cell_ID]],Registre_Maintenance!A:E,5,FALSE),"Non trouvé")</f>
        <v>Non trouvé</v>
      </c>
      <c r="I443" s="6" t="str">
        <f>IFERROR(VLOOKUP(LOG_RESEAU[[#This Row],[Cell_ID]],Registre_Maintenance!A:F,6,FALSE),"Non trouvé")</f>
        <v>Non trouvé</v>
      </c>
      <c r="J443" s="6" t="str">
        <f t="shared" si="18"/>
        <v>Antenne inconnue</v>
      </c>
      <c r="K443" s="6">
        <f t="shared" si="19"/>
        <v>2</v>
      </c>
      <c r="L443" s="6">
        <f t="shared" si="20"/>
        <v>77</v>
      </c>
    </row>
    <row r="444" spans="1:12" ht="15.75" x14ac:dyDescent="0.25">
      <c r="A444" s="6" t="s">
        <v>979</v>
      </c>
      <c r="B444" s="7">
        <v>45209.824305555558</v>
      </c>
      <c r="C444" s="6">
        <v>110</v>
      </c>
      <c r="D444" s="6" t="s">
        <v>800</v>
      </c>
      <c r="E444" s="8" t="str">
        <f>IFERROR(VLOOKUP(LOG_RESEAU[[#This Row],[Cell_ID]],Registre_Maintenance!A:B,2,FALSE),"Non trouvé")</f>
        <v>Lualaba</v>
      </c>
      <c r="F444" s="8">
        <f>IFERROR(VLOOKUP(LOG_RESEAU[[#This Row],[Cell_ID]],Registre_Maintenance!A:C,3,FALSE),"Non trouvé")</f>
        <v>-9.7803979999999999</v>
      </c>
      <c r="G444" s="8">
        <f>IFERROR(VLOOKUP(LOG_RESEAU[[#This Row],[Cell_ID]],Registre_Maintenance!A:D,4,FALSE),"Non trouvé")</f>
        <v>17.686595000000001</v>
      </c>
      <c r="H444" s="6" t="str">
        <f>IFERROR(VLOOKUP(LOG_RESEAU[[#This Row],[Cell_ID]],Registre_Maintenance!A:E,5,FALSE),"Non trouvé")</f>
        <v>4G</v>
      </c>
      <c r="I444" s="6" t="str">
        <f>IFERROR(VLOOKUP(LOG_RESEAU[[#This Row],[Cell_ID]],Registre_Maintenance!A:F,6,FALSE),"Non trouvé")</f>
        <v>Ericsson</v>
      </c>
      <c r="J444" s="6" t="str">
        <f t="shared" si="18"/>
        <v>OK</v>
      </c>
      <c r="K444" s="6">
        <f t="shared" si="19"/>
        <v>5</v>
      </c>
      <c r="L444" s="6">
        <f t="shared" si="20"/>
        <v>369</v>
      </c>
    </row>
    <row r="445" spans="1:12" ht="15.75" x14ac:dyDescent="0.25">
      <c r="A445" s="6" t="s">
        <v>979</v>
      </c>
      <c r="B445" s="7">
        <v>45205.191666666673</v>
      </c>
      <c r="C445" s="6">
        <v>99</v>
      </c>
      <c r="D445" s="6" t="s">
        <v>792</v>
      </c>
      <c r="E445" s="8" t="str">
        <f>IFERROR(VLOOKUP(LOG_RESEAU[[#This Row],[Cell_ID]],Registre_Maintenance!A:B,2,FALSE),"Non trouvé")</f>
        <v>Lualaba</v>
      </c>
      <c r="F445" s="8">
        <f>IFERROR(VLOOKUP(LOG_RESEAU[[#This Row],[Cell_ID]],Registre_Maintenance!A:C,3,FALSE),"Non trouvé")</f>
        <v>-9.7803979999999999</v>
      </c>
      <c r="G445" s="8">
        <f>IFERROR(VLOOKUP(LOG_RESEAU[[#This Row],[Cell_ID]],Registre_Maintenance!A:D,4,FALSE),"Non trouvé")</f>
        <v>17.686595000000001</v>
      </c>
      <c r="H445" s="6" t="str">
        <f>IFERROR(VLOOKUP(LOG_RESEAU[[#This Row],[Cell_ID]],Registre_Maintenance!A:E,5,FALSE),"Non trouvé")</f>
        <v>4G</v>
      </c>
      <c r="I445" s="6" t="str">
        <f>IFERROR(VLOOKUP(LOG_RESEAU[[#This Row],[Cell_ID]],Registre_Maintenance!A:F,6,FALSE),"Non trouvé")</f>
        <v>Ericsson</v>
      </c>
      <c r="J445" s="6" t="str">
        <f t="shared" si="18"/>
        <v>OK</v>
      </c>
      <c r="K445" s="6">
        <f t="shared" si="19"/>
        <v>5</v>
      </c>
      <c r="L445" s="6">
        <f t="shared" si="20"/>
        <v>369</v>
      </c>
    </row>
    <row r="446" spans="1:12" ht="15.75" x14ac:dyDescent="0.25">
      <c r="A446" s="6" t="s">
        <v>979</v>
      </c>
      <c r="B446" s="7">
        <v>45221.376388888893</v>
      </c>
      <c r="C446" s="6">
        <v>9</v>
      </c>
      <c r="D446" s="6" t="s">
        <v>792</v>
      </c>
      <c r="E446" s="8" t="str">
        <f>IFERROR(VLOOKUP(LOG_RESEAU[[#This Row],[Cell_ID]],Registre_Maintenance!A:B,2,FALSE),"Non trouvé")</f>
        <v>Lualaba</v>
      </c>
      <c r="F446" s="8">
        <f>IFERROR(VLOOKUP(LOG_RESEAU[[#This Row],[Cell_ID]],Registre_Maintenance!A:C,3,FALSE),"Non trouvé")</f>
        <v>-9.7803979999999999</v>
      </c>
      <c r="G446" s="8">
        <f>IFERROR(VLOOKUP(LOG_RESEAU[[#This Row],[Cell_ID]],Registre_Maintenance!A:D,4,FALSE),"Non trouvé")</f>
        <v>17.686595000000001</v>
      </c>
      <c r="H446" s="6" t="str">
        <f>IFERROR(VLOOKUP(LOG_RESEAU[[#This Row],[Cell_ID]],Registre_Maintenance!A:E,5,FALSE),"Non trouvé")</f>
        <v>4G</v>
      </c>
      <c r="I446" s="6" t="str">
        <f>IFERROR(VLOOKUP(LOG_RESEAU[[#This Row],[Cell_ID]],Registre_Maintenance!A:F,6,FALSE),"Non trouvé")</f>
        <v>Ericsson</v>
      </c>
      <c r="J446" s="6" t="str">
        <f t="shared" si="18"/>
        <v>OK</v>
      </c>
      <c r="K446" s="6">
        <f t="shared" si="19"/>
        <v>5</v>
      </c>
      <c r="L446" s="6">
        <f t="shared" si="20"/>
        <v>369</v>
      </c>
    </row>
    <row r="447" spans="1:12" ht="15.75" x14ac:dyDescent="0.25">
      <c r="A447" s="6" t="s">
        <v>979</v>
      </c>
      <c r="B447" s="7">
        <v>45210.45</v>
      </c>
      <c r="C447" s="6">
        <v>66</v>
      </c>
      <c r="D447" s="6" t="s">
        <v>794</v>
      </c>
      <c r="E447" s="8" t="str">
        <f>IFERROR(VLOOKUP(LOG_RESEAU[[#This Row],[Cell_ID]],Registre_Maintenance!A:B,2,FALSE),"Non trouvé")</f>
        <v>Lualaba</v>
      </c>
      <c r="F447" s="8">
        <f>IFERROR(VLOOKUP(LOG_RESEAU[[#This Row],[Cell_ID]],Registre_Maintenance!A:C,3,FALSE),"Non trouvé")</f>
        <v>-9.7803979999999999</v>
      </c>
      <c r="G447" s="8">
        <f>IFERROR(VLOOKUP(LOG_RESEAU[[#This Row],[Cell_ID]],Registre_Maintenance!A:D,4,FALSE),"Non trouvé")</f>
        <v>17.686595000000001</v>
      </c>
      <c r="H447" s="6" t="str">
        <f>IFERROR(VLOOKUP(LOG_RESEAU[[#This Row],[Cell_ID]],Registre_Maintenance!A:E,5,FALSE),"Non trouvé")</f>
        <v>4G</v>
      </c>
      <c r="I447" s="6" t="str">
        <f>IFERROR(VLOOKUP(LOG_RESEAU[[#This Row],[Cell_ID]],Registre_Maintenance!A:F,6,FALSE),"Non trouvé")</f>
        <v>Ericsson</v>
      </c>
      <c r="J447" s="6" t="str">
        <f t="shared" si="18"/>
        <v>OK</v>
      </c>
      <c r="K447" s="6">
        <f t="shared" si="19"/>
        <v>5</v>
      </c>
      <c r="L447" s="6">
        <f t="shared" si="20"/>
        <v>369</v>
      </c>
    </row>
    <row r="448" spans="1:12" ht="15.75" x14ac:dyDescent="0.25">
      <c r="A448" s="6" t="s">
        <v>979</v>
      </c>
      <c r="B448" s="7">
        <v>45220.754166666673</v>
      </c>
      <c r="C448" s="6">
        <v>85</v>
      </c>
      <c r="D448" s="6" t="s">
        <v>794</v>
      </c>
      <c r="E448" s="8" t="str">
        <f>IFERROR(VLOOKUP(LOG_RESEAU[[#This Row],[Cell_ID]],Registre_Maintenance!A:B,2,FALSE),"Non trouvé")</f>
        <v>Lualaba</v>
      </c>
      <c r="F448" s="8">
        <f>IFERROR(VLOOKUP(LOG_RESEAU[[#This Row],[Cell_ID]],Registre_Maintenance!A:C,3,FALSE),"Non trouvé")</f>
        <v>-9.7803979999999999</v>
      </c>
      <c r="G448" s="8">
        <f>IFERROR(VLOOKUP(LOG_RESEAU[[#This Row],[Cell_ID]],Registre_Maintenance!A:D,4,FALSE),"Non trouvé")</f>
        <v>17.686595000000001</v>
      </c>
      <c r="H448" s="6" t="str">
        <f>IFERROR(VLOOKUP(LOG_RESEAU[[#This Row],[Cell_ID]],Registre_Maintenance!A:E,5,FALSE),"Non trouvé")</f>
        <v>4G</v>
      </c>
      <c r="I448" s="6" t="str">
        <f>IFERROR(VLOOKUP(LOG_RESEAU[[#This Row],[Cell_ID]],Registre_Maintenance!A:F,6,FALSE),"Non trouvé")</f>
        <v>Ericsson</v>
      </c>
      <c r="J448" s="6" t="str">
        <f t="shared" si="18"/>
        <v>OK</v>
      </c>
      <c r="K448" s="6">
        <f t="shared" si="19"/>
        <v>5</v>
      </c>
      <c r="L448" s="6">
        <f t="shared" si="20"/>
        <v>369</v>
      </c>
    </row>
    <row r="449" spans="1:12" ht="15.75" x14ac:dyDescent="0.25">
      <c r="A449" s="6" t="s">
        <v>802</v>
      </c>
      <c r="B449" s="7">
        <v>45200.716666666667</v>
      </c>
      <c r="C449" s="6">
        <v>41</v>
      </c>
      <c r="D449" s="6" t="s">
        <v>800</v>
      </c>
      <c r="E449" s="8" t="str">
        <f>IFERROR(VLOOKUP(LOG_RESEAU[[#This Row],[Cell_ID]],Registre_Maintenance!A:B,2,FALSE),"Non trouvé")</f>
        <v>Non trouvé</v>
      </c>
      <c r="F449" s="8" t="str">
        <f>IFERROR(VLOOKUP(LOG_RESEAU[[#This Row],[Cell_ID]],Registre_Maintenance!A:C,3,FALSE),"Non trouvé")</f>
        <v>Non trouvé</v>
      </c>
      <c r="G449" s="8" t="str">
        <f>IFERROR(VLOOKUP(LOG_RESEAU[[#This Row],[Cell_ID]],Registre_Maintenance!A:D,4,FALSE),"Non trouvé")</f>
        <v>Non trouvé</v>
      </c>
      <c r="H449" s="6" t="str">
        <f>IFERROR(VLOOKUP(LOG_RESEAU[[#This Row],[Cell_ID]],Registre_Maintenance!A:E,5,FALSE),"Non trouvé")</f>
        <v>Non trouvé</v>
      </c>
      <c r="I449" s="6" t="str">
        <f>IFERROR(VLOOKUP(LOG_RESEAU[[#This Row],[Cell_ID]],Registre_Maintenance!A:F,6,FALSE),"Non trouvé")</f>
        <v>Non trouvé</v>
      </c>
      <c r="J449" s="6" t="str">
        <f t="shared" si="18"/>
        <v>Antenne inconnue</v>
      </c>
      <c r="K449" s="6">
        <f t="shared" si="19"/>
        <v>5</v>
      </c>
      <c r="L449" s="6">
        <f t="shared" si="20"/>
        <v>277</v>
      </c>
    </row>
    <row r="450" spans="1:12" ht="15.75" x14ac:dyDescent="0.25">
      <c r="A450" s="6" t="s">
        <v>802</v>
      </c>
      <c r="B450" s="7">
        <v>45208.746527777781</v>
      </c>
      <c r="C450" s="6">
        <v>61</v>
      </c>
      <c r="D450" s="6" t="s">
        <v>794</v>
      </c>
      <c r="E450" s="8" t="str">
        <f>IFERROR(VLOOKUP(LOG_RESEAU[[#This Row],[Cell_ID]],Registre_Maintenance!A:B,2,FALSE),"Non trouvé")</f>
        <v>Non trouvé</v>
      </c>
      <c r="F450" s="8" t="str">
        <f>IFERROR(VLOOKUP(LOG_RESEAU[[#This Row],[Cell_ID]],Registre_Maintenance!A:C,3,FALSE),"Non trouvé")</f>
        <v>Non trouvé</v>
      </c>
      <c r="G450" s="8" t="str">
        <f>IFERROR(VLOOKUP(LOG_RESEAU[[#This Row],[Cell_ID]],Registre_Maintenance!A:D,4,FALSE),"Non trouvé")</f>
        <v>Non trouvé</v>
      </c>
      <c r="H450" s="6" t="str">
        <f>IFERROR(VLOOKUP(LOG_RESEAU[[#This Row],[Cell_ID]],Registre_Maintenance!A:E,5,FALSE),"Non trouvé")</f>
        <v>Non trouvé</v>
      </c>
      <c r="I450" s="6" t="str">
        <f>IFERROR(VLOOKUP(LOG_RESEAU[[#This Row],[Cell_ID]],Registre_Maintenance!A:F,6,FALSE),"Non trouvé")</f>
        <v>Non trouvé</v>
      </c>
      <c r="J450" s="6" t="str">
        <f t="shared" ref="J450:J513" si="21">IF(ISERROR(SEARCH("Non trouvé",F450)),"OK","Antenne inconnue")</f>
        <v>Antenne inconnue</v>
      </c>
      <c r="K450" s="6">
        <f t="shared" ref="K450:K513" si="22">COUNTIF(A:A,A450)</f>
        <v>5</v>
      </c>
      <c r="L450" s="6">
        <f t="shared" ref="L450:L513" si="23">SUMIF(A:A,A450,C:C)</f>
        <v>277</v>
      </c>
    </row>
    <row r="451" spans="1:12" ht="15.75" x14ac:dyDescent="0.25">
      <c r="A451" s="6" t="s">
        <v>802</v>
      </c>
      <c r="B451" s="7">
        <v>45213.948611111111</v>
      </c>
      <c r="C451" s="6">
        <v>20</v>
      </c>
      <c r="D451" s="6" t="s">
        <v>794</v>
      </c>
      <c r="E451" s="8" t="str">
        <f>IFERROR(VLOOKUP(LOG_RESEAU[[#This Row],[Cell_ID]],Registre_Maintenance!A:B,2,FALSE),"Non trouvé")</f>
        <v>Non trouvé</v>
      </c>
      <c r="F451" s="8" t="str">
        <f>IFERROR(VLOOKUP(LOG_RESEAU[[#This Row],[Cell_ID]],Registre_Maintenance!A:C,3,FALSE),"Non trouvé")</f>
        <v>Non trouvé</v>
      </c>
      <c r="G451" s="8" t="str">
        <f>IFERROR(VLOOKUP(LOG_RESEAU[[#This Row],[Cell_ID]],Registre_Maintenance!A:D,4,FALSE),"Non trouvé")</f>
        <v>Non trouvé</v>
      </c>
      <c r="H451" s="6" t="str">
        <f>IFERROR(VLOOKUP(LOG_RESEAU[[#This Row],[Cell_ID]],Registre_Maintenance!A:E,5,FALSE),"Non trouvé")</f>
        <v>Non trouvé</v>
      </c>
      <c r="I451" s="6" t="str">
        <f>IFERROR(VLOOKUP(LOG_RESEAU[[#This Row],[Cell_ID]],Registre_Maintenance!A:F,6,FALSE),"Non trouvé")</f>
        <v>Non trouvé</v>
      </c>
      <c r="J451" s="6" t="str">
        <f t="shared" si="21"/>
        <v>Antenne inconnue</v>
      </c>
      <c r="K451" s="6">
        <f t="shared" si="22"/>
        <v>5</v>
      </c>
      <c r="L451" s="6">
        <f t="shared" si="23"/>
        <v>277</v>
      </c>
    </row>
    <row r="452" spans="1:12" ht="15.75" x14ac:dyDescent="0.25">
      <c r="A452" s="6" t="s">
        <v>802</v>
      </c>
      <c r="B452" s="7">
        <v>45225.859027777777</v>
      </c>
      <c r="C452" s="6">
        <v>54</v>
      </c>
      <c r="D452" s="6" t="s">
        <v>794</v>
      </c>
      <c r="E452" s="8" t="str">
        <f>IFERROR(VLOOKUP(LOG_RESEAU[[#This Row],[Cell_ID]],Registre_Maintenance!A:B,2,FALSE),"Non trouvé")</f>
        <v>Non trouvé</v>
      </c>
      <c r="F452" s="8" t="str">
        <f>IFERROR(VLOOKUP(LOG_RESEAU[[#This Row],[Cell_ID]],Registre_Maintenance!A:C,3,FALSE),"Non trouvé")</f>
        <v>Non trouvé</v>
      </c>
      <c r="G452" s="8" t="str">
        <f>IFERROR(VLOOKUP(LOG_RESEAU[[#This Row],[Cell_ID]],Registre_Maintenance!A:D,4,FALSE),"Non trouvé")</f>
        <v>Non trouvé</v>
      </c>
      <c r="H452" s="6" t="str">
        <f>IFERROR(VLOOKUP(LOG_RESEAU[[#This Row],[Cell_ID]],Registre_Maintenance!A:E,5,FALSE),"Non trouvé")</f>
        <v>Non trouvé</v>
      </c>
      <c r="I452" s="6" t="str">
        <f>IFERROR(VLOOKUP(LOG_RESEAU[[#This Row],[Cell_ID]],Registre_Maintenance!A:F,6,FALSE),"Non trouvé")</f>
        <v>Non trouvé</v>
      </c>
      <c r="J452" s="6" t="str">
        <f t="shared" si="21"/>
        <v>Antenne inconnue</v>
      </c>
      <c r="K452" s="6">
        <f t="shared" si="22"/>
        <v>5</v>
      </c>
      <c r="L452" s="6">
        <f t="shared" si="23"/>
        <v>277</v>
      </c>
    </row>
    <row r="453" spans="1:12" ht="15.75" x14ac:dyDescent="0.25">
      <c r="A453" s="6" t="s">
        <v>802</v>
      </c>
      <c r="B453" s="7">
        <v>45204.895833333343</v>
      </c>
      <c r="C453" s="6">
        <v>101</v>
      </c>
      <c r="D453" s="6" t="s">
        <v>794</v>
      </c>
      <c r="E453" s="8" t="str">
        <f>IFERROR(VLOOKUP(LOG_RESEAU[[#This Row],[Cell_ID]],Registre_Maintenance!A:B,2,FALSE),"Non trouvé")</f>
        <v>Non trouvé</v>
      </c>
      <c r="F453" s="8" t="str">
        <f>IFERROR(VLOOKUP(LOG_RESEAU[[#This Row],[Cell_ID]],Registre_Maintenance!A:C,3,FALSE),"Non trouvé")</f>
        <v>Non trouvé</v>
      </c>
      <c r="G453" s="8" t="str">
        <f>IFERROR(VLOOKUP(LOG_RESEAU[[#This Row],[Cell_ID]],Registre_Maintenance!A:D,4,FALSE),"Non trouvé")</f>
        <v>Non trouvé</v>
      </c>
      <c r="H453" s="6" t="str">
        <f>IFERROR(VLOOKUP(LOG_RESEAU[[#This Row],[Cell_ID]],Registre_Maintenance!A:E,5,FALSE),"Non trouvé")</f>
        <v>Non trouvé</v>
      </c>
      <c r="I453" s="6" t="str">
        <f>IFERROR(VLOOKUP(LOG_RESEAU[[#This Row],[Cell_ID]],Registre_Maintenance!A:F,6,FALSE),"Non trouvé")</f>
        <v>Non trouvé</v>
      </c>
      <c r="J453" s="6" t="str">
        <f t="shared" si="21"/>
        <v>Antenne inconnue</v>
      </c>
      <c r="K453" s="6">
        <f t="shared" si="22"/>
        <v>5</v>
      </c>
      <c r="L453" s="6">
        <f t="shared" si="23"/>
        <v>277</v>
      </c>
    </row>
    <row r="454" spans="1:12" ht="15.75" x14ac:dyDescent="0.25">
      <c r="A454" s="6" t="s">
        <v>826</v>
      </c>
      <c r="B454" s="7">
        <v>45205.599999999999</v>
      </c>
      <c r="C454" s="6">
        <v>15</v>
      </c>
      <c r="D454" s="6" t="s">
        <v>792</v>
      </c>
      <c r="E454" s="8" t="str">
        <f>IFERROR(VLOOKUP(LOG_RESEAU[[#This Row],[Cell_ID]],Registre_Maintenance!A:B,2,FALSE),"Non trouvé")</f>
        <v>Kasai-Central</v>
      </c>
      <c r="F454" s="8">
        <f>IFERROR(VLOOKUP(LOG_RESEAU[[#This Row],[Cell_ID]],Registre_Maintenance!A:C,3,FALSE),"Non trouvé")</f>
        <v>-7.3379339999999997</v>
      </c>
      <c r="G454" s="8">
        <f>IFERROR(VLOOKUP(LOG_RESEAU[[#This Row],[Cell_ID]],Registre_Maintenance!A:D,4,FALSE),"Non trouvé")</f>
        <v>28.404001999999998</v>
      </c>
      <c r="H454" s="6" t="str">
        <f>IFERROR(VLOOKUP(LOG_RESEAU[[#This Row],[Cell_ID]],Registre_Maintenance!A:E,5,FALSE),"Non trouvé")</f>
        <v>3G</v>
      </c>
      <c r="I454" s="6" t="str">
        <f>IFERROR(VLOOKUP(LOG_RESEAU[[#This Row],[Cell_ID]],Registre_Maintenance!A:F,6,FALSE),"Non trouvé")</f>
        <v>Nokia</v>
      </c>
      <c r="J454" s="6" t="str">
        <f t="shared" si="21"/>
        <v>OK</v>
      </c>
      <c r="K454" s="6">
        <f t="shared" si="22"/>
        <v>5</v>
      </c>
      <c r="L454" s="6">
        <f t="shared" si="23"/>
        <v>184</v>
      </c>
    </row>
    <row r="455" spans="1:12" ht="15.75" x14ac:dyDescent="0.25">
      <c r="A455" s="6" t="s">
        <v>1007</v>
      </c>
      <c r="B455" s="7">
        <v>45222.415277777778</v>
      </c>
      <c r="C455" s="6">
        <v>34</v>
      </c>
      <c r="D455" s="6" t="s">
        <v>800</v>
      </c>
      <c r="E455" s="8" t="str">
        <f>IFERROR(VLOOKUP(LOG_RESEAU[[#This Row],[Cell_ID]],Registre_Maintenance!A:B,2,FALSE),"Non trouvé")</f>
        <v>Kasai-Central</v>
      </c>
      <c r="F455" s="8">
        <f>IFERROR(VLOOKUP(LOG_RESEAU[[#This Row],[Cell_ID]],Registre_Maintenance!A:C,3,FALSE),"Non trouvé")</f>
        <v>-7.3379339999999997</v>
      </c>
      <c r="G455" s="8">
        <f>IFERROR(VLOOKUP(LOG_RESEAU[[#This Row],[Cell_ID]],Registre_Maintenance!A:D,4,FALSE),"Non trouvé")</f>
        <v>28.404001999999998</v>
      </c>
      <c r="H455" s="6" t="str">
        <f>IFERROR(VLOOKUP(LOG_RESEAU[[#This Row],[Cell_ID]],Registre_Maintenance!A:E,5,FALSE),"Non trouvé")</f>
        <v>3G</v>
      </c>
      <c r="I455" s="6" t="str">
        <f>IFERROR(VLOOKUP(LOG_RESEAU[[#This Row],[Cell_ID]],Registre_Maintenance!A:F,6,FALSE),"Non trouvé")</f>
        <v>Nokia</v>
      </c>
      <c r="J455" s="6" t="str">
        <f t="shared" si="21"/>
        <v>OK</v>
      </c>
      <c r="K455" s="6">
        <f t="shared" si="22"/>
        <v>5</v>
      </c>
      <c r="L455" s="6">
        <f t="shared" si="23"/>
        <v>184</v>
      </c>
    </row>
    <row r="456" spans="1:12" ht="15.75" x14ac:dyDescent="0.25">
      <c r="A456" s="6" t="s">
        <v>826</v>
      </c>
      <c r="B456" s="7">
        <v>45213.597916666673</v>
      </c>
      <c r="C456" s="6">
        <v>58</v>
      </c>
      <c r="D456" s="6" t="s">
        <v>794</v>
      </c>
      <c r="E456" s="8" t="str">
        <f>IFERROR(VLOOKUP(LOG_RESEAU[[#This Row],[Cell_ID]],Registre_Maintenance!A:B,2,FALSE),"Non trouvé")</f>
        <v>Kasai-Central</v>
      </c>
      <c r="F456" s="8">
        <f>IFERROR(VLOOKUP(LOG_RESEAU[[#This Row],[Cell_ID]],Registre_Maintenance!A:C,3,FALSE),"Non trouvé")</f>
        <v>-7.3379339999999997</v>
      </c>
      <c r="G456" s="8">
        <f>IFERROR(VLOOKUP(LOG_RESEAU[[#This Row],[Cell_ID]],Registre_Maintenance!A:D,4,FALSE),"Non trouvé")</f>
        <v>28.404001999999998</v>
      </c>
      <c r="H456" s="6" t="str">
        <f>IFERROR(VLOOKUP(LOG_RESEAU[[#This Row],[Cell_ID]],Registre_Maintenance!A:E,5,FALSE),"Non trouvé")</f>
        <v>3G</v>
      </c>
      <c r="I456" s="6" t="str">
        <f>IFERROR(VLOOKUP(LOG_RESEAU[[#This Row],[Cell_ID]],Registre_Maintenance!A:F,6,FALSE),"Non trouvé")</f>
        <v>Nokia</v>
      </c>
      <c r="J456" s="6" t="str">
        <f t="shared" si="21"/>
        <v>OK</v>
      </c>
      <c r="K456" s="6">
        <f t="shared" si="22"/>
        <v>5</v>
      </c>
      <c r="L456" s="6">
        <f t="shared" si="23"/>
        <v>184</v>
      </c>
    </row>
    <row r="457" spans="1:12" ht="15.75" x14ac:dyDescent="0.25">
      <c r="A457" s="6" t="s">
        <v>826</v>
      </c>
      <c r="B457" s="7">
        <v>45222.602777777778</v>
      </c>
      <c r="C457" s="6">
        <v>35</v>
      </c>
      <c r="D457" s="6" t="s">
        <v>794</v>
      </c>
      <c r="E457" s="8" t="str">
        <f>IFERROR(VLOOKUP(LOG_RESEAU[[#This Row],[Cell_ID]],Registre_Maintenance!A:B,2,FALSE),"Non trouvé")</f>
        <v>Kasai-Central</v>
      </c>
      <c r="F457" s="8">
        <f>IFERROR(VLOOKUP(LOG_RESEAU[[#This Row],[Cell_ID]],Registre_Maintenance!A:C,3,FALSE),"Non trouvé")</f>
        <v>-7.3379339999999997</v>
      </c>
      <c r="G457" s="8">
        <f>IFERROR(VLOOKUP(LOG_RESEAU[[#This Row],[Cell_ID]],Registre_Maintenance!A:D,4,FALSE),"Non trouvé")</f>
        <v>28.404001999999998</v>
      </c>
      <c r="H457" s="6" t="str">
        <f>IFERROR(VLOOKUP(LOG_RESEAU[[#This Row],[Cell_ID]],Registre_Maintenance!A:E,5,FALSE),"Non trouvé")</f>
        <v>3G</v>
      </c>
      <c r="I457" s="6" t="str">
        <f>IFERROR(VLOOKUP(LOG_RESEAU[[#This Row],[Cell_ID]],Registre_Maintenance!A:F,6,FALSE),"Non trouvé")</f>
        <v>Nokia</v>
      </c>
      <c r="J457" s="6" t="str">
        <f t="shared" si="21"/>
        <v>OK</v>
      </c>
      <c r="K457" s="6">
        <f t="shared" si="22"/>
        <v>5</v>
      </c>
      <c r="L457" s="6">
        <f t="shared" si="23"/>
        <v>184</v>
      </c>
    </row>
    <row r="458" spans="1:12" ht="15.75" x14ac:dyDescent="0.25">
      <c r="A458" s="6" t="s">
        <v>826</v>
      </c>
      <c r="B458" s="7">
        <v>45212.568055555559</v>
      </c>
      <c r="C458" s="6">
        <v>42</v>
      </c>
      <c r="D458" s="6" t="s">
        <v>800</v>
      </c>
      <c r="E458" s="8" t="str">
        <f>IFERROR(VLOOKUP(LOG_RESEAU[[#This Row],[Cell_ID]],Registre_Maintenance!A:B,2,FALSE),"Non trouvé")</f>
        <v>Kasai-Central</v>
      </c>
      <c r="F458" s="8">
        <f>IFERROR(VLOOKUP(LOG_RESEAU[[#This Row],[Cell_ID]],Registre_Maintenance!A:C,3,FALSE),"Non trouvé")</f>
        <v>-7.3379339999999997</v>
      </c>
      <c r="G458" s="8">
        <f>IFERROR(VLOOKUP(LOG_RESEAU[[#This Row],[Cell_ID]],Registre_Maintenance!A:D,4,FALSE),"Non trouvé")</f>
        <v>28.404001999999998</v>
      </c>
      <c r="H458" s="6" t="str">
        <f>IFERROR(VLOOKUP(LOG_RESEAU[[#This Row],[Cell_ID]],Registre_Maintenance!A:E,5,FALSE),"Non trouvé")</f>
        <v>3G</v>
      </c>
      <c r="I458" s="6" t="str">
        <f>IFERROR(VLOOKUP(LOG_RESEAU[[#This Row],[Cell_ID]],Registre_Maintenance!A:F,6,FALSE),"Non trouvé")</f>
        <v>Nokia</v>
      </c>
      <c r="J458" s="6" t="str">
        <f t="shared" si="21"/>
        <v>OK</v>
      </c>
      <c r="K458" s="6">
        <f t="shared" si="22"/>
        <v>5</v>
      </c>
      <c r="L458" s="6">
        <f t="shared" si="23"/>
        <v>184</v>
      </c>
    </row>
    <row r="459" spans="1:12" ht="15.75" x14ac:dyDescent="0.25">
      <c r="A459" s="6" t="s">
        <v>942</v>
      </c>
      <c r="B459" s="7">
        <v>45227.644444444442</v>
      </c>
      <c r="C459" s="6">
        <v>89</v>
      </c>
      <c r="D459" s="6" t="s">
        <v>800</v>
      </c>
      <c r="E459" s="8" t="str">
        <f>IFERROR(VLOOKUP(LOG_RESEAU[[#This Row],[Cell_ID]],Registre_Maintenance!A:B,2,FALSE),"Non trouvé")</f>
        <v>Sankuru</v>
      </c>
      <c r="F459" s="8">
        <f>IFERROR(VLOOKUP(LOG_RESEAU[[#This Row],[Cell_ID]],Registre_Maintenance!A:C,3,FALSE),"Non trouvé")</f>
        <v>-4.7886769999999999</v>
      </c>
      <c r="G459" s="8">
        <f>IFERROR(VLOOKUP(LOG_RESEAU[[#This Row],[Cell_ID]],Registre_Maintenance!A:D,4,FALSE),"Non trouvé")</f>
        <v>23.600221999999999</v>
      </c>
      <c r="H459" s="6" t="str">
        <f>IFERROR(VLOOKUP(LOG_RESEAU[[#This Row],[Cell_ID]],Registre_Maintenance!A:E,5,FALSE),"Non trouvé")</f>
        <v>3G</v>
      </c>
      <c r="I459" s="6" t="str">
        <f>IFERROR(VLOOKUP(LOG_RESEAU[[#This Row],[Cell_ID]],Registre_Maintenance!A:F,6,FALSE),"Non trouvé")</f>
        <v>ZTE</v>
      </c>
      <c r="J459" s="6" t="str">
        <f t="shared" si="21"/>
        <v>OK</v>
      </c>
      <c r="K459" s="6">
        <f t="shared" si="22"/>
        <v>6</v>
      </c>
      <c r="L459" s="6">
        <f t="shared" si="23"/>
        <v>373</v>
      </c>
    </row>
    <row r="460" spans="1:12" ht="15.75" x14ac:dyDescent="0.25">
      <c r="A460" s="6" t="s">
        <v>942</v>
      </c>
      <c r="B460" s="7">
        <v>45220.416666666657</v>
      </c>
      <c r="C460" s="6">
        <v>70</v>
      </c>
      <c r="D460" s="6" t="s">
        <v>794</v>
      </c>
      <c r="E460" s="8" t="str">
        <f>IFERROR(VLOOKUP(LOG_RESEAU[[#This Row],[Cell_ID]],Registre_Maintenance!A:B,2,FALSE),"Non trouvé")</f>
        <v>Sankuru</v>
      </c>
      <c r="F460" s="8">
        <f>IFERROR(VLOOKUP(LOG_RESEAU[[#This Row],[Cell_ID]],Registre_Maintenance!A:C,3,FALSE),"Non trouvé")</f>
        <v>-4.7886769999999999</v>
      </c>
      <c r="G460" s="8">
        <f>IFERROR(VLOOKUP(LOG_RESEAU[[#This Row],[Cell_ID]],Registre_Maintenance!A:D,4,FALSE),"Non trouvé")</f>
        <v>23.600221999999999</v>
      </c>
      <c r="H460" s="6" t="str">
        <f>IFERROR(VLOOKUP(LOG_RESEAU[[#This Row],[Cell_ID]],Registre_Maintenance!A:E,5,FALSE),"Non trouvé")</f>
        <v>3G</v>
      </c>
      <c r="I460" s="6" t="str">
        <f>IFERROR(VLOOKUP(LOG_RESEAU[[#This Row],[Cell_ID]],Registre_Maintenance!A:F,6,FALSE),"Non trouvé")</f>
        <v>ZTE</v>
      </c>
      <c r="J460" s="6" t="str">
        <f t="shared" si="21"/>
        <v>OK</v>
      </c>
      <c r="K460" s="6">
        <f t="shared" si="22"/>
        <v>6</v>
      </c>
      <c r="L460" s="6">
        <f t="shared" si="23"/>
        <v>373</v>
      </c>
    </row>
    <row r="461" spans="1:12" ht="15.75" x14ac:dyDescent="0.25">
      <c r="A461" s="6" t="s">
        <v>942</v>
      </c>
      <c r="B461" s="7">
        <v>45229.454861111109</v>
      </c>
      <c r="C461" s="6">
        <v>79</v>
      </c>
      <c r="D461" s="6" t="s">
        <v>792</v>
      </c>
      <c r="E461" s="8" t="str">
        <f>IFERROR(VLOOKUP(LOG_RESEAU[[#This Row],[Cell_ID]],Registre_Maintenance!A:B,2,FALSE),"Non trouvé")</f>
        <v>Sankuru</v>
      </c>
      <c r="F461" s="8">
        <f>IFERROR(VLOOKUP(LOG_RESEAU[[#This Row],[Cell_ID]],Registre_Maintenance!A:C,3,FALSE),"Non trouvé")</f>
        <v>-4.7886769999999999</v>
      </c>
      <c r="G461" s="8">
        <f>IFERROR(VLOOKUP(LOG_RESEAU[[#This Row],[Cell_ID]],Registre_Maintenance!A:D,4,FALSE),"Non trouvé")</f>
        <v>23.600221999999999</v>
      </c>
      <c r="H461" s="6" t="str">
        <f>IFERROR(VLOOKUP(LOG_RESEAU[[#This Row],[Cell_ID]],Registre_Maintenance!A:E,5,FALSE),"Non trouvé")</f>
        <v>3G</v>
      </c>
      <c r="I461" s="6" t="str">
        <f>IFERROR(VLOOKUP(LOG_RESEAU[[#This Row],[Cell_ID]],Registre_Maintenance!A:F,6,FALSE),"Non trouvé")</f>
        <v>ZTE</v>
      </c>
      <c r="J461" s="6" t="str">
        <f t="shared" si="21"/>
        <v>OK</v>
      </c>
      <c r="K461" s="6">
        <f t="shared" si="22"/>
        <v>6</v>
      </c>
      <c r="L461" s="6">
        <f t="shared" si="23"/>
        <v>373</v>
      </c>
    </row>
    <row r="462" spans="1:12" ht="15.75" x14ac:dyDescent="0.25">
      <c r="A462" s="6" t="s">
        <v>942</v>
      </c>
      <c r="B462" s="7">
        <v>45209.611805555563</v>
      </c>
      <c r="C462" s="6">
        <v>39</v>
      </c>
      <c r="D462" s="6" t="s">
        <v>792</v>
      </c>
      <c r="E462" s="8" t="str">
        <f>IFERROR(VLOOKUP(LOG_RESEAU[[#This Row],[Cell_ID]],Registre_Maintenance!A:B,2,FALSE),"Non trouvé")</f>
        <v>Sankuru</v>
      </c>
      <c r="F462" s="8">
        <f>IFERROR(VLOOKUP(LOG_RESEAU[[#This Row],[Cell_ID]],Registre_Maintenance!A:C,3,FALSE),"Non trouvé")</f>
        <v>-4.7886769999999999</v>
      </c>
      <c r="G462" s="8">
        <f>IFERROR(VLOOKUP(LOG_RESEAU[[#This Row],[Cell_ID]],Registre_Maintenance!A:D,4,FALSE),"Non trouvé")</f>
        <v>23.600221999999999</v>
      </c>
      <c r="H462" s="6" t="str">
        <f>IFERROR(VLOOKUP(LOG_RESEAU[[#This Row],[Cell_ID]],Registre_Maintenance!A:E,5,FALSE),"Non trouvé")</f>
        <v>3G</v>
      </c>
      <c r="I462" s="6" t="str">
        <f>IFERROR(VLOOKUP(LOG_RESEAU[[#This Row],[Cell_ID]],Registre_Maintenance!A:F,6,FALSE),"Non trouvé")</f>
        <v>ZTE</v>
      </c>
      <c r="J462" s="6" t="str">
        <f t="shared" si="21"/>
        <v>OK</v>
      </c>
      <c r="K462" s="6">
        <f t="shared" si="22"/>
        <v>6</v>
      </c>
      <c r="L462" s="6">
        <f t="shared" si="23"/>
        <v>373</v>
      </c>
    </row>
    <row r="463" spans="1:12" ht="15.75" x14ac:dyDescent="0.25">
      <c r="A463" s="6" t="s">
        <v>942</v>
      </c>
      <c r="B463" s="7">
        <v>45216.693749999999</v>
      </c>
      <c r="C463" s="6">
        <v>62</v>
      </c>
      <c r="D463" s="6" t="s">
        <v>800</v>
      </c>
      <c r="E463" s="8" t="str">
        <f>IFERROR(VLOOKUP(LOG_RESEAU[[#This Row],[Cell_ID]],Registre_Maintenance!A:B,2,FALSE),"Non trouvé")</f>
        <v>Sankuru</v>
      </c>
      <c r="F463" s="8">
        <f>IFERROR(VLOOKUP(LOG_RESEAU[[#This Row],[Cell_ID]],Registre_Maintenance!A:C,3,FALSE),"Non trouvé")</f>
        <v>-4.7886769999999999</v>
      </c>
      <c r="G463" s="8">
        <f>IFERROR(VLOOKUP(LOG_RESEAU[[#This Row],[Cell_ID]],Registre_Maintenance!A:D,4,FALSE),"Non trouvé")</f>
        <v>23.600221999999999</v>
      </c>
      <c r="H463" s="6" t="str">
        <f>IFERROR(VLOOKUP(LOG_RESEAU[[#This Row],[Cell_ID]],Registre_Maintenance!A:E,5,FALSE),"Non trouvé")</f>
        <v>3G</v>
      </c>
      <c r="I463" s="6" t="str">
        <f>IFERROR(VLOOKUP(LOG_RESEAU[[#This Row],[Cell_ID]],Registre_Maintenance!A:F,6,FALSE),"Non trouvé")</f>
        <v>ZTE</v>
      </c>
      <c r="J463" s="6" t="str">
        <f t="shared" si="21"/>
        <v>OK</v>
      </c>
      <c r="K463" s="6">
        <f t="shared" si="22"/>
        <v>6</v>
      </c>
      <c r="L463" s="6">
        <f t="shared" si="23"/>
        <v>373</v>
      </c>
    </row>
    <row r="464" spans="1:12" ht="15.75" x14ac:dyDescent="0.25">
      <c r="A464" s="6" t="s">
        <v>942</v>
      </c>
      <c r="B464" s="7">
        <v>45205.191666666673</v>
      </c>
      <c r="C464" s="6">
        <v>34</v>
      </c>
      <c r="D464" s="6" t="s">
        <v>794</v>
      </c>
      <c r="E464" s="8" t="str">
        <f>IFERROR(VLOOKUP(LOG_RESEAU[[#This Row],[Cell_ID]],Registre_Maintenance!A:B,2,FALSE),"Non trouvé")</f>
        <v>Sankuru</v>
      </c>
      <c r="F464" s="8">
        <f>IFERROR(VLOOKUP(LOG_RESEAU[[#This Row],[Cell_ID]],Registre_Maintenance!A:C,3,FALSE),"Non trouvé")</f>
        <v>-4.7886769999999999</v>
      </c>
      <c r="G464" s="8">
        <f>IFERROR(VLOOKUP(LOG_RESEAU[[#This Row],[Cell_ID]],Registre_Maintenance!A:D,4,FALSE),"Non trouvé")</f>
        <v>23.600221999999999</v>
      </c>
      <c r="H464" s="6" t="str">
        <f>IFERROR(VLOOKUP(LOG_RESEAU[[#This Row],[Cell_ID]],Registre_Maintenance!A:E,5,FALSE),"Non trouvé")</f>
        <v>3G</v>
      </c>
      <c r="I464" s="6" t="str">
        <f>IFERROR(VLOOKUP(LOG_RESEAU[[#This Row],[Cell_ID]],Registre_Maintenance!A:F,6,FALSE),"Non trouvé")</f>
        <v>ZTE</v>
      </c>
      <c r="J464" s="6" t="str">
        <f t="shared" si="21"/>
        <v>OK</v>
      </c>
      <c r="K464" s="6">
        <f t="shared" si="22"/>
        <v>6</v>
      </c>
      <c r="L464" s="6">
        <f t="shared" si="23"/>
        <v>373</v>
      </c>
    </row>
    <row r="465" spans="1:12" ht="15.75" x14ac:dyDescent="0.25">
      <c r="A465" s="6" t="s">
        <v>923</v>
      </c>
      <c r="B465" s="7">
        <v>45216.14166666667</v>
      </c>
      <c r="C465" s="6">
        <v>92</v>
      </c>
      <c r="D465" s="6" t="s">
        <v>800</v>
      </c>
      <c r="E465" s="8" t="str">
        <f>IFERROR(VLOOKUP(LOG_RESEAU[[#This Row],[Cell_ID]],Registre_Maintenance!A:B,2,FALSE),"Non trouvé")</f>
        <v>Non trouvé</v>
      </c>
      <c r="F465" s="8" t="str">
        <f>IFERROR(VLOOKUP(LOG_RESEAU[[#This Row],[Cell_ID]],Registre_Maintenance!A:C,3,FALSE),"Non trouvé")</f>
        <v>Non trouvé</v>
      </c>
      <c r="G465" s="8" t="str">
        <f>IFERROR(VLOOKUP(LOG_RESEAU[[#This Row],[Cell_ID]],Registre_Maintenance!A:D,4,FALSE),"Non trouvé")</f>
        <v>Non trouvé</v>
      </c>
      <c r="H465" s="6" t="str">
        <f>IFERROR(VLOOKUP(LOG_RESEAU[[#This Row],[Cell_ID]],Registre_Maintenance!A:E,5,FALSE),"Non trouvé")</f>
        <v>Non trouvé</v>
      </c>
      <c r="I465" s="6" t="str">
        <f>IFERROR(VLOOKUP(LOG_RESEAU[[#This Row],[Cell_ID]],Registre_Maintenance!A:F,6,FALSE),"Non trouvé")</f>
        <v>Non trouvé</v>
      </c>
      <c r="J465" s="6" t="str">
        <f t="shared" si="21"/>
        <v>Antenne inconnue</v>
      </c>
      <c r="K465" s="6">
        <f t="shared" si="22"/>
        <v>4</v>
      </c>
      <c r="L465" s="6">
        <f t="shared" si="23"/>
        <v>198</v>
      </c>
    </row>
    <row r="466" spans="1:12" ht="15.75" x14ac:dyDescent="0.25">
      <c r="A466" s="6" t="s">
        <v>983</v>
      </c>
      <c r="B466" s="7">
        <v>45201.229166666657</v>
      </c>
      <c r="C466" s="6">
        <v>23</v>
      </c>
      <c r="D466" s="6" t="s">
        <v>794</v>
      </c>
      <c r="E466" s="8" t="str">
        <f>IFERROR(VLOOKUP(LOG_RESEAU[[#This Row],[Cell_ID]],Registre_Maintenance!A:B,2,FALSE),"Non trouvé")</f>
        <v>Non trouvé</v>
      </c>
      <c r="F466" s="8" t="str">
        <f>IFERROR(VLOOKUP(LOG_RESEAU[[#This Row],[Cell_ID]],Registre_Maintenance!A:C,3,FALSE),"Non trouvé")</f>
        <v>Non trouvé</v>
      </c>
      <c r="G466" s="8" t="str">
        <f>IFERROR(VLOOKUP(LOG_RESEAU[[#This Row],[Cell_ID]],Registre_Maintenance!A:D,4,FALSE),"Non trouvé")</f>
        <v>Non trouvé</v>
      </c>
      <c r="H466" s="6" t="str">
        <f>IFERROR(VLOOKUP(LOG_RESEAU[[#This Row],[Cell_ID]],Registre_Maintenance!A:E,5,FALSE),"Non trouvé")</f>
        <v>Non trouvé</v>
      </c>
      <c r="I466" s="6" t="str">
        <f>IFERROR(VLOOKUP(LOG_RESEAU[[#This Row],[Cell_ID]],Registre_Maintenance!A:F,6,FALSE),"Non trouvé")</f>
        <v>Non trouvé</v>
      </c>
      <c r="J466" s="6" t="str">
        <f t="shared" si="21"/>
        <v>Antenne inconnue</v>
      </c>
      <c r="K466" s="6">
        <f t="shared" si="22"/>
        <v>4</v>
      </c>
      <c r="L466" s="6">
        <f t="shared" si="23"/>
        <v>198</v>
      </c>
    </row>
    <row r="467" spans="1:12" ht="15.75" x14ac:dyDescent="0.25">
      <c r="A467" s="6" t="s">
        <v>983</v>
      </c>
      <c r="B467" s="7">
        <v>45214.40902777778</v>
      </c>
      <c r="C467" s="6">
        <v>65</v>
      </c>
      <c r="D467" s="6" t="s">
        <v>792</v>
      </c>
      <c r="E467" s="8" t="str">
        <f>IFERROR(VLOOKUP(LOG_RESEAU[[#This Row],[Cell_ID]],Registre_Maintenance!A:B,2,FALSE),"Non trouvé")</f>
        <v>Non trouvé</v>
      </c>
      <c r="F467" s="8" t="str">
        <f>IFERROR(VLOOKUP(LOG_RESEAU[[#This Row],[Cell_ID]],Registre_Maintenance!A:C,3,FALSE),"Non trouvé")</f>
        <v>Non trouvé</v>
      </c>
      <c r="G467" s="8" t="str">
        <f>IFERROR(VLOOKUP(LOG_RESEAU[[#This Row],[Cell_ID]],Registre_Maintenance!A:D,4,FALSE),"Non trouvé")</f>
        <v>Non trouvé</v>
      </c>
      <c r="H467" s="6" t="str">
        <f>IFERROR(VLOOKUP(LOG_RESEAU[[#This Row],[Cell_ID]],Registre_Maintenance!A:E,5,FALSE),"Non trouvé")</f>
        <v>Non trouvé</v>
      </c>
      <c r="I467" s="6" t="str">
        <f>IFERROR(VLOOKUP(LOG_RESEAU[[#This Row],[Cell_ID]],Registre_Maintenance!A:F,6,FALSE),"Non trouvé")</f>
        <v>Non trouvé</v>
      </c>
      <c r="J467" s="6" t="str">
        <f t="shared" si="21"/>
        <v>Antenne inconnue</v>
      </c>
      <c r="K467" s="6">
        <f t="shared" si="22"/>
        <v>4</v>
      </c>
      <c r="L467" s="6">
        <f t="shared" si="23"/>
        <v>198</v>
      </c>
    </row>
    <row r="468" spans="1:12" ht="15.75" x14ac:dyDescent="0.25">
      <c r="A468" s="6" t="s">
        <v>983</v>
      </c>
      <c r="B468" s="7">
        <v>45219.633333333331</v>
      </c>
      <c r="C468" s="6">
        <v>18</v>
      </c>
      <c r="D468" s="6" t="s">
        <v>792</v>
      </c>
      <c r="E468" s="8" t="str">
        <f>IFERROR(VLOOKUP(LOG_RESEAU[[#This Row],[Cell_ID]],Registre_Maintenance!A:B,2,FALSE),"Non trouvé")</f>
        <v>Non trouvé</v>
      </c>
      <c r="F468" s="8" t="str">
        <f>IFERROR(VLOOKUP(LOG_RESEAU[[#This Row],[Cell_ID]],Registre_Maintenance!A:C,3,FALSE),"Non trouvé")</f>
        <v>Non trouvé</v>
      </c>
      <c r="G468" s="8" t="str">
        <f>IFERROR(VLOOKUP(LOG_RESEAU[[#This Row],[Cell_ID]],Registre_Maintenance!A:D,4,FALSE),"Non trouvé")</f>
        <v>Non trouvé</v>
      </c>
      <c r="H468" s="6" t="str">
        <f>IFERROR(VLOOKUP(LOG_RESEAU[[#This Row],[Cell_ID]],Registre_Maintenance!A:E,5,FALSE),"Non trouvé")</f>
        <v>Non trouvé</v>
      </c>
      <c r="I468" s="6" t="str">
        <f>IFERROR(VLOOKUP(LOG_RESEAU[[#This Row],[Cell_ID]],Registre_Maintenance!A:F,6,FALSE),"Non trouvé")</f>
        <v>Non trouvé</v>
      </c>
      <c r="J468" s="6" t="str">
        <f t="shared" si="21"/>
        <v>Antenne inconnue</v>
      </c>
      <c r="K468" s="6">
        <f t="shared" si="22"/>
        <v>4</v>
      </c>
      <c r="L468" s="6">
        <f t="shared" si="23"/>
        <v>198</v>
      </c>
    </row>
    <row r="469" spans="1:12" ht="15.75" x14ac:dyDescent="0.25">
      <c r="A469" s="6" t="s">
        <v>926</v>
      </c>
      <c r="B469" s="7">
        <v>45213.022916666669</v>
      </c>
      <c r="C469" s="6">
        <v>21</v>
      </c>
      <c r="D469" s="6" t="s">
        <v>800</v>
      </c>
      <c r="E469" s="8" t="str">
        <f>IFERROR(VLOOKUP(LOG_RESEAU[[#This Row],[Cell_ID]],Registre_Maintenance!A:B,2,FALSE),"Non trouvé")</f>
        <v>Kongo-Central</v>
      </c>
      <c r="F469" s="8">
        <f>IFERROR(VLOOKUP(LOG_RESEAU[[#This Row],[Cell_ID]],Registre_Maintenance!A:C,3,FALSE),"Non trouvé")</f>
        <v>2.975352</v>
      </c>
      <c r="G469" s="8">
        <f>IFERROR(VLOOKUP(LOG_RESEAU[[#This Row],[Cell_ID]],Registre_Maintenance!A:D,4,FALSE),"Non trouvé")</f>
        <v>22.535886000000001</v>
      </c>
      <c r="H469" s="6" t="str">
        <f>IFERROR(VLOOKUP(LOG_RESEAU[[#This Row],[Cell_ID]],Registre_Maintenance!A:E,5,FALSE),"Non trouvé")</f>
        <v>4G</v>
      </c>
      <c r="I469" s="6" t="str">
        <f>IFERROR(VLOOKUP(LOG_RESEAU[[#This Row],[Cell_ID]],Registre_Maintenance!A:F,6,FALSE),"Non trouvé")</f>
        <v>Huawei</v>
      </c>
      <c r="J469" s="6" t="str">
        <f t="shared" si="21"/>
        <v>OK</v>
      </c>
      <c r="K469" s="6">
        <f t="shared" si="22"/>
        <v>8</v>
      </c>
      <c r="L469" s="6">
        <f t="shared" si="23"/>
        <v>495</v>
      </c>
    </row>
    <row r="470" spans="1:12" ht="15.75" x14ac:dyDescent="0.25">
      <c r="A470" s="6" t="s">
        <v>926</v>
      </c>
      <c r="B470" s="7">
        <v>45200.726388888892</v>
      </c>
      <c r="C470" s="6">
        <v>83</v>
      </c>
      <c r="D470" s="6" t="s">
        <v>794</v>
      </c>
      <c r="E470" s="8" t="str">
        <f>IFERROR(VLOOKUP(LOG_RESEAU[[#This Row],[Cell_ID]],Registre_Maintenance!A:B,2,FALSE),"Non trouvé")</f>
        <v>Kongo-Central</v>
      </c>
      <c r="F470" s="8">
        <f>IFERROR(VLOOKUP(LOG_RESEAU[[#This Row],[Cell_ID]],Registre_Maintenance!A:C,3,FALSE),"Non trouvé")</f>
        <v>2.975352</v>
      </c>
      <c r="G470" s="8">
        <f>IFERROR(VLOOKUP(LOG_RESEAU[[#This Row],[Cell_ID]],Registre_Maintenance!A:D,4,FALSE),"Non trouvé")</f>
        <v>22.535886000000001</v>
      </c>
      <c r="H470" s="6" t="str">
        <f>IFERROR(VLOOKUP(LOG_RESEAU[[#This Row],[Cell_ID]],Registre_Maintenance!A:E,5,FALSE),"Non trouvé")</f>
        <v>4G</v>
      </c>
      <c r="I470" s="6" t="str">
        <f>IFERROR(VLOOKUP(LOG_RESEAU[[#This Row],[Cell_ID]],Registre_Maintenance!A:F,6,FALSE),"Non trouvé")</f>
        <v>Huawei</v>
      </c>
      <c r="J470" s="6" t="str">
        <f t="shared" si="21"/>
        <v>OK</v>
      </c>
      <c r="K470" s="6">
        <f t="shared" si="22"/>
        <v>8</v>
      </c>
      <c r="L470" s="6">
        <f t="shared" si="23"/>
        <v>495</v>
      </c>
    </row>
    <row r="471" spans="1:12" ht="15.75" x14ac:dyDescent="0.25">
      <c r="A471" s="6" t="s">
        <v>926</v>
      </c>
      <c r="B471" s="7">
        <v>45216.928472222222</v>
      </c>
      <c r="C471" s="6">
        <v>69</v>
      </c>
      <c r="D471" s="6" t="s">
        <v>800</v>
      </c>
      <c r="E471" s="8" t="str">
        <f>IFERROR(VLOOKUP(LOG_RESEAU[[#This Row],[Cell_ID]],Registre_Maintenance!A:B,2,FALSE),"Non trouvé")</f>
        <v>Kongo-Central</v>
      </c>
      <c r="F471" s="8">
        <f>IFERROR(VLOOKUP(LOG_RESEAU[[#This Row],[Cell_ID]],Registre_Maintenance!A:C,3,FALSE),"Non trouvé")</f>
        <v>2.975352</v>
      </c>
      <c r="G471" s="8">
        <f>IFERROR(VLOOKUP(LOG_RESEAU[[#This Row],[Cell_ID]],Registre_Maintenance!A:D,4,FALSE),"Non trouvé")</f>
        <v>22.535886000000001</v>
      </c>
      <c r="H471" s="6" t="str">
        <f>IFERROR(VLOOKUP(LOG_RESEAU[[#This Row],[Cell_ID]],Registre_Maintenance!A:E,5,FALSE),"Non trouvé")</f>
        <v>4G</v>
      </c>
      <c r="I471" s="6" t="str">
        <f>IFERROR(VLOOKUP(LOG_RESEAU[[#This Row],[Cell_ID]],Registre_Maintenance!A:F,6,FALSE),"Non trouvé")</f>
        <v>Huawei</v>
      </c>
      <c r="J471" s="6" t="str">
        <f t="shared" si="21"/>
        <v>OK</v>
      </c>
      <c r="K471" s="6">
        <f t="shared" si="22"/>
        <v>8</v>
      </c>
      <c r="L471" s="6">
        <f t="shared" si="23"/>
        <v>495</v>
      </c>
    </row>
    <row r="472" spans="1:12" ht="15.75" x14ac:dyDescent="0.25">
      <c r="A472" s="6" t="s">
        <v>926</v>
      </c>
      <c r="B472" s="7">
        <v>45221.313194444447</v>
      </c>
      <c r="C472" s="6">
        <v>94</v>
      </c>
      <c r="D472" s="6" t="s">
        <v>800</v>
      </c>
      <c r="E472" s="8" t="str">
        <f>IFERROR(VLOOKUP(LOG_RESEAU[[#This Row],[Cell_ID]],Registre_Maintenance!A:B,2,FALSE),"Non trouvé")</f>
        <v>Kongo-Central</v>
      </c>
      <c r="F472" s="8">
        <f>IFERROR(VLOOKUP(LOG_RESEAU[[#This Row],[Cell_ID]],Registre_Maintenance!A:C,3,FALSE),"Non trouvé")</f>
        <v>2.975352</v>
      </c>
      <c r="G472" s="8">
        <f>IFERROR(VLOOKUP(LOG_RESEAU[[#This Row],[Cell_ID]],Registre_Maintenance!A:D,4,FALSE),"Non trouvé")</f>
        <v>22.535886000000001</v>
      </c>
      <c r="H472" s="6" t="str">
        <f>IFERROR(VLOOKUP(LOG_RESEAU[[#This Row],[Cell_ID]],Registre_Maintenance!A:E,5,FALSE),"Non trouvé")</f>
        <v>4G</v>
      </c>
      <c r="I472" s="6" t="str">
        <f>IFERROR(VLOOKUP(LOG_RESEAU[[#This Row],[Cell_ID]],Registre_Maintenance!A:F,6,FALSE),"Non trouvé")</f>
        <v>Huawei</v>
      </c>
      <c r="J472" s="6" t="str">
        <f t="shared" si="21"/>
        <v>OK</v>
      </c>
      <c r="K472" s="6">
        <f t="shared" si="22"/>
        <v>8</v>
      </c>
      <c r="L472" s="6">
        <f t="shared" si="23"/>
        <v>495</v>
      </c>
    </row>
    <row r="473" spans="1:12" ht="15.75" x14ac:dyDescent="0.25">
      <c r="A473" s="6" t="s">
        <v>926</v>
      </c>
      <c r="B473" s="7">
        <v>45200.493055555547</v>
      </c>
      <c r="C473" s="6">
        <v>88</v>
      </c>
      <c r="D473" s="6" t="s">
        <v>794</v>
      </c>
      <c r="E473" s="8" t="str">
        <f>IFERROR(VLOOKUP(LOG_RESEAU[[#This Row],[Cell_ID]],Registre_Maintenance!A:B,2,FALSE),"Non trouvé")</f>
        <v>Kongo-Central</v>
      </c>
      <c r="F473" s="8">
        <f>IFERROR(VLOOKUP(LOG_RESEAU[[#This Row],[Cell_ID]],Registre_Maintenance!A:C,3,FALSE),"Non trouvé")</f>
        <v>2.975352</v>
      </c>
      <c r="G473" s="8">
        <f>IFERROR(VLOOKUP(LOG_RESEAU[[#This Row],[Cell_ID]],Registre_Maintenance!A:D,4,FALSE),"Non trouvé")</f>
        <v>22.535886000000001</v>
      </c>
      <c r="H473" s="6" t="str">
        <f>IFERROR(VLOOKUP(LOG_RESEAU[[#This Row],[Cell_ID]],Registre_Maintenance!A:E,5,FALSE),"Non trouvé")</f>
        <v>4G</v>
      </c>
      <c r="I473" s="6" t="str">
        <f>IFERROR(VLOOKUP(LOG_RESEAU[[#This Row],[Cell_ID]],Registre_Maintenance!A:F,6,FALSE),"Non trouvé")</f>
        <v>Huawei</v>
      </c>
      <c r="J473" s="6" t="str">
        <f t="shared" si="21"/>
        <v>OK</v>
      </c>
      <c r="K473" s="6">
        <f t="shared" si="22"/>
        <v>8</v>
      </c>
      <c r="L473" s="6">
        <f t="shared" si="23"/>
        <v>495</v>
      </c>
    </row>
    <row r="474" spans="1:12" ht="15.75" x14ac:dyDescent="0.25">
      <c r="A474" s="6" t="s">
        <v>926</v>
      </c>
      <c r="B474" s="7">
        <v>45222.663194444453</v>
      </c>
      <c r="C474" s="6">
        <v>6</v>
      </c>
      <c r="D474" s="6" t="s">
        <v>792</v>
      </c>
      <c r="E474" s="8" t="str">
        <f>IFERROR(VLOOKUP(LOG_RESEAU[[#This Row],[Cell_ID]],Registre_Maintenance!A:B,2,FALSE),"Non trouvé")</f>
        <v>Kongo-Central</v>
      </c>
      <c r="F474" s="8">
        <f>IFERROR(VLOOKUP(LOG_RESEAU[[#This Row],[Cell_ID]],Registre_Maintenance!A:C,3,FALSE),"Non trouvé")</f>
        <v>2.975352</v>
      </c>
      <c r="G474" s="8">
        <f>IFERROR(VLOOKUP(LOG_RESEAU[[#This Row],[Cell_ID]],Registre_Maintenance!A:D,4,FALSE),"Non trouvé")</f>
        <v>22.535886000000001</v>
      </c>
      <c r="H474" s="6" t="str">
        <f>IFERROR(VLOOKUP(LOG_RESEAU[[#This Row],[Cell_ID]],Registre_Maintenance!A:E,5,FALSE),"Non trouvé")</f>
        <v>4G</v>
      </c>
      <c r="I474" s="6" t="str">
        <f>IFERROR(VLOOKUP(LOG_RESEAU[[#This Row],[Cell_ID]],Registre_Maintenance!A:F,6,FALSE),"Non trouvé")</f>
        <v>Huawei</v>
      </c>
      <c r="J474" s="6" t="str">
        <f t="shared" si="21"/>
        <v>OK</v>
      </c>
      <c r="K474" s="6">
        <f t="shared" si="22"/>
        <v>8</v>
      </c>
      <c r="L474" s="6">
        <f t="shared" si="23"/>
        <v>495</v>
      </c>
    </row>
    <row r="475" spans="1:12" ht="15.75" x14ac:dyDescent="0.25">
      <c r="A475" s="6" t="s">
        <v>926</v>
      </c>
      <c r="B475" s="7">
        <v>45204.237500000003</v>
      </c>
      <c r="C475" s="6">
        <v>21</v>
      </c>
      <c r="D475" s="6" t="s">
        <v>800</v>
      </c>
      <c r="E475" s="8" t="str">
        <f>IFERROR(VLOOKUP(LOG_RESEAU[[#This Row],[Cell_ID]],Registre_Maintenance!A:B,2,FALSE),"Non trouvé")</f>
        <v>Kongo-Central</v>
      </c>
      <c r="F475" s="8">
        <f>IFERROR(VLOOKUP(LOG_RESEAU[[#This Row],[Cell_ID]],Registre_Maintenance!A:C,3,FALSE),"Non trouvé")</f>
        <v>2.975352</v>
      </c>
      <c r="G475" s="8">
        <f>IFERROR(VLOOKUP(LOG_RESEAU[[#This Row],[Cell_ID]],Registre_Maintenance!A:D,4,FALSE),"Non trouvé")</f>
        <v>22.535886000000001</v>
      </c>
      <c r="H475" s="6" t="str">
        <f>IFERROR(VLOOKUP(LOG_RESEAU[[#This Row],[Cell_ID]],Registre_Maintenance!A:E,5,FALSE),"Non trouvé")</f>
        <v>4G</v>
      </c>
      <c r="I475" s="6" t="str">
        <f>IFERROR(VLOOKUP(LOG_RESEAU[[#This Row],[Cell_ID]],Registre_Maintenance!A:F,6,FALSE),"Non trouvé")</f>
        <v>Huawei</v>
      </c>
      <c r="J475" s="6" t="str">
        <f t="shared" si="21"/>
        <v>OK</v>
      </c>
      <c r="K475" s="6">
        <f t="shared" si="22"/>
        <v>8</v>
      </c>
      <c r="L475" s="6">
        <f t="shared" si="23"/>
        <v>495</v>
      </c>
    </row>
    <row r="476" spans="1:12" ht="15.75" x14ac:dyDescent="0.25">
      <c r="A476" s="6" t="s">
        <v>926</v>
      </c>
      <c r="B476" s="7">
        <v>45204.55</v>
      </c>
      <c r="C476" s="6">
        <v>113</v>
      </c>
      <c r="D476" s="6" t="s">
        <v>800</v>
      </c>
      <c r="E476" s="8" t="str">
        <f>IFERROR(VLOOKUP(LOG_RESEAU[[#This Row],[Cell_ID]],Registre_Maintenance!A:B,2,FALSE),"Non trouvé")</f>
        <v>Kongo-Central</v>
      </c>
      <c r="F476" s="8">
        <f>IFERROR(VLOOKUP(LOG_RESEAU[[#This Row],[Cell_ID]],Registre_Maintenance!A:C,3,FALSE),"Non trouvé")</f>
        <v>2.975352</v>
      </c>
      <c r="G476" s="8">
        <f>IFERROR(VLOOKUP(LOG_RESEAU[[#This Row],[Cell_ID]],Registre_Maintenance!A:D,4,FALSE),"Non trouvé")</f>
        <v>22.535886000000001</v>
      </c>
      <c r="H476" s="6" t="str">
        <f>IFERROR(VLOOKUP(LOG_RESEAU[[#This Row],[Cell_ID]],Registre_Maintenance!A:E,5,FALSE),"Non trouvé")</f>
        <v>4G</v>
      </c>
      <c r="I476" s="6" t="str">
        <f>IFERROR(VLOOKUP(LOG_RESEAU[[#This Row],[Cell_ID]],Registre_Maintenance!A:F,6,FALSE),"Non trouvé")</f>
        <v>Huawei</v>
      </c>
      <c r="J476" s="6" t="str">
        <f t="shared" si="21"/>
        <v>OK</v>
      </c>
      <c r="K476" s="6">
        <f t="shared" si="22"/>
        <v>8</v>
      </c>
      <c r="L476" s="6">
        <f t="shared" si="23"/>
        <v>495</v>
      </c>
    </row>
    <row r="477" spans="1:12" ht="15.75" x14ac:dyDescent="0.25">
      <c r="A477" s="6" t="s">
        <v>998</v>
      </c>
      <c r="B477" s="7">
        <v>45208.713194444441</v>
      </c>
      <c r="C477" s="6">
        <v>38</v>
      </c>
      <c r="D477" s="6" t="s">
        <v>794</v>
      </c>
      <c r="E477" s="8" t="str">
        <f>IFERROR(VLOOKUP(LOG_RESEAU[[#This Row],[Cell_ID]],Registre_Maintenance!A:B,2,FALSE),"Non trouvé")</f>
        <v>Maniema</v>
      </c>
      <c r="F477" s="8">
        <f>IFERROR(VLOOKUP(LOG_RESEAU[[#This Row],[Cell_ID]],Registre_Maintenance!A:C,3,FALSE),"Non trouvé")</f>
        <v>-10.650321</v>
      </c>
      <c r="G477" s="8">
        <f>IFERROR(VLOOKUP(LOG_RESEAU[[#This Row],[Cell_ID]],Registre_Maintenance!A:D,4,FALSE),"Non trouvé")</f>
        <v>15.917044000000001</v>
      </c>
      <c r="H477" s="6" t="str">
        <f>IFERROR(VLOOKUP(LOG_RESEAU[[#This Row],[Cell_ID]],Registre_Maintenance!A:E,5,FALSE),"Non trouvé")</f>
        <v>4G</v>
      </c>
      <c r="I477" s="6" t="str">
        <f>IFERROR(VLOOKUP(LOG_RESEAU[[#This Row],[Cell_ID]],Registre_Maintenance!A:F,6,FALSE),"Non trouvé")</f>
        <v>Nokia</v>
      </c>
      <c r="J477" s="6" t="str">
        <f t="shared" si="21"/>
        <v>OK</v>
      </c>
      <c r="K477" s="6">
        <f t="shared" si="22"/>
        <v>4</v>
      </c>
      <c r="L477" s="6">
        <f t="shared" si="23"/>
        <v>265</v>
      </c>
    </row>
    <row r="478" spans="1:12" ht="15.75" x14ac:dyDescent="0.25">
      <c r="A478" s="6" t="s">
        <v>998</v>
      </c>
      <c r="B478" s="7">
        <v>45209.359027777777</v>
      </c>
      <c r="C478" s="6">
        <v>56</v>
      </c>
      <c r="D478" s="6" t="s">
        <v>800</v>
      </c>
      <c r="E478" s="8" t="str">
        <f>IFERROR(VLOOKUP(LOG_RESEAU[[#This Row],[Cell_ID]],Registre_Maintenance!A:B,2,FALSE),"Non trouvé")</f>
        <v>Maniema</v>
      </c>
      <c r="F478" s="8">
        <f>IFERROR(VLOOKUP(LOG_RESEAU[[#This Row],[Cell_ID]],Registre_Maintenance!A:C,3,FALSE),"Non trouvé")</f>
        <v>-10.650321</v>
      </c>
      <c r="G478" s="8">
        <f>IFERROR(VLOOKUP(LOG_RESEAU[[#This Row],[Cell_ID]],Registre_Maintenance!A:D,4,FALSE),"Non trouvé")</f>
        <v>15.917044000000001</v>
      </c>
      <c r="H478" s="6" t="str">
        <f>IFERROR(VLOOKUP(LOG_RESEAU[[#This Row],[Cell_ID]],Registre_Maintenance!A:E,5,FALSE),"Non trouvé")</f>
        <v>4G</v>
      </c>
      <c r="I478" s="6" t="str">
        <f>IFERROR(VLOOKUP(LOG_RESEAU[[#This Row],[Cell_ID]],Registre_Maintenance!A:F,6,FALSE),"Non trouvé")</f>
        <v>Nokia</v>
      </c>
      <c r="J478" s="6" t="str">
        <f t="shared" si="21"/>
        <v>OK</v>
      </c>
      <c r="K478" s="6">
        <f t="shared" si="22"/>
        <v>4</v>
      </c>
      <c r="L478" s="6">
        <f t="shared" si="23"/>
        <v>265</v>
      </c>
    </row>
    <row r="479" spans="1:12" ht="15.75" x14ac:dyDescent="0.25">
      <c r="A479" s="6" t="s">
        <v>998</v>
      </c>
      <c r="B479" s="7">
        <v>45216.709027777782</v>
      </c>
      <c r="C479" s="6">
        <v>70</v>
      </c>
      <c r="D479" s="6" t="s">
        <v>800</v>
      </c>
      <c r="E479" s="8" t="str">
        <f>IFERROR(VLOOKUP(LOG_RESEAU[[#This Row],[Cell_ID]],Registre_Maintenance!A:B,2,FALSE),"Non trouvé")</f>
        <v>Maniema</v>
      </c>
      <c r="F479" s="8">
        <f>IFERROR(VLOOKUP(LOG_RESEAU[[#This Row],[Cell_ID]],Registre_Maintenance!A:C,3,FALSE),"Non trouvé")</f>
        <v>-10.650321</v>
      </c>
      <c r="G479" s="8">
        <f>IFERROR(VLOOKUP(LOG_RESEAU[[#This Row],[Cell_ID]],Registre_Maintenance!A:D,4,FALSE),"Non trouvé")</f>
        <v>15.917044000000001</v>
      </c>
      <c r="H479" s="6" t="str">
        <f>IFERROR(VLOOKUP(LOG_RESEAU[[#This Row],[Cell_ID]],Registre_Maintenance!A:E,5,FALSE),"Non trouvé")</f>
        <v>4G</v>
      </c>
      <c r="I479" s="6" t="str">
        <f>IFERROR(VLOOKUP(LOG_RESEAU[[#This Row],[Cell_ID]],Registre_Maintenance!A:F,6,FALSE),"Non trouvé")</f>
        <v>Nokia</v>
      </c>
      <c r="J479" s="6" t="str">
        <f t="shared" si="21"/>
        <v>OK</v>
      </c>
      <c r="K479" s="6">
        <f t="shared" si="22"/>
        <v>4</v>
      </c>
      <c r="L479" s="6">
        <f t="shared" si="23"/>
        <v>265</v>
      </c>
    </row>
    <row r="480" spans="1:12" ht="15.75" x14ac:dyDescent="0.25">
      <c r="A480" s="6" t="s">
        <v>998</v>
      </c>
      <c r="B480" s="7">
        <v>45226.530555555553</v>
      </c>
      <c r="C480" s="6">
        <v>101</v>
      </c>
      <c r="D480" s="6" t="s">
        <v>792</v>
      </c>
      <c r="E480" s="8" t="str">
        <f>IFERROR(VLOOKUP(LOG_RESEAU[[#This Row],[Cell_ID]],Registre_Maintenance!A:B,2,FALSE),"Non trouvé")</f>
        <v>Maniema</v>
      </c>
      <c r="F480" s="8">
        <f>IFERROR(VLOOKUP(LOG_RESEAU[[#This Row],[Cell_ID]],Registre_Maintenance!A:C,3,FALSE),"Non trouvé")</f>
        <v>-10.650321</v>
      </c>
      <c r="G480" s="8">
        <f>IFERROR(VLOOKUP(LOG_RESEAU[[#This Row],[Cell_ID]],Registre_Maintenance!A:D,4,FALSE),"Non trouvé")</f>
        <v>15.917044000000001</v>
      </c>
      <c r="H480" s="6" t="str">
        <f>IFERROR(VLOOKUP(LOG_RESEAU[[#This Row],[Cell_ID]],Registre_Maintenance!A:E,5,FALSE),"Non trouvé")</f>
        <v>4G</v>
      </c>
      <c r="I480" s="6" t="str">
        <f>IFERROR(VLOOKUP(LOG_RESEAU[[#This Row],[Cell_ID]],Registre_Maintenance!A:F,6,FALSE),"Non trouvé")</f>
        <v>Nokia</v>
      </c>
      <c r="J480" s="6" t="str">
        <f t="shared" si="21"/>
        <v>OK</v>
      </c>
      <c r="K480" s="6">
        <f t="shared" si="22"/>
        <v>4</v>
      </c>
      <c r="L480" s="6">
        <f t="shared" si="23"/>
        <v>265</v>
      </c>
    </row>
    <row r="481" spans="1:12" ht="15.75" x14ac:dyDescent="0.25">
      <c r="A481" s="6" t="s">
        <v>901</v>
      </c>
      <c r="B481" s="7">
        <v>45217.178472222222</v>
      </c>
      <c r="C481" s="6">
        <v>96</v>
      </c>
      <c r="D481" s="6" t="s">
        <v>794</v>
      </c>
      <c r="E481" s="8" t="str">
        <f>IFERROR(VLOOKUP(LOG_RESEAU[[#This Row],[Cell_ID]],Registre_Maintenance!A:B,2,FALSE),"Non trouvé")</f>
        <v>Non trouvé</v>
      </c>
      <c r="F481" s="8" t="str">
        <f>IFERROR(VLOOKUP(LOG_RESEAU[[#This Row],[Cell_ID]],Registre_Maintenance!A:C,3,FALSE),"Non trouvé")</f>
        <v>Non trouvé</v>
      </c>
      <c r="G481" s="8" t="str">
        <f>IFERROR(VLOOKUP(LOG_RESEAU[[#This Row],[Cell_ID]],Registre_Maintenance!A:D,4,FALSE),"Non trouvé")</f>
        <v>Non trouvé</v>
      </c>
      <c r="H481" s="6" t="str">
        <f>IFERROR(VLOOKUP(LOG_RESEAU[[#This Row],[Cell_ID]],Registre_Maintenance!A:E,5,FALSE),"Non trouvé")</f>
        <v>Non trouvé</v>
      </c>
      <c r="I481" s="6" t="str">
        <f>IFERROR(VLOOKUP(LOG_RESEAU[[#This Row],[Cell_ID]],Registre_Maintenance!A:F,6,FALSE),"Non trouvé")</f>
        <v>Non trouvé</v>
      </c>
      <c r="J481" s="6" t="str">
        <f t="shared" si="21"/>
        <v>Antenne inconnue</v>
      </c>
      <c r="K481" s="6">
        <f t="shared" si="22"/>
        <v>3</v>
      </c>
      <c r="L481" s="6">
        <f t="shared" si="23"/>
        <v>273</v>
      </c>
    </row>
    <row r="482" spans="1:12" ht="15.75" x14ac:dyDescent="0.25">
      <c r="A482" s="6" t="s">
        <v>901</v>
      </c>
      <c r="B482" s="7">
        <v>45212.929166666669</v>
      </c>
      <c r="C482" s="6">
        <v>60</v>
      </c>
      <c r="D482" s="6" t="s">
        <v>794</v>
      </c>
      <c r="E482" s="8" t="str">
        <f>IFERROR(VLOOKUP(LOG_RESEAU[[#This Row],[Cell_ID]],Registre_Maintenance!A:B,2,FALSE),"Non trouvé")</f>
        <v>Non trouvé</v>
      </c>
      <c r="F482" s="8" t="str">
        <f>IFERROR(VLOOKUP(LOG_RESEAU[[#This Row],[Cell_ID]],Registre_Maintenance!A:C,3,FALSE),"Non trouvé")</f>
        <v>Non trouvé</v>
      </c>
      <c r="G482" s="8" t="str">
        <f>IFERROR(VLOOKUP(LOG_RESEAU[[#This Row],[Cell_ID]],Registre_Maintenance!A:D,4,FALSE),"Non trouvé")</f>
        <v>Non trouvé</v>
      </c>
      <c r="H482" s="6" t="str">
        <f>IFERROR(VLOOKUP(LOG_RESEAU[[#This Row],[Cell_ID]],Registre_Maintenance!A:E,5,FALSE),"Non trouvé")</f>
        <v>Non trouvé</v>
      </c>
      <c r="I482" s="6" t="str">
        <f>IFERROR(VLOOKUP(LOG_RESEAU[[#This Row],[Cell_ID]],Registre_Maintenance!A:F,6,FALSE),"Non trouvé")</f>
        <v>Non trouvé</v>
      </c>
      <c r="J482" s="6" t="str">
        <f t="shared" si="21"/>
        <v>Antenne inconnue</v>
      </c>
      <c r="K482" s="6">
        <f t="shared" si="22"/>
        <v>3</v>
      </c>
      <c r="L482" s="6">
        <f t="shared" si="23"/>
        <v>273</v>
      </c>
    </row>
    <row r="483" spans="1:12" ht="15.75" x14ac:dyDescent="0.25">
      <c r="A483" s="6" t="s">
        <v>901</v>
      </c>
      <c r="B483" s="7">
        <v>45206.273611111108</v>
      </c>
      <c r="C483" s="6">
        <v>117</v>
      </c>
      <c r="D483" s="6" t="s">
        <v>792</v>
      </c>
      <c r="E483" s="8" t="str">
        <f>IFERROR(VLOOKUP(LOG_RESEAU[[#This Row],[Cell_ID]],Registre_Maintenance!A:B,2,FALSE),"Non trouvé")</f>
        <v>Non trouvé</v>
      </c>
      <c r="F483" s="8" t="str">
        <f>IFERROR(VLOOKUP(LOG_RESEAU[[#This Row],[Cell_ID]],Registre_Maintenance!A:C,3,FALSE),"Non trouvé")</f>
        <v>Non trouvé</v>
      </c>
      <c r="G483" s="8" t="str">
        <f>IFERROR(VLOOKUP(LOG_RESEAU[[#This Row],[Cell_ID]],Registre_Maintenance!A:D,4,FALSE),"Non trouvé")</f>
        <v>Non trouvé</v>
      </c>
      <c r="H483" s="6" t="str">
        <f>IFERROR(VLOOKUP(LOG_RESEAU[[#This Row],[Cell_ID]],Registre_Maintenance!A:E,5,FALSE),"Non trouvé")</f>
        <v>Non trouvé</v>
      </c>
      <c r="I483" s="6" t="str">
        <f>IFERROR(VLOOKUP(LOG_RESEAU[[#This Row],[Cell_ID]],Registre_Maintenance!A:F,6,FALSE),"Non trouvé")</f>
        <v>Non trouvé</v>
      </c>
      <c r="J483" s="6" t="str">
        <f t="shared" si="21"/>
        <v>Antenne inconnue</v>
      </c>
      <c r="K483" s="6">
        <f t="shared" si="22"/>
        <v>3</v>
      </c>
      <c r="L483" s="6">
        <f t="shared" si="23"/>
        <v>273</v>
      </c>
    </row>
    <row r="484" spans="1:12" ht="15.75" x14ac:dyDescent="0.25">
      <c r="A484" s="6" t="s">
        <v>950</v>
      </c>
      <c r="B484" s="7">
        <v>45204.81527777778</v>
      </c>
      <c r="C484" s="6">
        <v>85</v>
      </c>
      <c r="D484" s="6" t="s">
        <v>800</v>
      </c>
      <c r="E484" s="8" t="str">
        <f>IFERROR(VLOOKUP(LOG_RESEAU[[#This Row],[Cell_ID]],Registre_Maintenance!A:B,2,FALSE),"Non trouvé")</f>
        <v>Tshopo</v>
      </c>
      <c r="F484" s="8">
        <f>IFERROR(VLOOKUP(LOG_RESEAU[[#This Row],[Cell_ID]],Registre_Maintenance!A:C,3,FALSE),"Non trouvé")</f>
        <v>3.0603760000000002</v>
      </c>
      <c r="G484" s="8">
        <f>IFERROR(VLOOKUP(LOG_RESEAU[[#This Row],[Cell_ID]],Registre_Maintenance!A:D,4,FALSE),"Non trouvé")</f>
        <v>19.708034000000001</v>
      </c>
      <c r="H484" s="6" t="str">
        <f>IFERROR(VLOOKUP(LOG_RESEAU[[#This Row],[Cell_ID]],Registre_Maintenance!A:E,5,FALSE),"Non trouvé")</f>
        <v>3G</v>
      </c>
      <c r="I484" s="6" t="str">
        <f>IFERROR(VLOOKUP(LOG_RESEAU[[#This Row],[Cell_ID]],Registre_Maintenance!A:F,6,FALSE),"Non trouvé")</f>
        <v>ZTE</v>
      </c>
      <c r="J484" s="6" t="str">
        <f t="shared" si="21"/>
        <v>OK</v>
      </c>
      <c r="K484" s="6">
        <f t="shared" si="22"/>
        <v>6</v>
      </c>
      <c r="L484" s="6">
        <f t="shared" si="23"/>
        <v>358</v>
      </c>
    </row>
    <row r="485" spans="1:12" ht="15.75" x14ac:dyDescent="0.25">
      <c r="A485" s="6" t="s">
        <v>950</v>
      </c>
      <c r="B485" s="7">
        <v>45228.614583333343</v>
      </c>
      <c r="C485" s="6">
        <v>35</v>
      </c>
      <c r="D485" s="6" t="s">
        <v>792</v>
      </c>
      <c r="E485" s="8" t="str">
        <f>IFERROR(VLOOKUP(LOG_RESEAU[[#This Row],[Cell_ID]],Registre_Maintenance!A:B,2,FALSE),"Non trouvé")</f>
        <v>Tshopo</v>
      </c>
      <c r="F485" s="8">
        <f>IFERROR(VLOOKUP(LOG_RESEAU[[#This Row],[Cell_ID]],Registre_Maintenance!A:C,3,FALSE),"Non trouvé")</f>
        <v>3.0603760000000002</v>
      </c>
      <c r="G485" s="8">
        <f>IFERROR(VLOOKUP(LOG_RESEAU[[#This Row],[Cell_ID]],Registre_Maintenance!A:D,4,FALSE),"Non trouvé")</f>
        <v>19.708034000000001</v>
      </c>
      <c r="H485" s="6" t="str">
        <f>IFERROR(VLOOKUP(LOG_RESEAU[[#This Row],[Cell_ID]],Registre_Maintenance!A:E,5,FALSE),"Non trouvé")</f>
        <v>3G</v>
      </c>
      <c r="I485" s="6" t="str">
        <f>IFERROR(VLOOKUP(LOG_RESEAU[[#This Row],[Cell_ID]],Registre_Maintenance!A:F,6,FALSE),"Non trouvé")</f>
        <v>ZTE</v>
      </c>
      <c r="J485" s="6" t="str">
        <f t="shared" si="21"/>
        <v>OK</v>
      </c>
      <c r="K485" s="6">
        <f t="shared" si="22"/>
        <v>6</v>
      </c>
      <c r="L485" s="6">
        <f t="shared" si="23"/>
        <v>358</v>
      </c>
    </row>
    <row r="486" spans="1:12" ht="15.75" x14ac:dyDescent="0.25">
      <c r="A486" s="6" t="s">
        <v>950</v>
      </c>
      <c r="B486" s="7">
        <v>45204.710416666669</v>
      </c>
      <c r="C486" s="6">
        <v>25</v>
      </c>
      <c r="D486" s="6" t="s">
        <v>794</v>
      </c>
      <c r="E486" s="8" t="str">
        <f>IFERROR(VLOOKUP(LOG_RESEAU[[#This Row],[Cell_ID]],Registre_Maintenance!A:B,2,FALSE),"Non trouvé")</f>
        <v>Tshopo</v>
      </c>
      <c r="F486" s="8">
        <f>IFERROR(VLOOKUP(LOG_RESEAU[[#This Row],[Cell_ID]],Registre_Maintenance!A:C,3,FALSE),"Non trouvé")</f>
        <v>3.0603760000000002</v>
      </c>
      <c r="G486" s="8">
        <f>IFERROR(VLOOKUP(LOG_RESEAU[[#This Row],[Cell_ID]],Registre_Maintenance!A:D,4,FALSE),"Non trouvé")</f>
        <v>19.708034000000001</v>
      </c>
      <c r="H486" s="6" t="str">
        <f>IFERROR(VLOOKUP(LOG_RESEAU[[#This Row],[Cell_ID]],Registre_Maintenance!A:E,5,FALSE),"Non trouvé")</f>
        <v>3G</v>
      </c>
      <c r="I486" s="6" t="str">
        <f>IFERROR(VLOOKUP(LOG_RESEAU[[#This Row],[Cell_ID]],Registre_Maintenance!A:F,6,FALSE),"Non trouvé")</f>
        <v>ZTE</v>
      </c>
      <c r="J486" s="6" t="str">
        <f t="shared" si="21"/>
        <v>OK</v>
      </c>
      <c r="K486" s="6">
        <f t="shared" si="22"/>
        <v>6</v>
      </c>
      <c r="L486" s="6">
        <f t="shared" si="23"/>
        <v>358</v>
      </c>
    </row>
    <row r="487" spans="1:12" ht="15.75" x14ac:dyDescent="0.25">
      <c r="A487" s="6" t="s">
        <v>950</v>
      </c>
      <c r="B487" s="7">
        <v>45204.905555555553</v>
      </c>
      <c r="C487" s="6">
        <v>44</v>
      </c>
      <c r="D487" s="6" t="s">
        <v>800</v>
      </c>
      <c r="E487" s="8" t="str">
        <f>IFERROR(VLOOKUP(LOG_RESEAU[[#This Row],[Cell_ID]],Registre_Maintenance!A:B,2,FALSE),"Non trouvé")</f>
        <v>Tshopo</v>
      </c>
      <c r="F487" s="8">
        <f>IFERROR(VLOOKUP(LOG_RESEAU[[#This Row],[Cell_ID]],Registre_Maintenance!A:C,3,FALSE),"Non trouvé")</f>
        <v>3.0603760000000002</v>
      </c>
      <c r="G487" s="8">
        <f>IFERROR(VLOOKUP(LOG_RESEAU[[#This Row],[Cell_ID]],Registre_Maintenance!A:D,4,FALSE),"Non trouvé")</f>
        <v>19.708034000000001</v>
      </c>
      <c r="H487" s="6" t="str">
        <f>IFERROR(VLOOKUP(LOG_RESEAU[[#This Row],[Cell_ID]],Registre_Maintenance!A:E,5,FALSE),"Non trouvé")</f>
        <v>3G</v>
      </c>
      <c r="I487" s="6" t="str">
        <f>IFERROR(VLOOKUP(LOG_RESEAU[[#This Row],[Cell_ID]],Registre_Maintenance!A:F,6,FALSE),"Non trouvé")</f>
        <v>ZTE</v>
      </c>
      <c r="J487" s="6" t="str">
        <f t="shared" si="21"/>
        <v>OK</v>
      </c>
      <c r="K487" s="6">
        <f t="shared" si="22"/>
        <v>6</v>
      </c>
      <c r="L487" s="6">
        <f t="shared" si="23"/>
        <v>358</v>
      </c>
    </row>
    <row r="488" spans="1:12" ht="15.75" x14ac:dyDescent="0.25">
      <c r="A488" s="6" t="s">
        <v>950</v>
      </c>
      <c r="B488" s="7">
        <v>45203.22152777778</v>
      </c>
      <c r="C488" s="6">
        <v>101</v>
      </c>
      <c r="D488" s="6" t="s">
        <v>794</v>
      </c>
      <c r="E488" s="8" t="str">
        <f>IFERROR(VLOOKUP(LOG_RESEAU[[#This Row],[Cell_ID]],Registre_Maintenance!A:B,2,FALSE),"Non trouvé")</f>
        <v>Tshopo</v>
      </c>
      <c r="F488" s="8">
        <f>IFERROR(VLOOKUP(LOG_RESEAU[[#This Row],[Cell_ID]],Registre_Maintenance!A:C,3,FALSE),"Non trouvé")</f>
        <v>3.0603760000000002</v>
      </c>
      <c r="G488" s="8">
        <f>IFERROR(VLOOKUP(LOG_RESEAU[[#This Row],[Cell_ID]],Registre_Maintenance!A:D,4,FALSE),"Non trouvé")</f>
        <v>19.708034000000001</v>
      </c>
      <c r="H488" s="6" t="str">
        <f>IFERROR(VLOOKUP(LOG_RESEAU[[#This Row],[Cell_ID]],Registre_Maintenance!A:E,5,FALSE),"Non trouvé")</f>
        <v>3G</v>
      </c>
      <c r="I488" s="6" t="str">
        <f>IFERROR(VLOOKUP(LOG_RESEAU[[#This Row],[Cell_ID]],Registre_Maintenance!A:F,6,FALSE),"Non trouvé")</f>
        <v>ZTE</v>
      </c>
      <c r="J488" s="6" t="str">
        <f t="shared" si="21"/>
        <v>OK</v>
      </c>
      <c r="K488" s="6">
        <f t="shared" si="22"/>
        <v>6</v>
      </c>
      <c r="L488" s="6">
        <f t="shared" si="23"/>
        <v>358</v>
      </c>
    </row>
    <row r="489" spans="1:12" ht="15.75" x14ac:dyDescent="0.25">
      <c r="A489" s="6" t="s">
        <v>950</v>
      </c>
      <c r="B489" s="7">
        <v>45226.969444444447</v>
      </c>
      <c r="C489" s="6">
        <v>68</v>
      </c>
      <c r="D489" s="6" t="s">
        <v>794</v>
      </c>
      <c r="E489" s="8" t="str">
        <f>IFERROR(VLOOKUP(LOG_RESEAU[[#This Row],[Cell_ID]],Registre_Maintenance!A:B,2,FALSE),"Non trouvé")</f>
        <v>Tshopo</v>
      </c>
      <c r="F489" s="8">
        <f>IFERROR(VLOOKUP(LOG_RESEAU[[#This Row],[Cell_ID]],Registre_Maintenance!A:C,3,FALSE),"Non trouvé")</f>
        <v>3.0603760000000002</v>
      </c>
      <c r="G489" s="8">
        <f>IFERROR(VLOOKUP(LOG_RESEAU[[#This Row],[Cell_ID]],Registre_Maintenance!A:D,4,FALSE),"Non trouvé")</f>
        <v>19.708034000000001</v>
      </c>
      <c r="H489" s="6" t="str">
        <f>IFERROR(VLOOKUP(LOG_RESEAU[[#This Row],[Cell_ID]],Registre_Maintenance!A:E,5,FALSE),"Non trouvé")</f>
        <v>3G</v>
      </c>
      <c r="I489" s="6" t="str">
        <f>IFERROR(VLOOKUP(LOG_RESEAU[[#This Row],[Cell_ID]],Registre_Maintenance!A:F,6,FALSE),"Non trouvé")</f>
        <v>ZTE</v>
      </c>
      <c r="J489" s="6" t="str">
        <f t="shared" si="21"/>
        <v>OK</v>
      </c>
      <c r="K489" s="6">
        <f t="shared" si="22"/>
        <v>6</v>
      </c>
      <c r="L489" s="6">
        <f t="shared" si="23"/>
        <v>358</v>
      </c>
    </row>
    <row r="490" spans="1:12" ht="15.75" x14ac:dyDescent="0.25">
      <c r="A490" s="6" t="s">
        <v>821</v>
      </c>
      <c r="B490" s="7">
        <v>45203.511805555558</v>
      </c>
      <c r="C490" s="6">
        <v>68</v>
      </c>
      <c r="D490" s="6" t="s">
        <v>792</v>
      </c>
      <c r="E490" s="8" t="str">
        <f>IFERROR(VLOOKUP(LOG_RESEAU[[#This Row],[Cell_ID]],Registre_Maintenance!A:B,2,FALSE),"Non trouvé")</f>
        <v>Non trouvé</v>
      </c>
      <c r="F490" s="8" t="str">
        <f>IFERROR(VLOOKUP(LOG_RESEAU[[#This Row],[Cell_ID]],Registre_Maintenance!A:C,3,FALSE),"Non trouvé")</f>
        <v>Non trouvé</v>
      </c>
      <c r="G490" s="8" t="str">
        <f>IFERROR(VLOOKUP(LOG_RESEAU[[#This Row],[Cell_ID]],Registre_Maintenance!A:D,4,FALSE),"Non trouvé")</f>
        <v>Non trouvé</v>
      </c>
      <c r="H490" s="6" t="str">
        <f>IFERROR(VLOOKUP(LOG_RESEAU[[#This Row],[Cell_ID]],Registre_Maintenance!A:E,5,FALSE),"Non trouvé")</f>
        <v>Non trouvé</v>
      </c>
      <c r="I490" s="6" t="str">
        <f>IFERROR(VLOOKUP(LOG_RESEAU[[#This Row],[Cell_ID]],Registre_Maintenance!A:F,6,FALSE),"Non trouvé")</f>
        <v>Non trouvé</v>
      </c>
      <c r="J490" s="6" t="str">
        <f t="shared" si="21"/>
        <v>Antenne inconnue</v>
      </c>
      <c r="K490" s="6">
        <f t="shared" si="22"/>
        <v>8</v>
      </c>
      <c r="L490" s="6">
        <f t="shared" si="23"/>
        <v>510</v>
      </c>
    </row>
    <row r="491" spans="1:12" ht="15.75" x14ac:dyDescent="0.25">
      <c r="A491" s="6" t="s">
        <v>821</v>
      </c>
      <c r="B491" s="7">
        <v>45214.870138888888</v>
      </c>
      <c r="C491" s="6">
        <v>93</v>
      </c>
      <c r="D491" s="6" t="s">
        <v>792</v>
      </c>
      <c r="E491" s="8" t="str">
        <f>IFERROR(VLOOKUP(LOG_RESEAU[[#This Row],[Cell_ID]],Registre_Maintenance!A:B,2,FALSE),"Non trouvé")</f>
        <v>Non trouvé</v>
      </c>
      <c r="F491" s="8" t="str">
        <f>IFERROR(VLOOKUP(LOG_RESEAU[[#This Row],[Cell_ID]],Registre_Maintenance!A:C,3,FALSE),"Non trouvé")</f>
        <v>Non trouvé</v>
      </c>
      <c r="G491" s="8" t="str">
        <f>IFERROR(VLOOKUP(LOG_RESEAU[[#This Row],[Cell_ID]],Registre_Maintenance!A:D,4,FALSE),"Non trouvé")</f>
        <v>Non trouvé</v>
      </c>
      <c r="H491" s="6" t="str">
        <f>IFERROR(VLOOKUP(LOG_RESEAU[[#This Row],[Cell_ID]],Registre_Maintenance!A:E,5,FALSE),"Non trouvé")</f>
        <v>Non trouvé</v>
      </c>
      <c r="I491" s="6" t="str">
        <f>IFERROR(VLOOKUP(LOG_RESEAU[[#This Row],[Cell_ID]],Registre_Maintenance!A:F,6,FALSE),"Non trouvé")</f>
        <v>Non trouvé</v>
      </c>
      <c r="J491" s="6" t="str">
        <f t="shared" si="21"/>
        <v>Antenne inconnue</v>
      </c>
      <c r="K491" s="6">
        <f t="shared" si="22"/>
        <v>8</v>
      </c>
      <c r="L491" s="6">
        <f t="shared" si="23"/>
        <v>510</v>
      </c>
    </row>
    <row r="492" spans="1:12" ht="15.75" x14ac:dyDescent="0.25">
      <c r="A492" s="6" t="s">
        <v>821</v>
      </c>
      <c r="B492" s="7">
        <v>45219.113194444442</v>
      </c>
      <c r="C492" s="6">
        <v>30</v>
      </c>
      <c r="D492" s="6" t="s">
        <v>800</v>
      </c>
      <c r="E492" s="8" t="str">
        <f>IFERROR(VLOOKUP(LOG_RESEAU[[#This Row],[Cell_ID]],Registre_Maintenance!A:B,2,FALSE),"Non trouvé")</f>
        <v>Non trouvé</v>
      </c>
      <c r="F492" s="8" t="str">
        <f>IFERROR(VLOOKUP(LOG_RESEAU[[#This Row],[Cell_ID]],Registre_Maintenance!A:C,3,FALSE),"Non trouvé")</f>
        <v>Non trouvé</v>
      </c>
      <c r="G492" s="8" t="str">
        <f>IFERROR(VLOOKUP(LOG_RESEAU[[#This Row],[Cell_ID]],Registre_Maintenance!A:D,4,FALSE),"Non trouvé")</f>
        <v>Non trouvé</v>
      </c>
      <c r="H492" s="6" t="str">
        <f>IFERROR(VLOOKUP(LOG_RESEAU[[#This Row],[Cell_ID]],Registre_Maintenance!A:E,5,FALSE),"Non trouvé")</f>
        <v>Non trouvé</v>
      </c>
      <c r="I492" s="6" t="str">
        <f>IFERROR(VLOOKUP(LOG_RESEAU[[#This Row],[Cell_ID]],Registre_Maintenance!A:F,6,FALSE),"Non trouvé")</f>
        <v>Non trouvé</v>
      </c>
      <c r="J492" s="6" t="str">
        <f t="shared" si="21"/>
        <v>Antenne inconnue</v>
      </c>
      <c r="K492" s="6">
        <f t="shared" si="22"/>
        <v>8</v>
      </c>
      <c r="L492" s="6">
        <f t="shared" si="23"/>
        <v>510</v>
      </c>
    </row>
    <row r="493" spans="1:12" hidden="1" x14ac:dyDescent="0.25">
      <c r="A493" s="2"/>
      <c r="B493" s="2">
        <v>45202.45416666667</v>
      </c>
      <c r="C493" s="2">
        <v>34</v>
      </c>
      <c r="D493" s="2" t="s">
        <v>794</v>
      </c>
      <c r="E493" s="3" t="str">
        <f>IFERROR(VLOOKUP(LOG_RESEAU[[#This Row],[Cell_ID]],Registre_Maintenance!A:B,2,FALSE),"Non trouvé")</f>
        <v>Non trouvé</v>
      </c>
      <c r="F493" s="3" t="str">
        <f>IFERROR(VLOOKUP(LOG_RESEAU[[#This Row],[Cell_ID]],Registre_Maintenance!A:C,3,FALSE),"Non trouvé")</f>
        <v>Non trouvé</v>
      </c>
      <c r="G493" s="3" t="str">
        <f>IFERROR(VLOOKUP(LOG_RESEAU[[#This Row],[Cell_ID]],Registre_Maintenance!A:D,4,FALSE),"Non trouvé")</f>
        <v>Non trouvé</v>
      </c>
      <c r="H493" s="2" t="str">
        <f>IFERROR(VLOOKUP(LOG_RESEAU[[#This Row],[Cell_ID]],Registre_Maintenance!A:E,5,FALSE),"Non trouvé")</f>
        <v>Non trouvé</v>
      </c>
      <c r="I493" s="2" t="str">
        <f>IFERROR(VLOOKUP(LOG_RESEAU[[#This Row],[Cell_ID]],Registre_Maintenance!A:F,6,FALSE),"Non trouvé")</f>
        <v>Non trouvé</v>
      </c>
      <c r="J493" s="2" t="str">
        <f t="shared" si="21"/>
        <v>Antenne inconnue</v>
      </c>
      <c r="K493" s="2">
        <f t="shared" si="22"/>
        <v>0</v>
      </c>
      <c r="L493" s="2">
        <f t="shared" si="23"/>
        <v>0</v>
      </c>
    </row>
    <row r="494" spans="1:12" ht="15.75" x14ac:dyDescent="0.25">
      <c r="A494" s="6" t="s">
        <v>821</v>
      </c>
      <c r="B494" s="7">
        <v>45208.041666666657</v>
      </c>
      <c r="C494" s="6">
        <v>70</v>
      </c>
      <c r="D494" s="6" t="s">
        <v>794</v>
      </c>
      <c r="E494" s="8" t="str">
        <f>IFERROR(VLOOKUP(LOG_RESEAU[[#This Row],[Cell_ID]],Registre_Maintenance!A:B,2,FALSE),"Non trouvé")</f>
        <v>Non trouvé</v>
      </c>
      <c r="F494" s="8" t="str">
        <f>IFERROR(VLOOKUP(LOG_RESEAU[[#This Row],[Cell_ID]],Registre_Maintenance!A:C,3,FALSE),"Non trouvé")</f>
        <v>Non trouvé</v>
      </c>
      <c r="G494" s="8" t="str">
        <f>IFERROR(VLOOKUP(LOG_RESEAU[[#This Row],[Cell_ID]],Registre_Maintenance!A:D,4,FALSE),"Non trouvé")</f>
        <v>Non trouvé</v>
      </c>
      <c r="H494" s="6" t="str">
        <f>IFERROR(VLOOKUP(LOG_RESEAU[[#This Row],[Cell_ID]],Registre_Maintenance!A:E,5,FALSE),"Non trouvé")</f>
        <v>Non trouvé</v>
      </c>
      <c r="I494" s="6" t="str">
        <f>IFERROR(VLOOKUP(LOG_RESEAU[[#This Row],[Cell_ID]],Registre_Maintenance!A:F,6,FALSE),"Non trouvé")</f>
        <v>Non trouvé</v>
      </c>
      <c r="J494" s="6" t="str">
        <f t="shared" si="21"/>
        <v>Antenne inconnue</v>
      </c>
      <c r="K494" s="6">
        <f t="shared" si="22"/>
        <v>8</v>
      </c>
      <c r="L494" s="6">
        <f t="shared" si="23"/>
        <v>510</v>
      </c>
    </row>
    <row r="495" spans="1:12" ht="15.75" x14ac:dyDescent="0.25">
      <c r="A495" s="6" t="s">
        <v>821</v>
      </c>
      <c r="B495" s="7">
        <v>45228.357638888891</v>
      </c>
      <c r="C495" s="6">
        <v>25</v>
      </c>
      <c r="D495" s="6" t="s">
        <v>792</v>
      </c>
      <c r="E495" s="8" t="str">
        <f>IFERROR(VLOOKUP(LOG_RESEAU[[#This Row],[Cell_ID]],Registre_Maintenance!A:B,2,FALSE),"Non trouvé")</f>
        <v>Non trouvé</v>
      </c>
      <c r="F495" s="8" t="str">
        <f>IFERROR(VLOOKUP(LOG_RESEAU[[#This Row],[Cell_ID]],Registre_Maintenance!A:C,3,FALSE),"Non trouvé")</f>
        <v>Non trouvé</v>
      </c>
      <c r="G495" s="8" t="str">
        <f>IFERROR(VLOOKUP(LOG_RESEAU[[#This Row],[Cell_ID]],Registre_Maintenance!A:D,4,FALSE),"Non trouvé")</f>
        <v>Non trouvé</v>
      </c>
      <c r="H495" s="6" t="str">
        <f>IFERROR(VLOOKUP(LOG_RESEAU[[#This Row],[Cell_ID]],Registre_Maintenance!A:E,5,FALSE),"Non trouvé")</f>
        <v>Non trouvé</v>
      </c>
      <c r="I495" s="6" t="str">
        <f>IFERROR(VLOOKUP(LOG_RESEAU[[#This Row],[Cell_ID]],Registre_Maintenance!A:F,6,FALSE),"Non trouvé")</f>
        <v>Non trouvé</v>
      </c>
      <c r="J495" s="6" t="str">
        <f t="shared" si="21"/>
        <v>Antenne inconnue</v>
      </c>
      <c r="K495" s="6">
        <f t="shared" si="22"/>
        <v>8</v>
      </c>
      <c r="L495" s="6">
        <f t="shared" si="23"/>
        <v>510</v>
      </c>
    </row>
    <row r="496" spans="1:12" ht="15.75" x14ac:dyDescent="0.25">
      <c r="A496" s="6" t="s">
        <v>821</v>
      </c>
      <c r="B496" s="7">
        <v>45229.34097222222</v>
      </c>
      <c r="C496" s="6">
        <v>82</v>
      </c>
      <c r="D496" s="6" t="s">
        <v>800</v>
      </c>
      <c r="E496" s="8" t="str">
        <f>IFERROR(VLOOKUP(LOG_RESEAU[[#This Row],[Cell_ID]],Registre_Maintenance!A:B,2,FALSE),"Non trouvé")</f>
        <v>Non trouvé</v>
      </c>
      <c r="F496" s="8" t="str">
        <f>IFERROR(VLOOKUP(LOG_RESEAU[[#This Row],[Cell_ID]],Registre_Maintenance!A:C,3,FALSE),"Non trouvé")</f>
        <v>Non trouvé</v>
      </c>
      <c r="G496" s="8" t="str">
        <f>IFERROR(VLOOKUP(LOG_RESEAU[[#This Row],[Cell_ID]],Registre_Maintenance!A:D,4,FALSE),"Non trouvé")</f>
        <v>Non trouvé</v>
      </c>
      <c r="H496" s="6" t="str">
        <f>IFERROR(VLOOKUP(LOG_RESEAU[[#This Row],[Cell_ID]],Registre_Maintenance!A:E,5,FALSE),"Non trouvé")</f>
        <v>Non trouvé</v>
      </c>
      <c r="I496" s="6" t="str">
        <f>IFERROR(VLOOKUP(LOG_RESEAU[[#This Row],[Cell_ID]],Registre_Maintenance!A:F,6,FALSE),"Non trouvé")</f>
        <v>Non trouvé</v>
      </c>
      <c r="J496" s="6" t="str">
        <f t="shared" si="21"/>
        <v>Antenne inconnue</v>
      </c>
      <c r="K496" s="6">
        <f t="shared" si="22"/>
        <v>8</v>
      </c>
      <c r="L496" s="6">
        <f t="shared" si="23"/>
        <v>510</v>
      </c>
    </row>
    <row r="497" spans="1:12" ht="15.75" x14ac:dyDescent="0.25">
      <c r="A497" s="6" t="s">
        <v>821</v>
      </c>
      <c r="B497" s="7">
        <v>45221.988194444442</v>
      </c>
      <c r="C497" s="6">
        <v>87</v>
      </c>
      <c r="D497" s="6" t="s">
        <v>792</v>
      </c>
      <c r="E497" s="8" t="str">
        <f>IFERROR(VLOOKUP(LOG_RESEAU[[#This Row],[Cell_ID]],Registre_Maintenance!A:B,2,FALSE),"Non trouvé")</f>
        <v>Non trouvé</v>
      </c>
      <c r="F497" s="8" t="str">
        <f>IFERROR(VLOOKUP(LOG_RESEAU[[#This Row],[Cell_ID]],Registre_Maintenance!A:C,3,FALSE),"Non trouvé")</f>
        <v>Non trouvé</v>
      </c>
      <c r="G497" s="8" t="str">
        <f>IFERROR(VLOOKUP(LOG_RESEAU[[#This Row],[Cell_ID]],Registre_Maintenance!A:D,4,FALSE),"Non trouvé")</f>
        <v>Non trouvé</v>
      </c>
      <c r="H497" s="6" t="str">
        <f>IFERROR(VLOOKUP(LOG_RESEAU[[#This Row],[Cell_ID]],Registre_Maintenance!A:E,5,FALSE),"Non trouvé")</f>
        <v>Non trouvé</v>
      </c>
      <c r="I497" s="6" t="str">
        <f>IFERROR(VLOOKUP(LOG_RESEAU[[#This Row],[Cell_ID]],Registre_Maintenance!A:F,6,FALSE),"Non trouvé")</f>
        <v>Non trouvé</v>
      </c>
      <c r="J497" s="6" t="str">
        <f t="shared" si="21"/>
        <v>Antenne inconnue</v>
      </c>
      <c r="K497" s="6">
        <f t="shared" si="22"/>
        <v>8</v>
      </c>
      <c r="L497" s="6">
        <f t="shared" si="23"/>
        <v>510</v>
      </c>
    </row>
    <row r="498" spans="1:12" ht="15.75" x14ac:dyDescent="0.25">
      <c r="A498" s="6" t="s">
        <v>821</v>
      </c>
      <c r="B498" s="7">
        <v>45221.27847222222</v>
      </c>
      <c r="C498" s="6">
        <v>55</v>
      </c>
      <c r="D498" s="6" t="s">
        <v>800</v>
      </c>
      <c r="E498" s="8" t="str">
        <f>IFERROR(VLOOKUP(LOG_RESEAU[[#This Row],[Cell_ID]],Registre_Maintenance!A:B,2,FALSE),"Non trouvé")</f>
        <v>Non trouvé</v>
      </c>
      <c r="F498" s="8" t="str">
        <f>IFERROR(VLOOKUP(LOG_RESEAU[[#This Row],[Cell_ID]],Registre_Maintenance!A:C,3,FALSE),"Non trouvé")</f>
        <v>Non trouvé</v>
      </c>
      <c r="G498" s="8" t="str">
        <f>IFERROR(VLOOKUP(LOG_RESEAU[[#This Row],[Cell_ID]],Registre_Maintenance!A:D,4,FALSE),"Non trouvé")</f>
        <v>Non trouvé</v>
      </c>
      <c r="H498" s="6" t="str">
        <f>IFERROR(VLOOKUP(LOG_RESEAU[[#This Row],[Cell_ID]],Registre_Maintenance!A:E,5,FALSE),"Non trouvé")</f>
        <v>Non trouvé</v>
      </c>
      <c r="I498" s="6" t="str">
        <f>IFERROR(VLOOKUP(LOG_RESEAU[[#This Row],[Cell_ID]],Registre_Maintenance!A:F,6,FALSE),"Non trouvé")</f>
        <v>Non trouvé</v>
      </c>
      <c r="J498" s="6" t="str">
        <f t="shared" si="21"/>
        <v>Antenne inconnue</v>
      </c>
      <c r="K498" s="6">
        <f t="shared" si="22"/>
        <v>8</v>
      </c>
      <c r="L498" s="6">
        <f t="shared" si="23"/>
        <v>510</v>
      </c>
    </row>
    <row r="499" spans="1:12" ht="15.75" x14ac:dyDescent="0.25">
      <c r="A499" s="6" t="s">
        <v>819</v>
      </c>
      <c r="B499" s="7">
        <v>45224.378472222219</v>
      </c>
      <c r="C499" s="6">
        <v>48</v>
      </c>
      <c r="D499" s="6" t="s">
        <v>792</v>
      </c>
      <c r="E499" s="8" t="str">
        <f>IFERROR(VLOOKUP(LOG_RESEAU[[#This Row],[Cell_ID]],Registre_Maintenance!A:B,2,FALSE),"Non trouvé")</f>
        <v>Non trouvé</v>
      </c>
      <c r="F499" s="8" t="str">
        <f>IFERROR(VLOOKUP(LOG_RESEAU[[#This Row],[Cell_ID]],Registre_Maintenance!A:C,3,FALSE),"Non trouvé")</f>
        <v>Non trouvé</v>
      </c>
      <c r="G499" s="8" t="str">
        <f>IFERROR(VLOOKUP(LOG_RESEAU[[#This Row],[Cell_ID]],Registre_Maintenance!A:D,4,FALSE),"Non trouvé")</f>
        <v>Non trouvé</v>
      </c>
      <c r="H499" s="6" t="str">
        <f>IFERROR(VLOOKUP(LOG_RESEAU[[#This Row],[Cell_ID]],Registre_Maintenance!A:E,5,FALSE),"Non trouvé")</f>
        <v>Non trouvé</v>
      </c>
      <c r="I499" s="6" t="str">
        <f>IFERROR(VLOOKUP(LOG_RESEAU[[#This Row],[Cell_ID]],Registre_Maintenance!A:F,6,FALSE),"Non trouvé")</f>
        <v>Non trouvé</v>
      </c>
      <c r="J499" s="6" t="str">
        <f t="shared" si="21"/>
        <v>Antenne inconnue</v>
      </c>
      <c r="K499" s="6">
        <f t="shared" si="22"/>
        <v>11</v>
      </c>
      <c r="L499" s="6">
        <f t="shared" si="23"/>
        <v>746</v>
      </c>
    </row>
    <row r="500" spans="1:12" ht="15.75" x14ac:dyDescent="0.25">
      <c r="A500" s="6" t="s">
        <v>819</v>
      </c>
      <c r="B500" s="7">
        <v>45220.243055555547</v>
      </c>
      <c r="C500" s="6">
        <v>96</v>
      </c>
      <c r="D500" s="6" t="s">
        <v>800</v>
      </c>
      <c r="E500" s="8" t="str">
        <f>IFERROR(VLOOKUP(LOG_RESEAU[[#This Row],[Cell_ID]],Registre_Maintenance!A:B,2,FALSE),"Non trouvé")</f>
        <v>Non trouvé</v>
      </c>
      <c r="F500" s="8" t="str">
        <f>IFERROR(VLOOKUP(LOG_RESEAU[[#This Row],[Cell_ID]],Registre_Maintenance!A:C,3,FALSE),"Non trouvé")</f>
        <v>Non trouvé</v>
      </c>
      <c r="G500" s="8" t="str">
        <f>IFERROR(VLOOKUP(LOG_RESEAU[[#This Row],[Cell_ID]],Registre_Maintenance!A:D,4,FALSE),"Non trouvé")</f>
        <v>Non trouvé</v>
      </c>
      <c r="H500" s="6" t="str">
        <f>IFERROR(VLOOKUP(LOG_RESEAU[[#This Row],[Cell_ID]],Registre_Maintenance!A:E,5,FALSE),"Non trouvé")</f>
        <v>Non trouvé</v>
      </c>
      <c r="I500" s="6" t="str">
        <f>IFERROR(VLOOKUP(LOG_RESEAU[[#This Row],[Cell_ID]],Registre_Maintenance!A:F,6,FALSE),"Non trouvé")</f>
        <v>Non trouvé</v>
      </c>
      <c r="J500" s="6" t="str">
        <f t="shared" si="21"/>
        <v>Antenne inconnue</v>
      </c>
      <c r="K500" s="6">
        <f t="shared" si="22"/>
        <v>11</v>
      </c>
      <c r="L500" s="6">
        <f t="shared" si="23"/>
        <v>746</v>
      </c>
    </row>
    <row r="501" spans="1:12" ht="15.75" x14ac:dyDescent="0.25">
      <c r="A501" s="6" t="s">
        <v>819</v>
      </c>
      <c r="B501" s="7">
        <v>45206.384027777778</v>
      </c>
      <c r="C501" s="6">
        <v>38</v>
      </c>
      <c r="D501" s="6" t="s">
        <v>800</v>
      </c>
      <c r="E501" s="8" t="str">
        <f>IFERROR(VLOOKUP(LOG_RESEAU[[#This Row],[Cell_ID]],Registre_Maintenance!A:B,2,FALSE),"Non trouvé")</f>
        <v>Non trouvé</v>
      </c>
      <c r="F501" s="8" t="str">
        <f>IFERROR(VLOOKUP(LOG_RESEAU[[#This Row],[Cell_ID]],Registre_Maintenance!A:C,3,FALSE),"Non trouvé")</f>
        <v>Non trouvé</v>
      </c>
      <c r="G501" s="8" t="str">
        <f>IFERROR(VLOOKUP(LOG_RESEAU[[#This Row],[Cell_ID]],Registre_Maintenance!A:D,4,FALSE),"Non trouvé")</f>
        <v>Non trouvé</v>
      </c>
      <c r="H501" s="6" t="str">
        <f>IFERROR(VLOOKUP(LOG_RESEAU[[#This Row],[Cell_ID]],Registre_Maintenance!A:E,5,FALSE),"Non trouvé")</f>
        <v>Non trouvé</v>
      </c>
      <c r="I501" s="6" t="str">
        <f>IFERROR(VLOOKUP(LOG_RESEAU[[#This Row],[Cell_ID]],Registre_Maintenance!A:F,6,FALSE),"Non trouvé")</f>
        <v>Non trouvé</v>
      </c>
      <c r="J501" s="6" t="str">
        <f t="shared" si="21"/>
        <v>Antenne inconnue</v>
      </c>
      <c r="K501" s="6">
        <f t="shared" si="22"/>
        <v>11</v>
      </c>
      <c r="L501" s="6">
        <f t="shared" si="23"/>
        <v>746</v>
      </c>
    </row>
    <row r="502" spans="1:12" ht="15.75" x14ac:dyDescent="0.25">
      <c r="A502" s="6" t="s">
        <v>819</v>
      </c>
      <c r="B502" s="7">
        <v>45218.334722222222</v>
      </c>
      <c r="C502" s="6">
        <v>87</v>
      </c>
      <c r="D502" s="6" t="s">
        <v>800</v>
      </c>
      <c r="E502" s="8" t="str">
        <f>IFERROR(VLOOKUP(LOG_RESEAU[[#This Row],[Cell_ID]],Registre_Maintenance!A:B,2,FALSE),"Non trouvé")</f>
        <v>Non trouvé</v>
      </c>
      <c r="F502" s="8" t="str">
        <f>IFERROR(VLOOKUP(LOG_RESEAU[[#This Row],[Cell_ID]],Registre_Maintenance!A:C,3,FALSE),"Non trouvé")</f>
        <v>Non trouvé</v>
      </c>
      <c r="G502" s="8" t="str">
        <f>IFERROR(VLOOKUP(LOG_RESEAU[[#This Row],[Cell_ID]],Registre_Maintenance!A:D,4,FALSE),"Non trouvé")</f>
        <v>Non trouvé</v>
      </c>
      <c r="H502" s="6" t="str">
        <f>IFERROR(VLOOKUP(LOG_RESEAU[[#This Row],[Cell_ID]],Registre_Maintenance!A:E,5,FALSE),"Non trouvé")</f>
        <v>Non trouvé</v>
      </c>
      <c r="I502" s="6" t="str">
        <f>IFERROR(VLOOKUP(LOG_RESEAU[[#This Row],[Cell_ID]],Registre_Maintenance!A:F,6,FALSE),"Non trouvé")</f>
        <v>Non trouvé</v>
      </c>
      <c r="J502" s="6" t="str">
        <f t="shared" si="21"/>
        <v>Antenne inconnue</v>
      </c>
      <c r="K502" s="6">
        <f t="shared" si="22"/>
        <v>11</v>
      </c>
      <c r="L502" s="6">
        <f t="shared" si="23"/>
        <v>746</v>
      </c>
    </row>
    <row r="503" spans="1:12" ht="15.75" x14ac:dyDescent="0.25">
      <c r="A503" s="6" t="s">
        <v>819</v>
      </c>
      <c r="B503" s="7">
        <v>45219.103472222218</v>
      </c>
      <c r="C503" s="6">
        <v>37</v>
      </c>
      <c r="D503" s="6" t="s">
        <v>792</v>
      </c>
      <c r="E503" s="8" t="str">
        <f>IFERROR(VLOOKUP(LOG_RESEAU[[#This Row],[Cell_ID]],Registre_Maintenance!A:B,2,FALSE),"Non trouvé")</f>
        <v>Non trouvé</v>
      </c>
      <c r="F503" s="8" t="str">
        <f>IFERROR(VLOOKUP(LOG_RESEAU[[#This Row],[Cell_ID]],Registre_Maintenance!A:C,3,FALSE),"Non trouvé")</f>
        <v>Non trouvé</v>
      </c>
      <c r="G503" s="8" t="str">
        <f>IFERROR(VLOOKUP(LOG_RESEAU[[#This Row],[Cell_ID]],Registre_Maintenance!A:D,4,FALSE),"Non trouvé")</f>
        <v>Non trouvé</v>
      </c>
      <c r="H503" s="6" t="str">
        <f>IFERROR(VLOOKUP(LOG_RESEAU[[#This Row],[Cell_ID]],Registre_Maintenance!A:E,5,FALSE),"Non trouvé")</f>
        <v>Non trouvé</v>
      </c>
      <c r="I503" s="6" t="str">
        <f>IFERROR(VLOOKUP(LOG_RESEAU[[#This Row],[Cell_ID]],Registre_Maintenance!A:F,6,FALSE),"Non trouvé")</f>
        <v>Non trouvé</v>
      </c>
      <c r="J503" s="6" t="str">
        <f t="shared" si="21"/>
        <v>Antenne inconnue</v>
      </c>
      <c r="K503" s="6">
        <f t="shared" si="22"/>
        <v>11</v>
      </c>
      <c r="L503" s="6">
        <f t="shared" si="23"/>
        <v>746</v>
      </c>
    </row>
    <row r="504" spans="1:12" ht="15.75" x14ac:dyDescent="0.25">
      <c r="A504" s="6" t="s">
        <v>819</v>
      </c>
      <c r="B504" s="7">
        <v>45208.822222222218</v>
      </c>
      <c r="C504" s="6">
        <v>120</v>
      </c>
      <c r="D504" s="6" t="s">
        <v>800</v>
      </c>
      <c r="E504" s="8" t="str">
        <f>IFERROR(VLOOKUP(LOG_RESEAU[[#This Row],[Cell_ID]],Registre_Maintenance!A:B,2,FALSE),"Non trouvé")</f>
        <v>Non trouvé</v>
      </c>
      <c r="F504" s="8" t="str">
        <f>IFERROR(VLOOKUP(LOG_RESEAU[[#This Row],[Cell_ID]],Registre_Maintenance!A:C,3,FALSE),"Non trouvé")</f>
        <v>Non trouvé</v>
      </c>
      <c r="G504" s="8" t="str">
        <f>IFERROR(VLOOKUP(LOG_RESEAU[[#This Row],[Cell_ID]],Registre_Maintenance!A:D,4,FALSE),"Non trouvé")</f>
        <v>Non trouvé</v>
      </c>
      <c r="H504" s="6" t="str">
        <f>IFERROR(VLOOKUP(LOG_RESEAU[[#This Row],[Cell_ID]],Registre_Maintenance!A:E,5,FALSE),"Non trouvé")</f>
        <v>Non trouvé</v>
      </c>
      <c r="I504" s="6" t="str">
        <f>IFERROR(VLOOKUP(LOG_RESEAU[[#This Row],[Cell_ID]],Registre_Maintenance!A:F,6,FALSE),"Non trouvé")</f>
        <v>Non trouvé</v>
      </c>
      <c r="J504" s="6" t="str">
        <f t="shared" si="21"/>
        <v>Antenne inconnue</v>
      </c>
      <c r="K504" s="6">
        <f t="shared" si="22"/>
        <v>11</v>
      </c>
      <c r="L504" s="6">
        <f t="shared" si="23"/>
        <v>746</v>
      </c>
    </row>
    <row r="505" spans="1:12" ht="15.75" x14ac:dyDescent="0.25">
      <c r="A505" s="6" t="s">
        <v>819</v>
      </c>
      <c r="B505" s="7">
        <v>45213.938194444447</v>
      </c>
      <c r="C505" s="6">
        <v>9</v>
      </c>
      <c r="D505" s="6" t="s">
        <v>794</v>
      </c>
      <c r="E505" s="8" t="str">
        <f>IFERROR(VLOOKUP(LOG_RESEAU[[#This Row],[Cell_ID]],Registre_Maintenance!A:B,2,FALSE),"Non trouvé")</f>
        <v>Non trouvé</v>
      </c>
      <c r="F505" s="8" t="str">
        <f>IFERROR(VLOOKUP(LOG_RESEAU[[#This Row],[Cell_ID]],Registre_Maintenance!A:C,3,FALSE),"Non trouvé")</f>
        <v>Non trouvé</v>
      </c>
      <c r="G505" s="8" t="str">
        <f>IFERROR(VLOOKUP(LOG_RESEAU[[#This Row],[Cell_ID]],Registre_Maintenance!A:D,4,FALSE),"Non trouvé")</f>
        <v>Non trouvé</v>
      </c>
      <c r="H505" s="6" t="str">
        <f>IFERROR(VLOOKUP(LOG_RESEAU[[#This Row],[Cell_ID]],Registre_Maintenance!A:E,5,FALSE),"Non trouvé")</f>
        <v>Non trouvé</v>
      </c>
      <c r="I505" s="6" t="str">
        <f>IFERROR(VLOOKUP(LOG_RESEAU[[#This Row],[Cell_ID]],Registre_Maintenance!A:F,6,FALSE),"Non trouvé")</f>
        <v>Non trouvé</v>
      </c>
      <c r="J505" s="6" t="str">
        <f t="shared" si="21"/>
        <v>Antenne inconnue</v>
      </c>
      <c r="K505" s="6">
        <f t="shared" si="22"/>
        <v>11</v>
      </c>
      <c r="L505" s="6">
        <f t="shared" si="23"/>
        <v>746</v>
      </c>
    </row>
    <row r="506" spans="1:12" ht="15.75" x14ac:dyDescent="0.25">
      <c r="A506" s="6" t="s">
        <v>819</v>
      </c>
      <c r="B506" s="7">
        <v>45214.050694444442</v>
      </c>
      <c r="C506" s="6">
        <v>70</v>
      </c>
      <c r="D506" s="6" t="s">
        <v>792</v>
      </c>
      <c r="E506" s="8" t="str">
        <f>IFERROR(VLOOKUP(LOG_RESEAU[[#This Row],[Cell_ID]],Registre_Maintenance!A:B,2,FALSE),"Non trouvé")</f>
        <v>Non trouvé</v>
      </c>
      <c r="F506" s="8" t="str">
        <f>IFERROR(VLOOKUP(LOG_RESEAU[[#This Row],[Cell_ID]],Registre_Maintenance!A:C,3,FALSE),"Non trouvé")</f>
        <v>Non trouvé</v>
      </c>
      <c r="G506" s="8" t="str">
        <f>IFERROR(VLOOKUP(LOG_RESEAU[[#This Row],[Cell_ID]],Registre_Maintenance!A:D,4,FALSE),"Non trouvé")</f>
        <v>Non trouvé</v>
      </c>
      <c r="H506" s="6" t="str">
        <f>IFERROR(VLOOKUP(LOG_RESEAU[[#This Row],[Cell_ID]],Registre_Maintenance!A:E,5,FALSE),"Non trouvé")</f>
        <v>Non trouvé</v>
      </c>
      <c r="I506" s="6" t="str">
        <f>IFERROR(VLOOKUP(LOG_RESEAU[[#This Row],[Cell_ID]],Registre_Maintenance!A:F,6,FALSE),"Non trouvé")</f>
        <v>Non trouvé</v>
      </c>
      <c r="J506" s="6" t="str">
        <f t="shared" si="21"/>
        <v>Antenne inconnue</v>
      </c>
      <c r="K506" s="6">
        <f t="shared" si="22"/>
        <v>11</v>
      </c>
      <c r="L506" s="6">
        <f t="shared" si="23"/>
        <v>746</v>
      </c>
    </row>
    <row r="507" spans="1:12" ht="15.75" x14ac:dyDescent="0.25">
      <c r="A507" s="6" t="s">
        <v>819</v>
      </c>
      <c r="B507" s="7">
        <v>45222.663194444453</v>
      </c>
      <c r="C507" s="6">
        <v>79</v>
      </c>
      <c r="D507" s="6" t="s">
        <v>792</v>
      </c>
      <c r="E507" s="8" t="str">
        <f>IFERROR(VLOOKUP(LOG_RESEAU[[#This Row],[Cell_ID]],Registre_Maintenance!A:B,2,FALSE),"Non trouvé")</f>
        <v>Non trouvé</v>
      </c>
      <c r="F507" s="8" t="str">
        <f>IFERROR(VLOOKUP(LOG_RESEAU[[#This Row],[Cell_ID]],Registre_Maintenance!A:C,3,FALSE),"Non trouvé")</f>
        <v>Non trouvé</v>
      </c>
      <c r="G507" s="8" t="str">
        <f>IFERROR(VLOOKUP(LOG_RESEAU[[#This Row],[Cell_ID]],Registre_Maintenance!A:D,4,FALSE),"Non trouvé")</f>
        <v>Non trouvé</v>
      </c>
      <c r="H507" s="6" t="str">
        <f>IFERROR(VLOOKUP(LOG_RESEAU[[#This Row],[Cell_ID]],Registre_Maintenance!A:E,5,FALSE),"Non trouvé")</f>
        <v>Non trouvé</v>
      </c>
      <c r="I507" s="6" t="str">
        <f>IFERROR(VLOOKUP(LOG_RESEAU[[#This Row],[Cell_ID]],Registre_Maintenance!A:F,6,FALSE),"Non trouvé")</f>
        <v>Non trouvé</v>
      </c>
      <c r="J507" s="6" t="str">
        <f t="shared" si="21"/>
        <v>Antenne inconnue</v>
      </c>
      <c r="K507" s="6">
        <f t="shared" si="22"/>
        <v>11</v>
      </c>
      <c r="L507" s="6">
        <f t="shared" si="23"/>
        <v>746</v>
      </c>
    </row>
    <row r="508" spans="1:12" ht="15.75" x14ac:dyDescent="0.25">
      <c r="A508" s="6" t="s">
        <v>819</v>
      </c>
      <c r="B508" s="7">
        <v>45208.025000000001</v>
      </c>
      <c r="C508" s="6">
        <v>113</v>
      </c>
      <c r="D508" s="6" t="s">
        <v>794</v>
      </c>
      <c r="E508" s="8" t="str">
        <f>IFERROR(VLOOKUP(LOG_RESEAU[[#This Row],[Cell_ID]],Registre_Maintenance!A:B,2,FALSE),"Non trouvé")</f>
        <v>Non trouvé</v>
      </c>
      <c r="F508" s="8" t="str">
        <f>IFERROR(VLOOKUP(LOG_RESEAU[[#This Row],[Cell_ID]],Registre_Maintenance!A:C,3,FALSE),"Non trouvé")</f>
        <v>Non trouvé</v>
      </c>
      <c r="G508" s="8" t="str">
        <f>IFERROR(VLOOKUP(LOG_RESEAU[[#This Row],[Cell_ID]],Registre_Maintenance!A:D,4,FALSE),"Non trouvé")</f>
        <v>Non trouvé</v>
      </c>
      <c r="H508" s="6" t="str">
        <f>IFERROR(VLOOKUP(LOG_RESEAU[[#This Row],[Cell_ID]],Registre_Maintenance!A:E,5,FALSE),"Non trouvé")</f>
        <v>Non trouvé</v>
      </c>
      <c r="I508" s="6" t="str">
        <f>IFERROR(VLOOKUP(LOG_RESEAU[[#This Row],[Cell_ID]],Registre_Maintenance!A:F,6,FALSE),"Non trouvé")</f>
        <v>Non trouvé</v>
      </c>
      <c r="J508" s="6" t="str">
        <f t="shared" si="21"/>
        <v>Antenne inconnue</v>
      </c>
      <c r="K508" s="6">
        <f t="shared" si="22"/>
        <v>11</v>
      </c>
      <c r="L508" s="6">
        <f t="shared" si="23"/>
        <v>746</v>
      </c>
    </row>
    <row r="509" spans="1:12" ht="15.75" x14ac:dyDescent="0.25">
      <c r="A509" s="6" t="s">
        <v>819</v>
      </c>
      <c r="B509" s="7">
        <v>45227.010416666657</v>
      </c>
      <c r="C509" s="6">
        <v>49</v>
      </c>
      <c r="D509" s="6" t="s">
        <v>792</v>
      </c>
      <c r="E509" s="8" t="str">
        <f>IFERROR(VLOOKUP(LOG_RESEAU[[#This Row],[Cell_ID]],Registre_Maintenance!A:B,2,FALSE),"Non trouvé")</f>
        <v>Non trouvé</v>
      </c>
      <c r="F509" s="8" t="str">
        <f>IFERROR(VLOOKUP(LOG_RESEAU[[#This Row],[Cell_ID]],Registre_Maintenance!A:C,3,FALSE),"Non trouvé")</f>
        <v>Non trouvé</v>
      </c>
      <c r="G509" s="8" t="str">
        <f>IFERROR(VLOOKUP(LOG_RESEAU[[#This Row],[Cell_ID]],Registre_Maintenance!A:D,4,FALSE),"Non trouvé")</f>
        <v>Non trouvé</v>
      </c>
      <c r="H509" s="6" t="str">
        <f>IFERROR(VLOOKUP(LOG_RESEAU[[#This Row],[Cell_ID]],Registre_Maintenance!A:E,5,FALSE),"Non trouvé")</f>
        <v>Non trouvé</v>
      </c>
      <c r="I509" s="6" t="str">
        <f>IFERROR(VLOOKUP(LOG_RESEAU[[#This Row],[Cell_ID]],Registre_Maintenance!A:F,6,FALSE),"Non trouvé")</f>
        <v>Non trouvé</v>
      </c>
      <c r="J509" s="6" t="str">
        <f t="shared" si="21"/>
        <v>Antenne inconnue</v>
      </c>
      <c r="K509" s="6">
        <f t="shared" si="22"/>
        <v>11</v>
      </c>
      <c r="L509" s="6">
        <f t="shared" si="23"/>
        <v>746</v>
      </c>
    </row>
    <row r="510" spans="1:12" ht="15.75" x14ac:dyDescent="0.25">
      <c r="A510" s="6" t="s">
        <v>976</v>
      </c>
      <c r="B510" s="7">
        <v>45202.21875</v>
      </c>
      <c r="C510" s="6">
        <v>56</v>
      </c>
      <c r="D510" s="6" t="s">
        <v>792</v>
      </c>
      <c r="E510" s="8" t="str">
        <f>IFERROR(VLOOKUP(LOG_RESEAU[[#This Row],[Cell_ID]],Registre_Maintenance!A:B,2,FALSE),"Non trouvé")</f>
        <v>Kongo-Central</v>
      </c>
      <c r="F510" s="8">
        <f>IFERROR(VLOOKUP(LOG_RESEAU[[#This Row],[Cell_ID]],Registre_Maintenance!A:C,3,FALSE),"Non trouvé")</f>
        <v>-11.157245</v>
      </c>
      <c r="G510" s="8">
        <f>IFERROR(VLOOKUP(LOG_RESEAU[[#This Row],[Cell_ID]],Registre_Maintenance!A:D,4,FALSE),"Non trouvé")</f>
        <v>21.262627999999999</v>
      </c>
      <c r="H510" s="6" t="str">
        <f>IFERROR(VLOOKUP(LOG_RESEAU[[#This Row],[Cell_ID]],Registre_Maintenance!A:E,5,FALSE),"Non trouvé")</f>
        <v>5G</v>
      </c>
      <c r="I510" s="6" t="str">
        <f>IFERROR(VLOOKUP(LOG_RESEAU[[#This Row],[Cell_ID]],Registre_Maintenance!A:F,6,FALSE),"Non trouvé")</f>
        <v>ZTE</v>
      </c>
      <c r="J510" s="6" t="str">
        <f t="shared" si="21"/>
        <v>OK</v>
      </c>
      <c r="K510" s="6">
        <f t="shared" si="22"/>
        <v>5</v>
      </c>
      <c r="L510" s="6">
        <f t="shared" si="23"/>
        <v>412</v>
      </c>
    </row>
    <row r="511" spans="1:12" ht="15.75" x14ac:dyDescent="0.25">
      <c r="A511" s="6" t="s">
        <v>976</v>
      </c>
      <c r="B511" s="7">
        <v>45221.839583333327</v>
      </c>
      <c r="C511" s="6">
        <v>93</v>
      </c>
      <c r="D511" s="6" t="s">
        <v>792</v>
      </c>
      <c r="E511" s="8" t="str">
        <f>IFERROR(VLOOKUP(LOG_RESEAU[[#This Row],[Cell_ID]],Registre_Maintenance!A:B,2,FALSE),"Non trouvé")</f>
        <v>Kongo-Central</v>
      </c>
      <c r="F511" s="8">
        <f>IFERROR(VLOOKUP(LOG_RESEAU[[#This Row],[Cell_ID]],Registre_Maintenance!A:C,3,FALSE),"Non trouvé")</f>
        <v>-11.157245</v>
      </c>
      <c r="G511" s="8">
        <f>IFERROR(VLOOKUP(LOG_RESEAU[[#This Row],[Cell_ID]],Registre_Maintenance!A:D,4,FALSE),"Non trouvé")</f>
        <v>21.262627999999999</v>
      </c>
      <c r="H511" s="6" t="str">
        <f>IFERROR(VLOOKUP(LOG_RESEAU[[#This Row],[Cell_ID]],Registre_Maintenance!A:E,5,FALSE),"Non trouvé")</f>
        <v>5G</v>
      </c>
      <c r="I511" s="6" t="str">
        <f>IFERROR(VLOOKUP(LOG_RESEAU[[#This Row],[Cell_ID]],Registre_Maintenance!A:F,6,FALSE),"Non trouvé")</f>
        <v>ZTE</v>
      </c>
      <c r="J511" s="6" t="str">
        <f t="shared" si="21"/>
        <v>OK</v>
      </c>
      <c r="K511" s="6">
        <f t="shared" si="22"/>
        <v>5</v>
      </c>
      <c r="L511" s="6">
        <f t="shared" si="23"/>
        <v>412</v>
      </c>
    </row>
    <row r="512" spans="1:12" ht="15.75" x14ac:dyDescent="0.25">
      <c r="A512" s="6" t="s">
        <v>976</v>
      </c>
      <c r="B512" s="7">
        <v>45202.412499999999</v>
      </c>
      <c r="C512" s="6">
        <v>44</v>
      </c>
      <c r="D512" s="6" t="s">
        <v>794</v>
      </c>
      <c r="E512" s="8" t="str">
        <f>IFERROR(VLOOKUP(LOG_RESEAU[[#This Row],[Cell_ID]],Registre_Maintenance!A:B,2,FALSE),"Non trouvé")</f>
        <v>Kongo-Central</v>
      </c>
      <c r="F512" s="8">
        <f>IFERROR(VLOOKUP(LOG_RESEAU[[#This Row],[Cell_ID]],Registre_Maintenance!A:C,3,FALSE),"Non trouvé")</f>
        <v>-11.157245</v>
      </c>
      <c r="G512" s="8">
        <f>IFERROR(VLOOKUP(LOG_RESEAU[[#This Row],[Cell_ID]],Registre_Maintenance!A:D,4,FALSE),"Non trouvé")</f>
        <v>21.262627999999999</v>
      </c>
      <c r="H512" s="6" t="str">
        <f>IFERROR(VLOOKUP(LOG_RESEAU[[#This Row],[Cell_ID]],Registre_Maintenance!A:E,5,FALSE),"Non trouvé")</f>
        <v>5G</v>
      </c>
      <c r="I512" s="6" t="str">
        <f>IFERROR(VLOOKUP(LOG_RESEAU[[#This Row],[Cell_ID]],Registre_Maintenance!A:F,6,FALSE),"Non trouvé")</f>
        <v>ZTE</v>
      </c>
      <c r="J512" s="6" t="str">
        <f t="shared" si="21"/>
        <v>OK</v>
      </c>
      <c r="K512" s="6">
        <f t="shared" si="22"/>
        <v>5</v>
      </c>
      <c r="L512" s="6">
        <f t="shared" si="23"/>
        <v>412</v>
      </c>
    </row>
    <row r="513" spans="1:12" ht="15.75" x14ac:dyDescent="0.25">
      <c r="A513" s="6" t="s">
        <v>976</v>
      </c>
      <c r="B513" s="7">
        <v>45220.663194444453</v>
      </c>
      <c r="C513" s="6">
        <v>110</v>
      </c>
      <c r="D513" s="6" t="s">
        <v>800</v>
      </c>
      <c r="E513" s="8" t="str">
        <f>IFERROR(VLOOKUP(LOG_RESEAU[[#This Row],[Cell_ID]],Registre_Maintenance!A:B,2,FALSE),"Non trouvé")</f>
        <v>Kongo-Central</v>
      </c>
      <c r="F513" s="8">
        <f>IFERROR(VLOOKUP(LOG_RESEAU[[#This Row],[Cell_ID]],Registre_Maintenance!A:C,3,FALSE),"Non trouvé")</f>
        <v>-11.157245</v>
      </c>
      <c r="G513" s="8">
        <f>IFERROR(VLOOKUP(LOG_RESEAU[[#This Row],[Cell_ID]],Registre_Maintenance!A:D,4,FALSE),"Non trouvé")</f>
        <v>21.262627999999999</v>
      </c>
      <c r="H513" s="6" t="str">
        <f>IFERROR(VLOOKUP(LOG_RESEAU[[#This Row],[Cell_ID]],Registre_Maintenance!A:E,5,FALSE),"Non trouvé")</f>
        <v>5G</v>
      </c>
      <c r="I513" s="6" t="str">
        <f>IFERROR(VLOOKUP(LOG_RESEAU[[#This Row],[Cell_ID]],Registre_Maintenance!A:F,6,FALSE),"Non trouvé")</f>
        <v>ZTE</v>
      </c>
      <c r="J513" s="6" t="str">
        <f t="shared" si="21"/>
        <v>OK</v>
      </c>
      <c r="K513" s="6">
        <f t="shared" si="22"/>
        <v>5</v>
      </c>
      <c r="L513" s="6">
        <f t="shared" si="23"/>
        <v>412</v>
      </c>
    </row>
    <row r="514" spans="1:12" ht="15.75" x14ac:dyDescent="0.25">
      <c r="A514" s="6" t="s">
        <v>976</v>
      </c>
      <c r="B514" s="7">
        <v>45215.288194444453</v>
      </c>
      <c r="C514" s="6">
        <v>109</v>
      </c>
      <c r="D514" s="6" t="s">
        <v>794</v>
      </c>
      <c r="E514" s="8" t="str">
        <f>IFERROR(VLOOKUP(LOG_RESEAU[[#This Row],[Cell_ID]],Registre_Maintenance!A:B,2,FALSE),"Non trouvé")</f>
        <v>Kongo-Central</v>
      </c>
      <c r="F514" s="8">
        <f>IFERROR(VLOOKUP(LOG_RESEAU[[#This Row],[Cell_ID]],Registre_Maintenance!A:C,3,FALSE),"Non trouvé")</f>
        <v>-11.157245</v>
      </c>
      <c r="G514" s="8">
        <f>IFERROR(VLOOKUP(LOG_RESEAU[[#This Row],[Cell_ID]],Registre_Maintenance!A:D,4,FALSE),"Non trouvé")</f>
        <v>21.262627999999999</v>
      </c>
      <c r="H514" s="6" t="str">
        <f>IFERROR(VLOOKUP(LOG_RESEAU[[#This Row],[Cell_ID]],Registre_Maintenance!A:E,5,FALSE),"Non trouvé")</f>
        <v>5G</v>
      </c>
      <c r="I514" s="6" t="str">
        <f>IFERROR(VLOOKUP(LOG_RESEAU[[#This Row],[Cell_ID]],Registre_Maintenance!A:F,6,FALSE),"Non trouvé")</f>
        <v>ZTE</v>
      </c>
      <c r="J514" s="6" t="str">
        <f t="shared" ref="J514:J577" si="24">IF(ISERROR(SEARCH("Non trouvé",F514)),"OK","Antenne inconnue")</f>
        <v>OK</v>
      </c>
      <c r="K514" s="6">
        <f t="shared" ref="K514:K577" si="25">COUNTIF(A:A,A514)</f>
        <v>5</v>
      </c>
      <c r="L514" s="6">
        <f t="shared" ref="L514:L577" si="26">SUMIF(A:A,A514,C:C)</f>
        <v>412</v>
      </c>
    </row>
    <row r="515" spans="1:12" ht="15.75" x14ac:dyDescent="0.25">
      <c r="A515" s="6" t="s">
        <v>898</v>
      </c>
      <c r="B515" s="7">
        <v>45209.227777777778</v>
      </c>
      <c r="C515" s="6">
        <v>13</v>
      </c>
      <c r="D515" s="6" t="s">
        <v>800</v>
      </c>
      <c r="E515" s="8" t="str">
        <f>IFERROR(VLOOKUP(LOG_RESEAU[[#This Row],[Cell_ID]],Registre_Maintenance!A:B,2,FALSE),"Non trouvé")</f>
        <v>Non trouvé</v>
      </c>
      <c r="F515" s="8" t="str">
        <f>IFERROR(VLOOKUP(LOG_RESEAU[[#This Row],[Cell_ID]],Registre_Maintenance!A:C,3,FALSE),"Non trouvé")</f>
        <v>Non trouvé</v>
      </c>
      <c r="G515" s="8" t="str">
        <f>IFERROR(VLOOKUP(LOG_RESEAU[[#This Row],[Cell_ID]],Registre_Maintenance!A:D,4,FALSE),"Non trouvé")</f>
        <v>Non trouvé</v>
      </c>
      <c r="H515" s="6" t="str">
        <f>IFERROR(VLOOKUP(LOG_RESEAU[[#This Row],[Cell_ID]],Registre_Maintenance!A:E,5,FALSE),"Non trouvé")</f>
        <v>Non trouvé</v>
      </c>
      <c r="I515" s="6" t="str">
        <f>IFERROR(VLOOKUP(LOG_RESEAU[[#This Row],[Cell_ID]],Registre_Maintenance!A:F,6,FALSE),"Non trouvé")</f>
        <v>Non trouvé</v>
      </c>
      <c r="J515" s="6" t="str">
        <f t="shared" si="24"/>
        <v>Antenne inconnue</v>
      </c>
      <c r="K515" s="6">
        <f t="shared" si="25"/>
        <v>10</v>
      </c>
      <c r="L515" s="6">
        <f t="shared" si="26"/>
        <v>630</v>
      </c>
    </row>
    <row r="516" spans="1:12" ht="15.75" x14ac:dyDescent="0.25">
      <c r="A516" s="6" t="s">
        <v>898</v>
      </c>
      <c r="B516" s="7">
        <v>45209.777083333327</v>
      </c>
      <c r="C516" s="6">
        <v>102</v>
      </c>
      <c r="D516" s="6" t="s">
        <v>794</v>
      </c>
      <c r="E516" s="8" t="str">
        <f>IFERROR(VLOOKUP(LOG_RESEAU[[#This Row],[Cell_ID]],Registre_Maintenance!A:B,2,FALSE),"Non trouvé")</f>
        <v>Non trouvé</v>
      </c>
      <c r="F516" s="8" t="str">
        <f>IFERROR(VLOOKUP(LOG_RESEAU[[#This Row],[Cell_ID]],Registre_Maintenance!A:C,3,FALSE),"Non trouvé")</f>
        <v>Non trouvé</v>
      </c>
      <c r="G516" s="8" t="str">
        <f>IFERROR(VLOOKUP(LOG_RESEAU[[#This Row],[Cell_ID]],Registre_Maintenance!A:D,4,FALSE),"Non trouvé")</f>
        <v>Non trouvé</v>
      </c>
      <c r="H516" s="6" t="str">
        <f>IFERROR(VLOOKUP(LOG_RESEAU[[#This Row],[Cell_ID]],Registre_Maintenance!A:E,5,FALSE),"Non trouvé")</f>
        <v>Non trouvé</v>
      </c>
      <c r="I516" s="6" t="str">
        <f>IFERROR(VLOOKUP(LOG_RESEAU[[#This Row],[Cell_ID]],Registre_Maintenance!A:F,6,FALSE),"Non trouvé")</f>
        <v>Non trouvé</v>
      </c>
      <c r="J516" s="6" t="str">
        <f t="shared" si="24"/>
        <v>Antenne inconnue</v>
      </c>
      <c r="K516" s="6">
        <f t="shared" si="25"/>
        <v>10</v>
      </c>
      <c r="L516" s="6">
        <f t="shared" si="26"/>
        <v>630</v>
      </c>
    </row>
    <row r="517" spans="1:12" ht="15.75" x14ac:dyDescent="0.25">
      <c r="A517" s="6" t="s">
        <v>898</v>
      </c>
      <c r="B517" s="7">
        <v>45219.322916666657</v>
      </c>
      <c r="C517" s="6">
        <v>25</v>
      </c>
      <c r="D517" s="6" t="s">
        <v>794</v>
      </c>
      <c r="E517" s="8" t="str">
        <f>IFERROR(VLOOKUP(LOG_RESEAU[[#This Row],[Cell_ID]],Registre_Maintenance!A:B,2,FALSE),"Non trouvé")</f>
        <v>Non trouvé</v>
      </c>
      <c r="F517" s="8" t="str">
        <f>IFERROR(VLOOKUP(LOG_RESEAU[[#This Row],[Cell_ID]],Registre_Maintenance!A:C,3,FALSE),"Non trouvé")</f>
        <v>Non trouvé</v>
      </c>
      <c r="G517" s="8" t="str">
        <f>IFERROR(VLOOKUP(LOG_RESEAU[[#This Row],[Cell_ID]],Registre_Maintenance!A:D,4,FALSE),"Non trouvé")</f>
        <v>Non trouvé</v>
      </c>
      <c r="H517" s="6" t="str">
        <f>IFERROR(VLOOKUP(LOG_RESEAU[[#This Row],[Cell_ID]],Registre_Maintenance!A:E,5,FALSE),"Non trouvé")</f>
        <v>Non trouvé</v>
      </c>
      <c r="I517" s="6" t="str">
        <f>IFERROR(VLOOKUP(LOG_RESEAU[[#This Row],[Cell_ID]],Registre_Maintenance!A:F,6,FALSE),"Non trouvé")</f>
        <v>Non trouvé</v>
      </c>
      <c r="J517" s="6" t="str">
        <f t="shared" si="24"/>
        <v>Antenne inconnue</v>
      </c>
      <c r="K517" s="6">
        <f t="shared" si="25"/>
        <v>10</v>
      </c>
      <c r="L517" s="6">
        <f t="shared" si="26"/>
        <v>630</v>
      </c>
    </row>
    <row r="518" spans="1:12" ht="15.75" x14ac:dyDescent="0.25">
      <c r="A518" s="6" t="s">
        <v>992</v>
      </c>
      <c r="B518" s="7">
        <v>45227.587500000001</v>
      </c>
      <c r="C518" s="6">
        <v>65</v>
      </c>
      <c r="D518" s="6" t="s">
        <v>794</v>
      </c>
      <c r="E518" s="8" t="str">
        <f>IFERROR(VLOOKUP(LOG_RESEAU[[#This Row],[Cell_ID]],Registre_Maintenance!A:B,2,FALSE),"Non trouvé")</f>
        <v>Non trouvé</v>
      </c>
      <c r="F518" s="8" t="str">
        <f>IFERROR(VLOOKUP(LOG_RESEAU[[#This Row],[Cell_ID]],Registre_Maintenance!A:C,3,FALSE),"Non trouvé")</f>
        <v>Non trouvé</v>
      </c>
      <c r="G518" s="8" t="str">
        <f>IFERROR(VLOOKUP(LOG_RESEAU[[#This Row],[Cell_ID]],Registre_Maintenance!A:D,4,FALSE),"Non trouvé")</f>
        <v>Non trouvé</v>
      </c>
      <c r="H518" s="6" t="str">
        <f>IFERROR(VLOOKUP(LOG_RESEAU[[#This Row],[Cell_ID]],Registre_Maintenance!A:E,5,FALSE),"Non trouvé")</f>
        <v>Non trouvé</v>
      </c>
      <c r="I518" s="6" t="str">
        <f>IFERROR(VLOOKUP(LOG_RESEAU[[#This Row],[Cell_ID]],Registre_Maintenance!A:F,6,FALSE),"Non trouvé")</f>
        <v>Non trouvé</v>
      </c>
      <c r="J518" s="6" t="str">
        <f t="shared" si="24"/>
        <v>Antenne inconnue</v>
      </c>
      <c r="K518" s="6">
        <f t="shared" si="25"/>
        <v>10</v>
      </c>
      <c r="L518" s="6">
        <f t="shared" si="26"/>
        <v>630</v>
      </c>
    </row>
    <row r="519" spans="1:12" ht="15.75" x14ac:dyDescent="0.25">
      <c r="A519" s="6" t="s">
        <v>898</v>
      </c>
      <c r="B519" s="7">
        <v>45223.869444444441</v>
      </c>
      <c r="C519" s="6">
        <v>99</v>
      </c>
      <c r="D519" s="6" t="s">
        <v>800</v>
      </c>
      <c r="E519" s="8" t="str">
        <f>IFERROR(VLOOKUP(LOG_RESEAU[[#This Row],[Cell_ID]],Registre_Maintenance!A:B,2,FALSE),"Non trouvé")</f>
        <v>Non trouvé</v>
      </c>
      <c r="F519" s="8" t="str">
        <f>IFERROR(VLOOKUP(LOG_RESEAU[[#This Row],[Cell_ID]],Registre_Maintenance!A:C,3,FALSE),"Non trouvé")</f>
        <v>Non trouvé</v>
      </c>
      <c r="G519" s="8" t="str">
        <f>IFERROR(VLOOKUP(LOG_RESEAU[[#This Row],[Cell_ID]],Registre_Maintenance!A:D,4,FALSE),"Non trouvé")</f>
        <v>Non trouvé</v>
      </c>
      <c r="H519" s="6" t="str">
        <f>IFERROR(VLOOKUP(LOG_RESEAU[[#This Row],[Cell_ID]],Registre_Maintenance!A:E,5,FALSE),"Non trouvé")</f>
        <v>Non trouvé</v>
      </c>
      <c r="I519" s="6" t="str">
        <f>IFERROR(VLOOKUP(LOG_RESEAU[[#This Row],[Cell_ID]],Registre_Maintenance!A:F,6,FALSE),"Non trouvé")</f>
        <v>Non trouvé</v>
      </c>
      <c r="J519" s="6" t="str">
        <f t="shared" si="24"/>
        <v>Antenne inconnue</v>
      </c>
      <c r="K519" s="6">
        <f t="shared" si="25"/>
        <v>10</v>
      </c>
      <c r="L519" s="6">
        <f t="shared" si="26"/>
        <v>630</v>
      </c>
    </row>
    <row r="520" spans="1:12" ht="15.75" x14ac:dyDescent="0.25">
      <c r="A520" s="6" t="s">
        <v>898</v>
      </c>
      <c r="B520" s="7">
        <v>45215.67291666667</v>
      </c>
      <c r="C520" s="6">
        <v>46</v>
      </c>
      <c r="D520" s="6" t="s">
        <v>800</v>
      </c>
      <c r="E520" s="8" t="str">
        <f>IFERROR(VLOOKUP(LOG_RESEAU[[#This Row],[Cell_ID]],Registre_Maintenance!A:B,2,FALSE),"Non trouvé")</f>
        <v>Non trouvé</v>
      </c>
      <c r="F520" s="8" t="str">
        <f>IFERROR(VLOOKUP(LOG_RESEAU[[#This Row],[Cell_ID]],Registre_Maintenance!A:C,3,FALSE),"Non trouvé")</f>
        <v>Non trouvé</v>
      </c>
      <c r="G520" s="8" t="str">
        <f>IFERROR(VLOOKUP(LOG_RESEAU[[#This Row],[Cell_ID]],Registre_Maintenance!A:D,4,FALSE),"Non trouvé")</f>
        <v>Non trouvé</v>
      </c>
      <c r="H520" s="6" t="str">
        <f>IFERROR(VLOOKUP(LOG_RESEAU[[#This Row],[Cell_ID]],Registre_Maintenance!A:E,5,FALSE),"Non trouvé")</f>
        <v>Non trouvé</v>
      </c>
      <c r="I520" s="6" t="str">
        <f>IFERROR(VLOOKUP(LOG_RESEAU[[#This Row],[Cell_ID]],Registre_Maintenance!A:F,6,FALSE),"Non trouvé")</f>
        <v>Non trouvé</v>
      </c>
      <c r="J520" s="6" t="str">
        <f t="shared" si="24"/>
        <v>Antenne inconnue</v>
      </c>
      <c r="K520" s="6">
        <f t="shared" si="25"/>
        <v>10</v>
      </c>
      <c r="L520" s="6">
        <f t="shared" si="26"/>
        <v>630</v>
      </c>
    </row>
    <row r="521" spans="1:12" ht="15.75" x14ac:dyDescent="0.25">
      <c r="A521" s="6" t="s">
        <v>898</v>
      </c>
      <c r="B521" s="7">
        <v>45216.459027777782</v>
      </c>
      <c r="C521" s="6">
        <v>69</v>
      </c>
      <c r="D521" s="6" t="s">
        <v>792</v>
      </c>
      <c r="E521" s="8" t="str">
        <f>IFERROR(VLOOKUP(LOG_RESEAU[[#This Row],[Cell_ID]],Registre_Maintenance!A:B,2,FALSE),"Non trouvé")</f>
        <v>Non trouvé</v>
      </c>
      <c r="F521" s="8" t="str">
        <f>IFERROR(VLOOKUP(LOG_RESEAU[[#This Row],[Cell_ID]],Registre_Maintenance!A:C,3,FALSE),"Non trouvé")</f>
        <v>Non trouvé</v>
      </c>
      <c r="G521" s="8" t="str">
        <f>IFERROR(VLOOKUP(LOG_RESEAU[[#This Row],[Cell_ID]],Registre_Maintenance!A:D,4,FALSE),"Non trouvé")</f>
        <v>Non trouvé</v>
      </c>
      <c r="H521" s="6" t="str">
        <f>IFERROR(VLOOKUP(LOG_RESEAU[[#This Row],[Cell_ID]],Registre_Maintenance!A:E,5,FALSE),"Non trouvé")</f>
        <v>Non trouvé</v>
      </c>
      <c r="I521" s="6" t="str">
        <f>IFERROR(VLOOKUP(LOG_RESEAU[[#This Row],[Cell_ID]],Registre_Maintenance!A:F,6,FALSE),"Non trouvé")</f>
        <v>Non trouvé</v>
      </c>
      <c r="J521" s="6" t="str">
        <f t="shared" si="24"/>
        <v>Antenne inconnue</v>
      </c>
      <c r="K521" s="6">
        <f t="shared" si="25"/>
        <v>10</v>
      </c>
      <c r="L521" s="6">
        <f t="shared" si="26"/>
        <v>630</v>
      </c>
    </row>
    <row r="522" spans="1:12" ht="15.75" x14ac:dyDescent="0.25">
      <c r="A522" s="6" t="s">
        <v>898</v>
      </c>
      <c r="B522" s="7">
        <v>45215.047222222223</v>
      </c>
      <c r="C522" s="6">
        <v>35</v>
      </c>
      <c r="D522" s="6" t="s">
        <v>794</v>
      </c>
      <c r="E522" s="8" t="str">
        <f>IFERROR(VLOOKUP(LOG_RESEAU[[#This Row],[Cell_ID]],Registre_Maintenance!A:B,2,FALSE),"Non trouvé")</f>
        <v>Non trouvé</v>
      </c>
      <c r="F522" s="8" t="str">
        <f>IFERROR(VLOOKUP(LOG_RESEAU[[#This Row],[Cell_ID]],Registre_Maintenance!A:C,3,FALSE),"Non trouvé")</f>
        <v>Non trouvé</v>
      </c>
      <c r="G522" s="8" t="str">
        <f>IFERROR(VLOOKUP(LOG_RESEAU[[#This Row],[Cell_ID]],Registre_Maintenance!A:D,4,FALSE),"Non trouvé")</f>
        <v>Non trouvé</v>
      </c>
      <c r="H522" s="6" t="str">
        <f>IFERROR(VLOOKUP(LOG_RESEAU[[#This Row],[Cell_ID]],Registre_Maintenance!A:E,5,FALSE),"Non trouvé")</f>
        <v>Non trouvé</v>
      </c>
      <c r="I522" s="6" t="str">
        <f>IFERROR(VLOOKUP(LOG_RESEAU[[#This Row],[Cell_ID]],Registre_Maintenance!A:F,6,FALSE),"Non trouvé")</f>
        <v>Non trouvé</v>
      </c>
      <c r="J522" s="6" t="str">
        <f t="shared" si="24"/>
        <v>Antenne inconnue</v>
      </c>
      <c r="K522" s="6">
        <f t="shared" si="25"/>
        <v>10</v>
      </c>
      <c r="L522" s="6">
        <f t="shared" si="26"/>
        <v>630</v>
      </c>
    </row>
    <row r="523" spans="1:12" ht="15.75" x14ac:dyDescent="0.25">
      <c r="A523" s="6" t="s">
        <v>898</v>
      </c>
      <c r="B523" s="7">
        <v>45222.944444444453</v>
      </c>
      <c r="C523" s="6">
        <v>87</v>
      </c>
      <c r="D523" s="6" t="s">
        <v>800</v>
      </c>
      <c r="E523" s="8" t="str">
        <f>IFERROR(VLOOKUP(LOG_RESEAU[[#This Row],[Cell_ID]],Registre_Maintenance!A:B,2,FALSE),"Non trouvé")</f>
        <v>Non trouvé</v>
      </c>
      <c r="F523" s="8" t="str">
        <f>IFERROR(VLOOKUP(LOG_RESEAU[[#This Row],[Cell_ID]],Registre_Maintenance!A:C,3,FALSE),"Non trouvé")</f>
        <v>Non trouvé</v>
      </c>
      <c r="G523" s="8" t="str">
        <f>IFERROR(VLOOKUP(LOG_RESEAU[[#This Row],[Cell_ID]],Registre_Maintenance!A:D,4,FALSE),"Non trouvé")</f>
        <v>Non trouvé</v>
      </c>
      <c r="H523" s="6" t="str">
        <f>IFERROR(VLOOKUP(LOG_RESEAU[[#This Row],[Cell_ID]],Registre_Maintenance!A:E,5,FALSE),"Non trouvé")</f>
        <v>Non trouvé</v>
      </c>
      <c r="I523" s="6" t="str">
        <f>IFERROR(VLOOKUP(LOG_RESEAU[[#This Row],[Cell_ID]],Registre_Maintenance!A:F,6,FALSE),"Non trouvé")</f>
        <v>Non trouvé</v>
      </c>
      <c r="J523" s="6" t="str">
        <f t="shared" si="24"/>
        <v>Antenne inconnue</v>
      </c>
      <c r="K523" s="6">
        <f t="shared" si="25"/>
        <v>10</v>
      </c>
      <c r="L523" s="6">
        <f t="shared" si="26"/>
        <v>630</v>
      </c>
    </row>
    <row r="524" spans="1:12" ht="15.75" x14ac:dyDescent="0.25">
      <c r="A524" s="6" t="s">
        <v>898</v>
      </c>
      <c r="B524" s="7">
        <v>45229.801388888889</v>
      </c>
      <c r="C524" s="6">
        <v>89</v>
      </c>
      <c r="D524" s="6" t="s">
        <v>794</v>
      </c>
      <c r="E524" s="8" t="str">
        <f>IFERROR(VLOOKUP(LOG_RESEAU[[#This Row],[Cell_ID]],Registre_Maintenance!A:B,2,FALSE),"Non trouvé")</f>
        <v>Non trouvé</v>
      </c>
      <c r="F524" s="8" t="str">
        <f>IFERROR(VLOOKUP(LOG_RESEAU[[#This Row],[Cell_ID]],Registre_Maintenance!A:C,3,FALSE),"Non trouvé")</f>
        <v>Non trouvé</v>
      </c>
      <c r="G524" s="8" t="str">
        <f>IFERROR(VLOOKUP(LOG_RESEAU[[#This Row],[Cell_ID]],Registre_Maintenance!A:D,4,FALSE),"Non trouvé")</f>
        <v>Non trouvé</v>
      </c>
      <c r="H524" s="6" t="str">
        <f>IFERROR(VLOOKUP(LOG_RESEAU[[#This Row],[Cell_ID]],Registre_Maintenance!A:E,5,FALSE),"Non trouvé")</f>
        <v>Non trouvé</v>
      </c>
      <c r="I524" s="6" t="str">
        <f>IFERROR(VLOOKUP(LOG_RESEAU[[#This Row],[Cell_ID]],Registre_Maintenance!A:F,6,FALSE),"Non trouvé")</f>
        <v>Non trouvé</v>
      </c>
      <c r="J524" s="6" t="str">
        <f t="shared" si="24"/>
        <v>Antenne inconnue</v>
      </c>
      <c r="K524" s="6">
        <f t="shared" si="25"/>
        <v>10</v>
      </c>
      <c r="L524" s="6">
        <f t="shared" si="26"/>
        <v>630</v>
      </c>
    </row>
    <row r="525" spans="1:12" ht="15.75" x14ac:dyDescent="0.25">
      <c r="A525" s="6" t="s">
        <v>830</v>
      </c>
      <c r="B525" s="7">
        <v>45226.07708333333</v>
      </c>
      <c r="C525" s="6">
        <v>60</v>
      </c>
      <c r="D525" s="6" t="s">
        <v>794</v>
      </c>
      <c r="E525" s="8" t="str">
        <f>IFERROR(VLOOKUP(LOG_RESEAU[[#This Row],[Cell_ID]],Registre_Maintenance!A:B,2,FALSE),"Non trouvé")</f>
        <v>Haut-Uele</v>
      </c>
      <c r="F525" s="8">
        <f>IFERROR(VLOOKUP(LOG_RESEAU[[#This Row],[Cell_ID]],Registre_Maintenance!A:C,3,FALSE),"Non trouvé")</f>
        <v>1.0134879999999999</v>
      </c>
      <c r="G525" s="8">
        <f>IFERROR(VLOOKUP(LOG_RESEAU[[#This Row],[Cell_ID]],Registre_Maintenance!A:D,4,FALSE),"Non trouvé")</f>
        <v>20.363515</v>
      </c>
      <c r="H525" s="6" t="str">
        <f>IFERROR(VLOOKUP(LOG_RESEAU[[#This Row],[Cell_ID]],Registre_Maintenance!A:E,5,FALSE),"Non trouvé")</f>
        <v>4G</v>
      </c>
      <c r="I525" s="6" t="str">
        <f>IFERROR(VLOOKUP(LOG_RESEAU[[#This Row],[Cell_ID]],Registre_Maintenance!A:F,6,FALSE),"Non trouvé")</f>
        <v>Nokia</v>
      </c>
      <c r="J525" s="6" t="str">
        <f t="shared" si="24"/>
        <v>OK</v>
      </c>
      <c r="K525" s="6">
        <f t="shared" si="25"/>
        <v>5</v>
      </c>
      <c r="L525" s="6">
        <f t="shared" si="26"/>
        <v>312</v>
      </c>
    </row>
    <row r="526" spans="1:12" ht="15.75" x14ac:dyDescent="0.25">
      <c r="A526" s="6" t="s">
        <v>830</v>
      </c>
      <c r="B526" s="7">
        <v>45202.5</v>
      </c>
      <c r="C526" s="6">
        <v>93</v>
      </c>
      <c r="D526" s="6" t="s">
        <v>794</v>
      </c>
      <c r="E526" s="8" t="str">
        <f>IFERROR(VLOOKUP(LOG_RESEAU[[#This Row],[Cell_ID]],Registre_Maintenance!A:B,2,FALSE),"Non trouvé")</f>
        <v>Haut-Uele</v>
      </c>
      <c r="F526" s="8">
        <f>IFERROR(VLOOKUP(LOG_RESEAU[[#This Row],[Cell_ID]],Registre_Maintenance!A:C,3,FALSE),"Non trouvé")</f>
        <v>1.0134879999999999</v>
      </c>
      <c r="G526" s="8">
        <f>IFERROR(VLOOKUP(LOG_RESEAU[[#This Row],[Cell_ID]],Registre_Maintenance!A:D,4,FALSE),"Non trouvé")</f>
        <v>20.363515</v>
      </c>
      <c r="H526" s="6" t="str">
        <f>IFERROR(VLOOKUP(LOG_RESEAU[[#This Row],[Cell_ID]],Registre_Maintenance!A:E,5,FALSE),"Non trouvé")</f>
        <v>4G</v>
      </c>
      <c r="I526" s="6" t="str">
        <f>IFERROR(VLOOKUP(LOG_RESEAU[[#This Row],[Cell_ID]],Registre_Maintenance!A:F,6,FALSE),"Non trouvé")</f>
        <v>Nokia</v>
      </c>
      <c r="J526" s="6" t="str">
        <f t="shared" si="24"/>
        <v>OK</v>
      </c>
      <c r="K526" s="6">
        <f t="shared" si="25"/>
        <v>5</v>
      </c>
      <c r="L526" s="6">
        <f t="shared" si="26"/>
        <v>312</v>
      </c>
    </row>
    <row r="527" spans="1:12" ht="15.75" x14ac:dyDescent="0.25">
      <c r="A527" s="6" t="s">
        <v>830</v>
      </c>
      <c r="B527" s="7">
        <v>45218.732638888891</v>
      </c>
      <c r="C527" s="6">
        <v>57</v>
      </c>
      <c r="D527" s="6" t="s">
        <v>792</v>
      </c>
      <c r="E527" s="8" t="str">
        <f>IFERROR(VLOOKUP(LOG_RESEAU[[#This Row],[Cell_ID]],Registre_Maintenance!A:B,2,FALSE),"Non trouvé")</f>
        <v>Haut-Uele</v>
      </c>
      <c r="F527" s="8">
        <f>IFERROR(VLOOKUP(LOG_RESEAU[[#This Row],[Cell_ID]],Registre_Maintenance!A:C,3,FALSE),"Non trouvé")</f>
        <v>1.0134879999999999</v>
      </c>
      <c r="G527" s="8">
        <f>IFERROR(VLOOKUP(LOG_RESEAU[[#This Row],[Cell_ID]],Registre_Maintenance!A:D,4,FALSE),"Non trouvé")</f>
        <v>20.363515</v>
      </c>
      <c r="H527" s="6" t="str">
        <f>IFERROR(VLOOKUP(LOG_RESEAU[[#This Row],[Cell_ID]],Registre_Maintenance!A:E,5,FALSE),"Non trouvé")</f>
        <v>4G</v>
      </c>
      <c r="I527" s="6" t="str">
        <f>IFERROR(VLOOKUP(LOG_RESEAU[[#This Row],[Cell_ID]],Registre_Maintenance!A:F,6,FALSE),"Non trouvé")</f>
        <v>Nokia</v>
      </c>
      <c r="J527" s="6" t="str">
        <f t="shared" si="24"/>
        <v>OK</v>
      </c>
      <c r="K527" s="6">
        <f t="shared" si="25"/>
        <v>5</v>
      </c>
      <c r="L527" s="6">
        <f t="shared" si="26"/>
        <v>312</v>
      </c>
    </row>
    <row r="528" spans="1:12" ht="15.75" x14ac:dyDescent="0.25">
      <c r="A528" s="6" t="s">
        <v>830</v>
      </c>
      <c r="B528" s="7">
        <v>45203.447916666657</v>
      </c>
      <c r="C528" s="6">
        <v>5</v>
      </c>
      <c r="D528" s="6" t="s">
        <v>792</v>
      </c>
      <c r="E528" s="8" t="str">
        <f>IFERROR(VLOOKUP(LOG_RESEAU[[#This Row],[Cell_ID]],Registre_Maintenance!A:B,2,FALSE),"Non trouvé")</f>
        <v>Haut-Uele</v>
      </c>
      <c r="F528" s="8">
        <f>IFERROR(VLOOKUP(LOG_RESEAU[[#This Row],[Cell_ID]],Registre_Maintenance!A:C,3,FALSE),"Non trouvé")</f>
        <v>1.0134879999999999</v>
      </c>
      <c r="G528" s="8">
        <f>IFERROR(VLOOKUP(LOG_RESEAU[[#This Row],[Cell_ID]],Registre_Maintenance!A:D,4,FALSE),"Non trouvé")</f>
        <v>20.363515</v>
      </c>
      <c r="H528" s="6" t="str">
        <f>IFERROR(VLOOKUP(LOG_RESEAU[[#This Row],[Cell_ID]],Registre_Maintenance!A:E,5,FALSE),"Non trouvé")</f>
        <v>4G</v>
      </c>
      <c r="I528" s="6" t="str">
        <f>IFERROR(VLOOKUP(LOG_RESEAU[[#This Row],[Cell_ID]],Registre_Maintenance!A:F,6,FALSE),"Non trouvé")</f>
        <v>Nokia</v>
      </c>
      <c r="J528" s="6" t="str">
        <f t="shared" si="24"/>
        <v>OK</v>
      </c>
      <c r="K528" s="6">
        <f t="shared" si="25"/>
        <v>5</v>
      </c>
      <c r="L528" s="6">
        <f t="shared" si="26"/>
        <v>312</v>
      </c>
    </row>
    <row r="529" spans="1:12" ht="15.75" x14ac:dyDescent="0.25">
      <c r="A529" s="6" t="s">
        <v>830</v>
      </c>
      <c r="B529" s="7">
        <v>45223.794444444437</v>
      </c>
      <c r="C529" s="6">
        <v>97</v>
      </c>
      <c r="D529" s="6" t="s">
        <v>794</v>
      </c>
      <c r="E529" s="8" t="str">
        <f>IFERROR(VLOOKUP(LOG_RESEAU[[#This Row],[Cell_ID]],Registre_Maintenance!A:B,2,FALSE),"Non trouvé")</f>
        <v>Haut-Uele</v>
      </c>
      <c r="F529" s="8">
        <f>IFERROR(VLOOKUP(LOG_RESEAU[[#This Row],[Cell_ID]],Registre_Maintenance!A:C,3,FALSE),"Non trouvé")</f>
        <v>1.0134879999999999</v>
      </c>
      <c r="G529" s="8">
        <f>IFERROR(VLOOKUP(LOG_RESEAU[[#This Row],[Cell_ID]],Registre_Maintenance!A:D,4,FALSE),"Non trouvé")</f>
        <v>20.363515</v>
      </c>
      <c r="H529" s="6" t="str">
        <f>IFERROR(VLOOKUP(LOG_RESEAU[[#This Row],[Cell_ID]],Registre_Maintenance!A:E,5,FALSE),"Non trouvé")</f>
        <v>4G</v>
      </c>
      <c r="I529" s="6" t="str">
        <f>IFERROR(VLOOKUP(LOG_RESEAU[[#This Row],[Cell_ID]],Registre_Maintenance!A:F,6,FALSE),"Non trouvé")</f>
        <v>Nokia</v>
      </c>
      <c r="J529" s="6" t="str">
        <f t="shared" si="24"/>
        <v>OK</v>
      </c>
      <c r="K529" s="6">
        <f t="shared" si="25"/>
        <v>5</v>
      </c>
      <c r="L529" s="6">
        <f t="shared" si="26"/>
        <v>312</v>
      </c>
    </row>
    <row r="530" spans="1:12" ht="15.75" x14ac:dyDescent="0.25">
      <c r="A530" s="6" t="s">
        <v>917</v>
      </c>
      <c r="B530" s="7">
        <v>45227.117361111108</v>
      </c>
      <c r="C530" s="6">
        <v>57</v>
      </c>
      <c r="D530" s="6" t="s">
        <v>792</v>
      </c>
      <c r="E530" s="8" t="str">
        <f>IFERROR(VLOOKUP(LOG_RESEAU[[#This Row],[Cell_ID]],Registre_Maintenance!A:B,2,FALSE),"Non trouvé")</f>
        <v>Non trouvé</v>
      </c>
      <c r="F530" s="8" t="str">
        <f>IFERROR(VLOOKUP(LOG_RESEAU[[#This Row],[Cell_ID]],Registre_Maintenance!A:C,3,FALSE),"Non trouvé")</f>
        <v>Non trouvé</v>
      </c>
      <c r="G530" s="8" t="str">
        <f>IFERROR(VLOOKUP(LOG_RESEAU[[#This Row],[Cell_ID]],Registre_Maintenance!A:D,4,FALSE),"Non trouvé")</f>
        <v>Non trouvé</v>
      </c>
      <c r="H530" s="6" t="str">
        <f>IFERROR(VLOOKUP(LOG_RESEAU[[#This Row],[Cell_ID]],Registre_Maintenance!A:E,5,FALSE),"Non trouvé")</f>
        <v>Non trouvé</v>
      </c>
      <c r="I530" s="6" t="str">
        <f>IFERROR(VLOOKUP(LOG_RESEAU[[#This Row],[Cell_ID]],Registre_Maintenance!A:F,6,FALSE),"Non trouvé")</f>
        <v>Non trouvé</v>
      </c>
      <c r="J530" s="6" t="str">
        <f t="shared" si="24"/>
        <v>Antenne inconnue</v>
      </c>
      <c r="K530" s="6">
        <f t="shared" si="25"/>
        <v>8</v>
      </c>
      <c r="L530" s="6">
        <f t="shared" si="26"/>
        <v>351</v>
      </c>
    </row>
    <row r="531" spans="1:12" ht="15.75" x14ac:dyDescent="0.25">
      <c r="A531" s="6" t="s">
        <v>917</v>
      </c>
      <c r="B531" s="7">
        <v>45215.143750000003</v>
      </c>
      <c r="C531" s="6">
        <v>18</v>
      </c>
      <c r="D531" s="6" t="s">
        <v>794</v>
      </c>
      <c r="E531" s="8" t="str">
        <f>IFERROR(VLOOKUP(LOG_RESEAU[[#This Row],[Cell_ID]],Registre_Maintenance!A:B,2,FALSE),"Non trouvé")</f>
        <v>Non trouvé</v>
      </c>
      <c r="F531" s="8" t="str">
        <f>IFERROR(VLOOKUP(LOG_RESEAU[[#This Row],[Cell_ID]],Registre_Maintenance!A:C,3,FALSE),"Non trouvé")</f>
        <v>Non trouvé</v>
      </c>
      <c r="G531" s="8" t="str">
        <f>IFERROR(VLOOKUP(LOG_RESEAU[[#This Row],[Cell_ID]],Registre_Maintenance!A:D,4,FALSE),"Non trouvé")</f>
        <v>Non trouvé</v>
      </c>
      <c r="H531" s="6" t="str">
        <f>IFERROR(VLOOKUP(LOG_RESEAU[[#This Row],[Cell_ID]],Registre_Maintenance!A:E,5,FALSE),"Non trouvé")</f>
        <v>Non trouvé</v>
      </c>
      <c r="I531" s="6" t="str">
        <f>IFERROR(VLOOKUP(LOG_RESEAU[[#This Row],[Cell_ID]],Registre_Maintenance!A:F,6,FALSE),"Non trouvé")</f>
        <v>Non trouvé</v>
      </c>
      <c r="J531" s="6" t="str">
        <f t="shared" si="24"/>
        <v>Antenne inconnue</v>
      </c>
      <c r="K531" s="6">
        <f t="shared" si="25"/>
        <v>8</v>
      </c>
      <c r="L531" s="6">
        <f t="shared" si="26"/>
        <v>351</v>
      </c>
    </row>
    <row r="532" spans="1:12" ht="15.75" x14ac:dyDescent="0.25">
      <c r="A532" s="6" t="s">
        <v>917</v>
      </c>
      <c r="B532" s="7">
        <v>45218.378472222219</v>
      </c>
      <c r="C532" s="6">
        <v>18</v>
      </c>
      <c r="D532" s="6" t="s">
        <v>794</v>
      </c>
      <c r="E532" s="8" t="str">
        <f>IFERROR(VLOOKUP(LOG_RESEAU[[#This Row],[Cell_ID]],Registre_Maintenance!A:B,2,FALSE),"Non trouvé")</f>
        <v>Non trouvé</v>
      </c>
      <c r="F532" s="8" t="str">
        <f>IFERROR(VLOOKUP(LOG_RESEAU[[#This Row],[Cell_ID]],Registre_Maintenance!A:C,3,FALSE),"Non trouvé")</f>
        <v>Non trouvé</v>
      </c>
      <c r="G532" s="8" t="str">
        <f>IFERROR(VLOOKUP(LOG_RESEAU[[#This Row],[Cell_ID]],Registre_Maintenance!A:D,4,FALSE),"Non trouvé")</f>
        <v>Non trouvé</v>
      </c>
      <c r="H532" s="6" t="str">
        <f>IFERROR(VLOOKUP(LOG_RESEAU[[#This Row],[Cell_ID]],Registre_Maintenance!A:E,5,FALSE),"Non trouvé")</f>
        <v>Non trouvé</v>
      </c>
      <c r="I532" s="6" t="str">
        <f>IFERROR(VLOOKUP(LOG_RESEAU[[#This Row],[Cell_ID]],Registre_Maintenance!A:F,6,FALSE),"Non trouvé")</f>
        <v>Non trouvé</v>
      </c>
      <c r="J532" s="6" t="str">
        <f t="shared" si="24"/>
        <v>Antenne inconnue</v>
      </c>
      <c r="K532" s="6">
        <f t="shared" si="25"/>
        <v>8</v>
      </c>
      <c r="L532" s="6">
        <f t="shared" si="26"/>
        <v>351</v>
      </c>
    </row>
    <row r="533" spans="1:12" ht="15.75" x14ac:dyDescent="0.25">
      <c r="A533" s="6" t="s">
        <v>917</v>
      </c>
      <c r="B533" s="7">
        <v>45216.729861111111</v>
      </c>
      <c r="C533" s="6">
        <v>21</v>
      </c>
      <c r="D533" s="6" t="s">
        <v>800</v>
      </c>
      <c r="E533" s="8" t="str">
        <f>IFERROR(VLOOKUP(LOG_RESEAU[[#This Row],[Cell_ID]],Registre_Maintenance!A:B,2,FALSE),"Non trouvé")</f>
        <v>Non trouvé</v>
      </c>
      <c r="F533" s="8" t="str">
        <f>IFERROR(VLOOKUP(LOG_RESEAU[[#This Row],[Cell_ID]],Registre_Maintenance!A:C,3,FALSE),"Non trouvé")</f>
        <v>Non trouvé</v>
      </c>
      <c r="G533" s="8" t="str">
        <f>IFERROR(VLOOKUP(LOG_RESEAU[[#This Row],[Cell_ID]],Registre_Maintenance!A:D,4,FALSE),"Non trouvé")</f>
        <v>Non trouvé</v>
      </c>
      <c r="H533" s="6" t="str">
        <f>IFERROR(VLOOKUP(LOG_RESEAU[[#This Row],[Cell_ID]],Registre_Maintenance!A:E,5,FALSE),"Non trouvé")</f>
        <v>Non trouvé</v>
      </c>
      <c r="I533" s="6" t="str">
        <f>IFERROR(VLOOKUP(LOG_RESEAU[[#This Row],[Cell_ID]],Registre_Maintenance!A:F,6,FALSE),"Non trouvé")</f>
        <v>Non trouvé</v>
      </c>
      <c r="J533" s="6" t="str">
        <f t="shared" si="24"/>
        <v>Antenne inconnue</v>
      </c>
      <c r="K533" s="6">
        <f t="shared" si="25"/>
        <v>8</v>
      </c>
      <c r="L533" s="6">
        <f t="shared" si="26"/>
        <v>351</v>
      </c>
    </row>
    <row r="534" spans="1:12" ht="15.75" x14ac:dyDescent="0.25">
      <c r="A534" s="6" t="s">
        <v>917</v>
      </c>
      <c r="B534" s="7">
        <v>45211.762499999997</v>
      </c>
      <c r="C534" s="6">
        <v>83</v>
      </c>
      <c r="D534" s="6" t="s">
        <v>800</v>
      </c>
      <c r="E534" s="8" t="str">
        <f>IFERROR(VLOOKUP(LOG_RESEAU[[#This Row],[Cell_ID]],Registre_Maintenance!A:B,2,FALSE),"Non trouvé")</f>
        <v>Non trouvé</v>
      </c>
      <c r="F534" s="8" t="str">
        <f>IFERROR(VLOOKUP(LOG_RESEAU[[#This Row],[Cell_ID]],Registre_Maintenance!A:C,3,FALSE),"Non trouvé")</f>
        <v>Non trouvé</v>
      </c>
      <c r="G534" s="8" t="str">
        <f>IFERROR(VLOOKUP(LOG_RESEAU[[#This Row],[Cell_ID]],Registre_Maintenance!A:D,4,FALSE),"Non trouvé")</f>
        <v>Non trouvé</v>
      </c>
      <c r="H534" s="6" t="str">
        <f>IFERROR(VLOOKUP(LOG_RESEAU[[#This Row],[Cell_ID]],Registre_Maintenance!A:E,5,FALSE),"Non trouvé")</f>
        <v>Non trouvé</v>
      </c>
      <c r="I534" s="6" t="str">
        <f>IFERROR(VLOOKUP(LOG_RESEAU[[#This Row],[Cell_ID]],Registre_Maintenance!A:F,6,FALSE),"Non trouvé")</f>
        <v>Non trouvé</v>
      </c>
      <c r="J534" s="6" t="str">
        <f t="shared" si="24"/>
        <v>Antenne inconnue</v>
      </c>
      <c r="K534" s="6">
        <f t="shared" si="25"/>
        <v>8</v>
      </c>
      <c r="L534" s="6">
        <f t="shared" si="26"/>
        <v>351</v>
      </c>
    </row>
    <row r="535" spans="1:12" ht="15.75" x14ac:dyDescent="0.25">
      <c r="A535" s="6" t="s">
        <v>917</v>
      </c>
      <c r="B535" s="7">
        <v>45223.549305555563</v>
      </c>
      <c r="C535" s="6">
        <v>63</v>
      </c>
      <c r="D535" s="6" t="s">
        <v>794</v>
      </c>
      <c r="E535" s="8" t="str">
        <f>IFERROR(VLOOKUP(LOG_RESEAU[[#This Row],[Cell_ID]],Registre_Maintenance!A:B,2,FALSE),"Non trouvé")</f>
        <v>Non trouvé</v>
      </c>
      <c r="F535" s="8" t="str">
        <f>IFERROR(VLOOKUP(LOG_RESEAU[[#This Row],[Cell_ID]],Registre_Maintenance!A:C,3,FALSE),"Non trouvé")</f>
        <v>Non trouvé</v>
      </c>
      <c r="G535" s="8" t="str">
        <f>IFERROR(VLOOKUP(LOG_RESEAU[[#This Row],[Cell_ID]],Registre_Maintenance!A:D,4,FALSE),"Non trouvé")</f>
        <v>Non trouvé</v>
      </c>
      <c r="H535" s="6" t="str">
        <f>IFERROR(VLOOKUP(LOG_RESEAU[[#This Row],[Cell_ID]],Registre_Maintenance!A:E,5,FALSE),"Non trouvé")</f>
        <v>Non trouvé</v>
      </c>
      <c r="I535" s="6" t="str">
        <f>IFERROR(VLOOKUP(LOG_RESEAU[[#This Row],[Cell_ID]],Registre_Maintenance!A:F,6,FALSE),"Non trouvé")</f>
        <v>Non trouvé</v>
      </c>
      <c r="J535" s="6" t="str">
        <f t="shared" si="24"/>
        <v>Antenne inconnue</v>
      </c>
      <c r="K535" s="6">
        <f t="shared" si="25"/>
        <v>8</v>
      </c>
      <c r="L535" s="6">
        <f t="shared" si="26"/>
        <v>351</v>
      </c>
    </row>
    <row r="536" spans="1:12" ht="15.75" x14ac:dyDescent="0.25">
      <c r="A536" s="6" t="s">
        <v>917</v>
      </c>
      <c r="B536" s="7">
        <v>45213.767361111109</v>
      </c>
      <c r="C536" s="6">
        <v>25</v>
      </c>
      <c r="D536" s="6" t="s">
        <v>792</v>
      </c>
      <c r="E536" s="8" t="str">
        <f>IFERROR(VLOOKUP(LOG_RESEAU[[#This Row],[Cell_ID]],Registre_Maintenance!A:B,2,FALSE),"Non trouvé")</f>
        <v>Non trouvé</v>
      </c>
      <c r="F536" s="8" t="str">
        <f>IFERROR(VLOOKUP(LOG_RESEAU[[#This Row],[Cell_ID]],Registre_Maintenance!A:C,3,FALSE),"Non trouvé")</f>
        <v>Non trouvé</v>
      </c>
      <c r="G536" s="8" t="str">
        <f>IFERROR(VLOOKUP(LOG_RESEAU[[#This Row],[Cell_ID]],Registre_Maintenance!A:D,4,FALSE),"Non trouvé")</f>
        <v>Non trouvé</v>
      </c>
      <c r="H536" s="6" t="str">
        <f>IFERROR(VLOOKUP(LOG_RESEAU[[#This Row],[Cell_ID]],Registre_Maintenance!A:E,5,FALSE),"Non trouvé")</f>
        <v>Non trouvé</v>
      </c>
      <c r="I536" s="6" t="str">
        <f>IFERROR(VLOOKUP(LOG_RESEAU[[#This Row],[Cell_ID]],Registre_Maintenance!A:F,6,FALSE),"Non trouvé")</f>
        <v>Non trouvé</v>
      </c>
      <c r="J536" s="6" t="str">
        <f t="shared" si="24"/>
        <v>Antenne inconnue</v>
      </c>
      <c r="K536" s="6">
        <f t="shared" si="25"/>
        <v>8</v>
      </c>
      <c r="L536" s="6">
        <f t="shared" si="26"/>
        <v>351</v>
      </c>
    </row>
    <row r="537" spans="1:12" ht="15.75" x14ac:dyDescent="0.25">
      <c r="A537" s="6" t="s">
        <v>917</v>
      </c>
      <c r="B537" s="7">
        <v>45227.005555555559</v>
      </c>
      <c r="C537" s="6">
        <v>66</v>
      </c>
      <c r="D537" s="6" t="s">
        <v>792</v>
      </c>
      <c r="E537" s="8" t="str">
        <f>IFERROR(VLOOKUP(LOG_RESEAU[[#This Row],[Cell_ID]],Registre_Maintenance!A:B,2,FALSE),"Non trouvé")</f>
        <v>Non trouvé</v>
      </c>
      <c r="F537" s="8" t="str">
        <f>IFERROR(VLOOKUP(LOG_RESEAU[[#This Row],[Cell_ID]],Registre_Maintenance!A:C,3,FALSE),"Non trouvé")</f>
        <v>Non trouvé</v>
      </c>
      <c r="G537" s="8" t="str">
        <f>IFERROR(VLOOKUP(LOG_RESEAU[[#This Row],[Cell_ID]],Registre_Maintenance!A:D,4,FALSE),"Non trouvé")</f>
        <v>Non trouvé</v>
      </c>
      <c r="H537" s="6" t="str">
        <f>IFERROR(VLOOKUP(LOG_RESEAU[[#This Row],[Cell_ID]],Registre_Maintenance!A:E,5,FALSE),"Non trouvé")</f>
        <v>Non trouvé</v>
      </c>
      <c r="I537" s="6" t="str">
        <f>IFERROR(VLOOKUP(LOG_RESEAU[[#This Row],[Cell_ID]],Registre_Maintenance!A:F,6,FALSE),"Non trouvé")</f>
        <v>Non trouvé</v>
      </c>
      <c r="J537" s="6" t="str">
        <f t="shared" si="24"/>
        <v>Antenne inconnue</v>
      </c>
      <c r="K537" s="6">
        <f t="shared" si="25"/>
        <v>8</v>
      </c>
      <c r="L537" s="6">
        <f t="shared" si="26"/>
        <v>351</v>
      </c>
    </row>
    <row r="538" spans="1:12" ht="15.75" x14ac:dyDescent="0.25">
      <c r="A538" s="6" t="s">
        <v>862</v>
      </c>
      <c r="B538" s="7">
        <v>45219.550694444442</v>
      </c>
      <c r="C538" s="6">
        <v>91</v>
      </c>
      <c r="D538" s="6" t="s">
        <v>794</v>
      </c>
      <c r="E538" s="8" t="str">
        <f>IFERROR(VLOOKUP(LOG_RESEAU[[#This Row],[Cell_ID]],Registre_Maintenance!A:B,2,FALSE),"Non trouvé")</f>
        <v>Equateur</v>
      </c>
      <c r="F538" s="8">
        <f>IFERROR(VLOOKUP(LOG_RESEAU[[#This Row],[Cell_ID]],Registre_Maintenance!A:C,3,FALSE),"Non trouvé")</f>
        <v>-0.79459900000000006</v>
      </c>
      <c r="G538" s="8">
        <f>IFERROR(VLOOKUP(LOG_RESEAU[[#This Row],[Cell_ID]],Registre_Maintenance!A:D,4,FALSE),"Non trouvé")</f>
        <v>26.775570999999999</v>
      </c>
      <c r="H538" s="6" t="str">
        <f>IFERROR(VLOOKUP(LOG_RESEAU[[#This Row],[Cell_ID]],Registre_Maintenance!A:E,5,FALSE),"Non trouvé")</f>
        <v>5G</v>
      </c>
      <c r="I538" s="6" t="str">
        <f>IFERROR(VLOOKUP(LOG_RESEAU[[#This Row],[Cell_ID]],Registre_Maintenance!A:F,6,FALSE),"Non trouvé")</f>
        <v>Huawei</v>
      </c>
      <c r="J538" s="6" t="str">
        <f t="shared" si="24"/>
        <v>OK</v>
      </c>
      <c r="K538" s="6">
        <f t="shared" si="25"/>
        <v>6</v>
      </c>
      <c r="L538" s="6">
        <f t="shared" si="26"/>
        <v>445</v>
      </c>
    </row>
    <row r="539" spans="1:12" ht="15.75" x14ac:dyDescent="0.25">
      <c r="A539" s="6" t="s">
        <v>862</v>
      </c>
      <c r="B539" s="7">
        <v>45227.306250000001</v>
      </c>
      <c r="C539" s="6">
        <v>42</v>
      </c>
      <c r="D539" s="6" t="s">
        <v>792</v>
      </c>
      <c r="E539" s="8" t="str">
        <f>IFERROR(VLOOKUP(LOG_RESEAU[[#This Row],[Cell_ID]],Registre_Maintenance!A:B,2,FALSE),"Non trouvé")</f>
        <v>Equateur</v>
      </c>
      <c r="F539" s="8">
        <f>IFERROR(VLOOKUP(LOG_RESEAU[[#This Row],[Cell_ID]],Registre_Maintenance!A:C,3,FALSE),"Non trouvé")</f>
        <v>-0.79459900000000006</v>
      </c>
      <c r="G539" s="8">
        <f>IFERROR(VLOOKUP(LOG_RESEAU[[#This Row],[Cell_ID]],Registre_Maintenance!A:D,4,FALSE),"Non trouvé")</f>
        <v>26.775570999999999</v>
      </c>
      <c r="H539" s="6" t="str">
        <f>IFERROR(VLOOKUP(LOG_RESEAU[[#This Row],[Cell_ID]],Registre_Maintenance!A:E,5,FALSE),"Non trouvé")</f>
        <v>5G</v>
      </c>
      <c r="I539" s="6" t="str">
        <f>IFERROR(VLOOKUP(LOG_RESEAU[[#This Row],[Cell_ID]],Registre_Maintenance!A:F,6,FALSE),"Non trouvé")</f>
        <v>Huawei</v>
      </c>
      <c r="J539" s="6" t="str">
        <f t="shared" si="24"/>
        <v>OK</v>
      </c>
      <c r="K539" s="6">
        <f t="shared" si="25"/>
        <v>6</v>
      </c>
      <c r="L539" s="6">
        <f t="shared" si="26"/>
        <v>445</v>
      </c>
    </row>
    <row r="540" spans="1:12" ht="15.75" x14ac:dyDescent="0.25">
      <c r="A540" s="6" t="s">
        <v>862</v>
      </c>
      <c r="B540" s="7">
        <v>45222.433333333327</v>
      </c>
      <c r="C540" s="6">
        <v>90</v>
      </c>
      <c r="D540" s="6" t="s">
        <v>792</v>
      </c>
      <c r="E540" s="8" t="str">
        <f>IFERROR(VLOOKUP(LOG_RESEAU[[#This Row],[Cell_ID]],Registre_Maintenance!A:B,2,FALSE),"Non trouvé")</f>
        <v>Equateur</v>
      </c>
      <c r="F540" s="8">
        <f>IFERROR(VLOOKUP(LOG_RESEAU[[#This Row],[Cell_ID]],Registre_Maintenance!A:C,3,FALSE),"Non trouvé")</f>
        <v>-0.79459900000000006</v>
      </c>
      <c r="G540" s="8">
        <f>IFERROR(VLOOKUP(LOG_RESEAU[[#This Row],[Cell_ID]],Registre_Maintenance!A:D,4,FALSE),"Non trouvé")</f>
        <v>26.775570999999999</v>
      </c>
      <c r="H540" s="6" t="str">
        <f>IFERROR(VLOOKUP(LOG_RESEAU[[#This Row],[Cell_ID]],Registre_Maintenance!A:E,5,FALSE),"Non trouvé")</f>
        <v>5G</v>
      </c>
      <c r="I540" s="6" t="str">
        <f>IFERROR(VLOOKUP(LOG_RESEAU[[#This Row],[Cell_ID]],Registre_Maintenance!A:F,6,FALSE),"Non trouvé")</f>
        <v>Huawei</v>
      </c>
      <c r="J540" s="6" t="str">
        <f t="shared" si="24"/>
        <v>OK</v>
      </c>
      <c r="K540" s="6">
        <f t="shared" si="25"/>
        <v>6</v>
      </c>
      <c r="L540" s="6">
        <f t="shared" si="26"/>
        <v>445</v>
      </c>
    </row>
    <row r="541" spans="1:12" ht="15.75" x14ac:dyDescent="0.25">
      <c r="A541" s="6" t="s">
        <v>862</v>
      </c>
      <c r="B541" s="7">
        <v>45210.703472222223</v>
      </c>
      <c r="C541" s="6">
        <v>20</v>
      </c>
      <c r="D541" s="6" t="s">
        <v>794</v>
      </c>
      <c r="E541" s="8" t="str">
        <f>IFERROR(VLOOKUP(LOG_RESEAU[[#This Row],[Cell_ID]],Registre_Maintenance!A:B,2,FALSE),"Non trouvé")</f>
        <v>Equateur</v>
      </c>
      <c r="F541" s="8">
        <f>IFERROR(VLOOKUP(LOG_RESEAU[[#This Row],[Cell_ID]],Registre_Maintenance!A:C,3,FALSE),"Non trouvé")</f>
        <v>-0.79459900000000006</v>
      </c>
      <c r="G541" s="8">
        <f>IFERROR(VLOOKUP(LOG_RESEAU[[#This Row],[Cell_ID]],Registre_Maintenance!A:D,4,FALSE),"Non trouvé")</f>
        <v>26.775570999999999</v>
      </c>
      <c r="H541" s="6" t="str">
        <f>IFERROR(VLOOKUP(LOG_RESEAU[[#This Row],[Cell_ID]],Registre_Maintenance!A:E,5,FALSE),"Non trouvé")</f>
        <v>5G</v>
      </c>
      <c r="I541" s="6" t="str">
        <f>IFERROR(VLOOKUP(LOG_RESEAU[[#This Row],[Cell_ID]],Registre_Maintenance!A:F,6,FALSE),"Non trouvé")</f>
        <v>Huawei</v>
      </c>
      <c r="J541" s="6" t="str">
        <f t="shared" si="24"/>
        <v>OK</v>
      </c>
      <c r="K541" s="6">
        <f t="shared" si="25"/>
        <v>6</v>
      </c>
      <c r="L541" s="6">
        <f t="shared" si="26"/>
        <v>445</v>
      </c>
    </row>
    <row r="542" spans="1:12" ht="15.75" x14ac:dyDescent="0.25">
      <c r="A542" s="6" t="s">
        <v>862</v>
      </c>
      <c r="B542" s="7">
        <v>45213.763194444437</v>
      </c>
      <c r="C542" s="6">
        <v>119</v>
      </c>
      <c r="D542" s="6" t="s">
        <v>792</v>
      </c>
      <c r="E542" s="8" t="str">
        <f>IFERROR(VLOOKUP(LOG_RESEAU[[#This Row],[Cell_ID]],Registre_Maintenance!A:B,2,FALSE),"Non trouvé")</f>
        <v>Equateur</v>
      </c>
      <c r="F542" s="8">
        <f>IFERROR(VLOOKUP(LOG_RESEAU[[#This Row],[Cell_ID]],Registre_Maintenance!A:C,3,FALSE),"Non trouvé")</f>
        <v>-0.79459900000000006</v>
      </c>
      <c r="G542" s="8">
        <f>IFERROR(VLOOKUP(LOG_RESEAU[[#This Row],[Cell_ID]],Registre_Maintenance!A:D,4,FALSE),"Non trouvé")</f>
        <v>26.775570999999999</v>
      </c>
      <c r="H542" s="6" t="str">
        <f>IFERROR(VLOOKUP(LOG_RESEAU[[#This Row],[Cell_ID]],Registre_Maintenance!A:E,5,FALSE),"Non trouvé")</f>
        <v>5G</v>
      </c>
      <c r="I542" s="6" t="str">
        <f>IFERROR(VLOOKUP(LOG_RESEAU[[#This Row],[Cell_ID]],Registre_Maintenance!A:F,6,FALSE),"Non trouvé")</f>
        <v>Huawei</v>
      </c>
      <c r="J542" s="6" t="str">
        <f t="shared" si="24"/>
        <v>OK</v>
      </c>
      <c r="K542" s="6">
        <f t="shared" si="25"/>
        <v>6</v>
      </c>
      <c r="L542" s="6">
        <f t="shared" si="26"/>
        <v>445</v>
      </c>
    </row>
    <row r="543" spans="1:12" ht="15.75" x14ac:dyDescent="0.25">
      <c r="A543" s="6" t="s">
        <v>862</v>
      </c>
      <c r="B543" s="7">
        <v>45230.839583333327</v>
      </c>
      <c r="C543" s="6">
        <v>83</v>
      </c>
      <c r="D543" s="6" t="s">
        <v>792</v>
      </c>
      <c r="E543" s="8" t="str">
        <f>IFERROR(VLOOKUP(LOG_RESEAU[[#This Row],[Cell_ID]],Registre_Maintenance!A:B,2,FALSE),"Non trouvé")</f>
        <v>Equateur</v>
      </c>
      <c r="F543" s="8">
        <f>IFERROR(VLOOKUP(LOG_RESEAU[[#This Row],[Cell_ID]],Registre_Maintenance!A:C,3,FALSE),"Non trouvé")</f>
        <v>-0.79459900000000006</v>
      </c>
      <c r="G543" s="8">
        <f>IFERROR(VLOOKUP(LOG_RESEAU[[#This Row],[Cell_ID]],Registre_Maintenance!A:D,4,FALSE),"Non trouvé")</f>
        <v>26.775570999999999</v>
      </c>
      <c r="H543" s="6" t="str">
        <f>IFERROR(VLOOKUP(LOG_RESEAU[[#This Row],[Cell_ID]],Registre_Maintenance!A:E,5,FALSE),"Non trouvé")</f>
        <v>5G</v>
      </c>
      <c r="I543" s="6" t="str">
        <f>IFERROR(VLOOKUP(LOG_RESEAU[[#This Row],[Cell_ID]],Registre_Maintenance!A:F,6,FALSE),"Non trouvé")</f>
        <v>Huawei</v>
      </c>
      <c r="J543" s="6" t="str">
        <f t="shared" si="24"/>
        <v>OK</v>
      </c>
      <c r="K543" s="6">
        <f t="shared" si="25"/>
        <v>6</v>
      </c>
      <c r="L543" s="6">
        <f t="shared" si="26"/>
        <v>445</v>
      </c>
    </row>
    <row r="544" spans="1:12" ht="15.75" x14ac:dyDescent="0.25">
      <c r="A544" s="6" t="s">
        <v>962</v>
      </c>
      <c r="B544" s="7">
        <v>45204.549305555563</v>
      </c>
      <c r="C544" s="6">
        <v>64</v>
      </c>
      <c r="D544" s="6" t="s">
        <v>800</v>
      </c>
      <c r="E544" s="8" t="str">
        <f>IFERROR(VLOOKUP(LOG_RESEAU[[#This Row],[Cell_ID]],Registre_Maintenance!A:B,2,FALSE),"Non trouvé")</f>
        <v>Non trouvé</v>
      </c>
      <c r="F544" s="8" t="str">
        <f>IFERROR(VLOOKUP(LOG_RESEAU[[#This Row],[Cell_ID]],Registre_Maintenance!A:C,3,FALSE),"Non trouvé")</f>
        <v>Non trouvé</v>
      </c>
      <c r="G544" s="8" t="str">
        <f>IFERROR(VLOOKUP(LOG_RESEAU[[#This Row],[Cell_ID]],Registre_Maintenance!A:D,4,FALSE),"Non trouvé")</f>
        <v>Non trouvé</v>
      </c>
      <c r="H544" s="6" t="str">
        <f>IFERROR(VLOOKUP(LOG_RESEAU[[#This Row],[Cell_ID]],Registre_Maintenance!A:E,5,FALSE),"Non trouvé")</f>
        <v>Non trouvé</v>
      </c>
      <c r="I544" s="6" t="str">
        <f>IFERROR(VLOOKUP(LOG_RESEAU[[#This Row],[Cell_ID]],Registre_Maintenance!A:F,6,FALSE),"Non trouvé")</f>
        <v>Non trouvé</v>
      </c>
      <c r="J544" s="6" t="str">
        <f t="shared" si="24"/>
        <v>Antenne inconnue</v>
      </c>
      <c r="K544" s="6">
        <f t="shared" si="25"/>
        <v>4</v>
      </c>
      <c r="L544" s="6">
        <f t="shared" si="26"/>
        <v>299</v>
      </c>
    </row>
    <row r="545" spans="1:12" ht="15.75" x14ac:dyDescent="0.25">
      <c r="A545" s="6" t="s">
        <v>962</v>
      </c>
      <c r="B545" s="7">
        <v>45225.347916666673</v>
      </c>
      <c r="C545" s="6">
        <v>115</v>
      </c>
      <c r="D545" s="6" t="s">
        <v>792</v>
      </c>
      <c r="E545" s="8" t="str">
        <f>IFERROR(VLOOKUP(LOG_RESEAU[[#This Row],[Cell_ID]],Registre_Maintenance!A:B,2,FALSE),"Non trouvé")</f>
        <v>Non trouvé</v>
      </c>
      <c r="F545" s="8" t="str">
        <f>IFERROR(VLOOKUP(LOG_RESEAU[[#This Row],[Cell_ID]],Registre_Maintenance!A:C,3,FALSE),"Non trouvé")</f>
        <v>Non trouvé</v>
      </c>
      <c r="G545" s="8" t="str">
        <f>IFERROR(VLOOKUP(LOG_RESEAU[[#This Row],[Cell_ID]],Registre_Maintenance!A:D,4,FALSE),"Non trouvé")</f>
        <v>Non trouvé</v>
      </c>
      <c r="H545" s="6" t="str">
        <f>IFERROR(VLOOKUP(LOG_RESEAU[[#This Row],[Cell_ID]],Registre_Maintenance!A:E,5,FALSE),"Non trouvé")</f>
        <v>Non trouvé</v>
      </c>
      <c r="I545" s="6" t="str">
        <f>IFERROR(VLOOKUP(LOG_RESEAU[[#This Row],[Cell_ID]],Registre_Maintenance!A:F,6,FALSE),"Non trouvé")</f>
        <v>Non trouvé</v>
      </c>
      <c r="J545" s="6" t="str">
        <f t="shared" si="24"/>
        <v>Antenne inconnue</v>
      </c>
      <c r="K545" s="6">
        <f t="shared" si="25"/>
        <v>4</v>
      </c>
      <c r="L545" s="6">
        <f t="shared" si="26"/>
        <v>299</v>
      </c>
    </row>
    <row r="546" spans="1:12" ht="15.75" x14ac:dyDescent="0.25">
      <c r="A546" s="6" t="s">
        <v>962</v>
      </c>
      <c r="B546" s="7">
        <v>45220.554166666669</v>
      </c>
      <c r="C546" s="6">
        <v>69</v>
      </c>
      <c r="D546" s="6" t="s">
        <v>794</v>
      </c>
      <c r="E546" s="8" t="str">
        <f>IFERROR(VLOOKUP(LOG_RESEAU[[#This Row],[Cell_ID]],Registre_Maintenance!A:B,2,FALSE),"Non trouvé")</f>
        <v>Non trouvé</v>
      </c>
      <c r="F546" s="8" t="str">
        <f>IFERROR(VLOOKUP(LOG_RESEAU[[#This Row],[Cell_ID]],Registre_Maintenance!A:C,3,FALSE),"Non trouvé")</f>
        <v>Non trouvé</v>
      </c>
      <c r="G546" s="8" t="str">
        <f>IFERROR(VLOOKUP(LOG_RESEAU[[#This Row],[Cell_ID]],Registre_Maintenance!A:D,4,FALSE),"Non trouvé")</f>
        <v>Non trouvé</v>
      </c>
      <c r="H546" s="6" t="str">
        <f>IFERROR(VLOOKUP(LOG_RESEAU[[#This Row],[Cell_ID]],Registre_Maintenance!A:E,5,FALSE),"Non trouvé")</f>
        <v>Non trouvé</v>
      </c>
      <c r="I546" s="6" t="str">
        <f>IFERROR(VLOOKUP(LOG_RESEAU[[#This Row],[Cell_ID]],Registre_Maintenance!A:F,6,FALSE),"Non trouvé")</f>
        <v>Non trouvé</v>
      </c>
      <c r="J546" s="6" t="str">
        <f t="shared" si="24"/>
        <v>Antenne inconnue</v>
      </c>
      <c r="K546" s="6">
        <f t="shared" si="25"/>
        <v>4</v>
      </c>
      <c r="L546" s="6">
        <f t="shared" si="26"/>
        <v>299</v>
      </c>
    </row>
    <row r="547" spans="1:12" ht="15.75" x14ac:dyDescent="0.25">
      <c r="A547" s="6" t="s">
        <v>962</v>
      </c>
      <c r="B547" s="7">
        <v>45225.088888888888</v>
      </c>
      <c r="C547" s="6">
        <v>51</v>
      </c>
      <c r="D547" s="6" t="s">
        <v>794</v>
      </c>
      <c r="E547" s="8" t="str">
        <f>IFERROR(VLOOKUP(LOG_RESEAU[[#This Row],[Cell_ID]],Registre_Maintenance!A:B,2,FALSE),"Non trouvé")</f>
        <v>Non trouvé</v>
      </c>
      <c r="F547" s="8" t="str">
        <f>IFERROR(VLOOKUP(LOG_RESEAU[[#This Row],[Cell_ID]],Registre_Maintenance!A:C,3,FALSE),"Non trouvé")</f>
        <v>Non trouvé</v>
      </c>
      <c r="G547" s="8" t="str">
        <f>IFERROR(VLOOKUP(LOG_RESEAU[[#This Row],[Cell_ID]],Registre_Maintenance!A:D,4,FALSE),"Non trouvé")</f>
        <v>Non trouvé</v>
      </c>
      <c r="H547" s="6" t="str">
        <f>IFERROR(VLOOKUP(LOG_RESEAU[[#This Row],[Cell_ID]],Registre_Maintenance!A:E,5,FALSE),"Non trouvé")</f>
        <v>Non trouvé</v>
      </c>
      <c r="I547" s="6" t="str">
        <f>IFERROR(VLOOKUP(LOG_RESEAU[[#This Row],[Cell_ID]],Registre_Maintenance!A:F,6,FALSE),"Non trouvé")</f>
        <v>Non trouvé</v>
      </c>
      <c r="J547" s="6" t="str">
        <f t="shared" si="24"/>
        <v>Antenne inconnue</v>
      </c>
      <c r="K547" s="6">
        <f t="shared" si="25"/>
        <v>4</v>
      </c>
      <c r="L547" s="6">
        <f t="shared" si="26"/>
        <v>299</v>
      </c>
    </row>
    <row r="548" spans="1:12" ht="15.75" x14ac:dyDescent="0.25">
      <c r="A548" s="6" t="s">
        <v>811</v>
      </c>
      <c r="B548" s="7">
        <v>45212.140277777777</v>
      </c>
      <c r="C548" s="6">
        <v>20</v>
      </c>
      <c r="D548" s="6" t="s">
        <v>794</v>
      </c>
      <c r="E548" s="8" t="str">
        <f>IFERROR(VLOOKUP(LOG_RESEAU[[#This Row],[Cell_ID]],Registre_Maintenance!A:B,2,FALSE),"Non trouvé")</f>
        <v>Non trouvé</v>
      </c>
      <c r="F548" s="8" t="str">
        <f>IFERROR(VLOOKUP(LOG_RESEAU[[#This Row],[Cell_ID]],Registre_Maintenance!A:C,3,FALSE),"Non trouvé")</f>
        <v>Non trouvé</v>
      </c>
      <c r="G548" s="8" t="str">
        <f>IFERROR(VLOOKUP(LOG_RESEAU[[#This Row],[Cell_ID]],Registre_Maintenance!A:D,4,FALSE),"Non trouvé")</f>
        <v>Non trouvé</v>
      </c>
      <c r="H548" s="6" t="str">
        <f>IFERROR(VLOOKUP(LOG_RESEAU[[#This Row],[Cell_ID]],Registre_Maintenance!A:E,5,FALSE),"Non trouvé")</f>
        <v>Non trouvé</v>
      </c>
      <c r="I548" s="6" t="str">
        <f>IFERROR(VLOOKUP(LOG_RESEAU[[#This Row],[Cell_ID]],Registre_Maintenance!A:F,6,FALSE),"Non trouvé")</f>
        <v>Non trouvé</v>
      </c>
      <c r="J548" s="6" t="str">
        <f t="shared" si="24"/>
        <v>Antenne inconnue</v>
      </c>
      <c r="K548" s="6">
        <f t="shared" si="25"/>
        <v>7</v>
      </c>
      <c r="L548" s="6">
        <f t="shared" si="26"/>
        <v>381</v>
      </c>
    </row>
    <row r="549" spans="1:12" ht="15.75" x14ac:dyDescent="0.25">
      <c r="A549" s="6" t="s">
        <v>811</v>
      </c>
      <c r="B549" s="7">
        <v>45216.673611111109</v>
      </c>
      <c r="C549" s="6">
        <v>41</v>
      </c>
      <c r="D549" s="6" t="s">
        <v>792</v>
      </c>
      <c r="E549" s="8" t="str">
        <f>IFERROR(VLOOKUP(LOG_RESEAU[[#This Row],[Cell_ID]],Registre_Maintenance!A:B,2,FALSE),"Non trouvé")</f>
        <v>Non trouvé</v>
      </c>
      <c r="F549" s="8" t="str">
        <f>IFERROR(VLOOKUP(LOG_RESEAU[[#This Row],[Cell_ID]],Registre_Maintenance!A:C,3,FALSE),"Non trouvé")</f>
        <v>Non trouvé</v>
      </c>
      <c r="G549" s="8" t="str">
        <f>IFERROR(VLOOKUP(LOG_RESEAU[[#This Row],[Cell_ID]],Registre_Maintenance!A:D,4,FALSE),"Non trouvé")</f>
        <v>Non trouvé</v>
      </c>
      <c r="H549" s="6" t="str">
        <f>IFERROR(VLOOKUP(LOG_RESEAU[[#This Row],[Cell_ID]],Registre_Maintenance!A:E,5,FALSE),"Non trouvé")</f>
        <v>Non trouvé</v>
      </c>
      <c r="I549" s="6" t="str">
        <f>IFERROR(VLOOKUP(LOG_RESEAU[[#This Row],[Cell_ID]],Registre_Maintenance!A:F,6,FALSE),"Non trouvé")</f>
        <v>Non trouvé</v>
      </c>
      <c r="J549" s="6" t="str">
        <f t="shared" si="24"/>
        <v>Antenne inconnue</v>
      </c>
      <c r="K549" s="6">
        <f t="shared" si="25"/>
        <v>7</v>
      </c>
      <c r="L549" s="6">
        <f t="shared" si="26"/>
        <v>381</v>
      </c>
    </row>
    <row r="550" spans="1:12" ht="15.75" x14ac:dyDescent="0.25">
      <c r="A550" s="6" t="s">
        <v>811</v>
      </c>
      <c r="B550" s="7">
        <v>45215.186111111107</v>
      </c>
      <c r="C550" s="6">
        <v>47</v>
      </c>
      <c r="D550" s="6" t="s">
        <v>792</v>
      </c>
      <c r="E550" s="8" t="str">
        <f>IFERROR(VLOOKUP(LOG_RESEAU[[#This Row],[Cell_ID]],Registre_Maintenance!A:B,2,FALSE),"Non trouvé")</f>
        <v>Non trouvé</v>
      </c>
      <c r="F550" s="8" t="str">
        <f>IFERROR(VLOOKUP(LOG_RESEAU[[#This Row],[Cell_ID]],Registre_Maintenance!A:C,3,FALSE),"Non trouvé")</f>
        <v>Non trouvé</v>
      </c>
      <c r="G550" s="8" t="str">
        <f>IFERROR(VLOOKUP(LOG_RESEAU[[#This Row],[Cell_ID]],Registre_Maintenance!A:D,4,FALSE),"Non trouvé")</f>
        <v>Non trouvé</v>
      </c>
      <c r="H550" s="6" t="str">
        <f>IFERROR(VLOOKUP(LOG_RESEAU[[#This Row],[Cell_ID]],Registre_Maintenance!A:E,5,FALSE),"Non trouvé")</f>
        <v>Non trouvé</v>
      </c>
      <c r="I550" s="6" t="str">
        <f>IFERROR(VLOOKUP(LOG_RESEAU[[#This Row],[Cell_ID]],Registre_Maintenance!A:F,6,FALSE),"Non trouvé")</f>
        <v>Non trouvé</v>
      </c>
      <c r="J550" s="6" t="str">
        <f t="shared" si="24"/>
        <v>Antenne inconnue</v>
      </c>
      <c r="K550" s="6">
        <f t="shared" si="25"/>
        <v>7</v>
      </c>
      <c r="L550" s="6">
        <f t="shared" si="26"/>
        <v>381</v>
      </c>
    </row>
    <row r="551" spans="1:12" ht="15.75" x14ac:dyDescent="0.25">
      <c r="A551" s="6" t="s">
        <v>811</v>
      </c>
      <c r="B551" s="7">
        <v>45218.990277777782</v>
      </c>
      <c r="C551" s="6">
        <v>49</v>
      </c>
      <c r="D551" s="6" t="s">
        <v>800</v>
      </c>
      <c r="E551" s="8" t="str">
        <f>IFERROR(VLOOKUP(LOG_RESEAU[[#This Row],[Cell_ID]],Registre_Maintenance!A:B,2,FALSE),"Non trouvé")</f>
        <v>Non trouvé</v>
      </c>
      <c r="F551" s="8" t="str">
        <f>IFERROR(VLOOKUP(LOG_RESEAU[[#This Row],[Cell_ID]],Registre_Maintenance!A:C,3,FALSE),"Non trouvé")</f>
        <v>Non trouvé</v>
      </c>
      <c r="G551" s="8" t="str">
        <f>IFERROR(VLOOKUP(LOG_RESEAU[[#This Row],[Cell_ID]],Registre_Maintenance!A:D,4,FALSE),"Non trouvé")</f>
        <v>Non trouvé</v>
      </c>
      <c r="H551" s="6" t="str">
        <f>IFERROR(VLOOKUP(LOG_RESEAU[[#This Row],[Cell_ID]],Registre_Maintenance!A:E,5,FALSE),"Non trouvé")</f>
        <v>Non trouvé</v>
      </c>
      <c r="I551" s="6" t="str">
        <f>IFERROR(VLOOKUP(LOG_RESEAU[[#This Row],[Cell_ID]],Registre_Maintenance!A:F,6,FALSE),"Non trouvé")</f>
        <v>Non trouvé</v>
      </c>
      <c r="J551" s="6" t="str">
        <f t="shared" si="24"/>
        <v>Antenne inconnue</v>
      </c>
      <c r="K551" s="6">
        <f t="shared" si="25"/>
        <v>7</v>
      </c>
      <c r="L551" s="6">
        <f t="shared" si="26"/>
        <v>381</v>
      </c>
    </row>
    <row r="552" spans="1:12" ht="15.75" x14ac:dyDescent="0.25">
      <c r="A552" s="6" t="s">
        <v>811</v>
      </c>
      <c r="B552" s="7">
        <v>45214.67291666667</v>
      </c>
      <c r="C552" s="6">
        <v>101</v>
      </c>
      <c r="D552" s="6" t="s">
        <v>794</v>
      </c>
      <c r="E552" s="8" t="str">
        <f>IFERROR(VLOOKUP(LOG_RESEAU[[#This Row],[Cell_ID]],Registre_Maintenance!A:B,2,FALSE),"Non trouvé")</f>
        <v>Non trouvé</v>
      </c>
      <c r="F552" s="8" t="str">
        <f>IFERROR(VLOOKUP(LOG_RESEAU[[#This Row],[Cell_ID]],Registre_Maintenance!A:C,3,FALSE),"Non trouvé")</f>
        <v>Non trouvé</v>
      </c>
      <c r="G552" s="8" t="str">
        <f>IFERROR(VLOOKUP(LOG_RESEAU[[#This Row],[Cell_ID]],Registre_Maintenance!A:D,4,FALSE),"Non trouvé")</f>
        <v>Non trouvé</v>
      </c>
      <c r="H552" s="6" t="str">
        <f>IFERROR(VLOOKUP(LOG_RESEAU[[#This Row],[Cell_ID]],Registre_Maintenance!A:E,5,FALSE),"Non trouvé")</f>
        <v>Non trouvé</v>
      </c>
      <c r="I552" s="6" t="str">
        <f>IFERROR(VLOOKUP(LOG_RESEAU[[#This Row],[Cell_ID]],Registre_Maintenance!A:F,6,FALSE),"Non trouvé")</f>
        <v>Non trouvé</v>
      </c>
      <c r="J552" s="6" t="str">
        <f t="shared" si="24"/>
        <v>Antenne inconnue</v>
      </c>
      <c r="K552" s="6">
        <f t="shared" si="25"/>
        <v>7</v>
      </c>
      <c r="L552" s="6">
        <f t="shared" si="26"/>
        <v>381</v>
      </c>
    </row>
    <row r="553" spans="1:12" ht="15.75" x14ac:dyDescent="0.25">
      <c r="A553" s="6" t="s">
        <v>811</v>
      </c>
      <c r="B553" s="7">
        <v>45214.136111111111</v>
      </c>
      <c r="C553" s="6">
        <v>92</v>
      </c>
      <c r="D553" s="6" t="s">
        <v>794</v>
      </c>
      <c r="E553" s="8" t="str">
        <f>IFERROR(VLOOKUP(LOG_RESEAU[[#This Row],[Cell_ID]],Registre_Maintenance!A:B,2,FALSE),"Non trouvé")</f>
        <v>Non trouvé</v>
      </c>
      <c r="F553" s="8" t="str">
        <f>IFERROR(VLOOKUP(LOG_RESEAU[[#This Row],[Cell_ID]],Registre_Maintenance!A:C,3,FALSE),"Non trouvé")</f>
        <v>Non trouvé</v>
      </c>
      <c r="G553" s="8" t="str">
        <f>IFERROR(VLOOKUP(LOG_RESEAU[[#This Row],[Cell_ID]],Registre_Maintenance!A:D,4,FALSE),"Non trouvé")</f>
        <v>Non trouvé</v>
      </c>
      <c r="H553" s="6" t="str">
        <f>IFERROR(VLOOKUP(LOG_RESEAU[[#This Row],[Cell_ID]],Registre_Maintenance!A:E,5,FALSE),"Non trouvé")</f>
        <v>Non trouvé</v>
      </c>
      <c r="I553" s="6" t="str">
        <f>IFERROR(VLOOKUP(LOG_RESEAU[[#This Row],[Cell_ID]],Registre_Maintenance!A:F,6,FALSE),"Non trouvé")</f>
        <v>Non trouvé</v>
      </c>
      <c r="J553" s="6" t="str">
        <f t="shared" si="24"/>
        <v>Antenne inconnue</v>
      </c>
      <c r="K553" s="6">
        <f t="shared" si="25"/>
        <v>7</v>
      </c>
      <c r="L553" s="6">
        <f t="shared" si="26"/>
        <v>381</v>
      </c>
    </row>
    <row r="554" spans="1:12" ht="15.75" x14ac:dyDescent="0.25">
      <c r="A554" s="6" t="s">
        <v>811</v>
      </c>
      <c r="B554" s="7">
        <v>45219.821527777778</v>
      </c>
      <c r="C554" s="6">
        <v>31</v>
      </c>
      <c r="D554" s="6" t="s">
        <v>800</v>
      </c>
      <c r="E554" s="8" t="str">
        <f>IFERROR(VLOOKUP(LOG_RESEAU[[#This Row],[Cell_ID]],Registre_Maintenance!A:B,2,FALSE),"Non trouvé")</f>
        <v>Non trouvé</v>
      </c>
      <c r="F554" s="8" t="str">
        <f>IFERROR(VLOOKUP(LOG_RESEAU[[#This Row],[Cell_ID]],Registre_Maintenance!A:C,3,FALSE),"Non trouvé")</f>
        <v>Non trouvé</v>
      </c>
      <c r="G554" s="8" t="str">
        <f>IFERROR(VLOOKUP(LOG_RESEAU[[#This Row],[Cell_ID]],Registre_Maintenance!A:D,4,FALSE),"Non trouvé")</f>
        <v>Non trouvé</v>
      </c>
      <c r="H554" s="6" t="str">
        <f>IFERROR(VLOOKUP(LOG_RESEAU[[#This Row],[Cell_ID]],Registre_Maintenance!A:E,5,FALSE),"Non trouvé")</f>
        <v>Non trouvé</v>
      </c>
      <c r="I554" s="6" t="str">
        <f>IFERROR(VLOOKUP(LOG_RESEAU[[#This Row],[Cell_ID]],Registre_Maintenance!A:F,6,FALSE),"Non trouvé")</f>
        <v>Non trouvé</v>
      </c>
      <c r="J554" s="6" t="str">
        <f t="shared" si="24"/>
        <v>Antenne inconnue</v>
      </c>
      <c r="K554" s="6">
        <f t="shared" si="25"/>
        <v>7</v>
      </c>
      <c r="L554" s="6">
        <f t="shared" si="26"/>
        <v>381</v>
      </c>
    </row>
    <row r="555" spans="1:12" ht="15.75" x14ac:dyDescent="0.25">
      <c r="A555" s="6" t="s">
        <v>879</v>
      </c>
      <c r="B555" s="7">
        <v>45210.135416666657</v>
      </c>
      <c r="C555" s="6">
        <v>51</v>
      </c>
      <c r="D555" s="6" t="s">
        <v>800</v>
      </c>
      <c r="E555" s="8" t="str">
        <f>IFERROR(VLOOKUP(LOG_RESEAU[[#This Row],[Cell_ID]],Registre_Maintenance!A:B,2,FALSE),"Non trouvé")</f>
        <v>Bas-Uele</v>
      </c>
      <c r="F555" s="8">
        <f>IFERROR(VLOOKUP(LOG_RESEAU[[#This Row],[Cell_ID]],Registre_Maintenance!A:C,3,FALSE),"Non trouvé")</f>
        <v>-2.2876210000000001</v>
      </c>
      <c r="G555" s="8">
        <f>IFERROR(VLOOKUP(LOG_RESEAU[[#This Row],[Cell_ID]],Registre_Maintenance!A:D,4,FALSE),"Non trouvé")</f>
        <v>27.582545</v>
      </c>
      <c r="H555" s="6" t="str">
        <f>IFERROR(VLOOKUP(LOG_RESEAU[[#This Row],[Cell_ID]],Registre_Maintenance!A:E,5,FALSE),"Non trouvé")</f>
        <v>4G</v>
      </c>
      <c r="I555" s="6" t="str">
        <f>IFERROR(VLOOKUP(LOG_RESEAU[[#This Row],[Cell_ID]],Registre_Maintenance!A:F,6,FALSE),"Non trouvé")</f>
        <v>Huawei</v>
      </c>
      <c r="J555" s="6" t="str">
        <f t="shared" si="24"/>
        <v>OK</v>
      </c>
      <c r="K555" s="6">
        <f t="shared" si="25"/>
        <v>8</v>
      </c>
      <c r="L555" s="6">
        <f t="shared" si="26"/>
        <v>583</v>
      </c>
    </row>
    <row r="556" spans="1:12" ht="15.75" x14ac:dyDescent="0.25">
      <c r="A556" s="6" t="s">
        <v>879</v>
      </c>
      <c r="B556" s="7">
        <v>45214.816666666673</v>
      </c>
      <c r="C556" s="6">
        <v>113</v>
      </c>
      <c r="D556" s="6" t="s">
        <v>794</v>
      </c>
      <c r="E556" s="8" t="str">
        <f>IFERROR(VLOOKUP(LOG_RESEAU[[#This Row],[Cell_ID]],Registre_Maintenance!A:B,2,FALSE),"Non trouvé")</f>
        <v>Bas-Uele</v>
      </c>
      <c r="F556" s="8">
        <f>IFERROR(VLOOKUP(LOG_RESEAU[[#This Row],[Cell_ID]],Registre_Maintenance!A:C,3,FALSE),"Non trouvé")</f>
        <v>-2.2876210000000001</v>
      </c>
      <c r="G556" s="8">
        <f>IFERROR(VLOOKUP(LOG_RESEAU[[#This Row],[Cell_ID]],Registre_Maintenance!A:D,4,FALSE),"Non trouvé")</f>
        <v>27.582545</v>
      </c>
      <c r="H556" s="6" t="str">
        <f>IFERROR(VLOOKUP(LOG_RESEAU[[#This Row],[Cell_ID]],Registre_Maintenance!A:E,5,FALSE),"Non trouvé")</f>
        <v>4G</v>
      </c>
      <c r="I556" s="6" t="str">
        <f>IFERROR(VLOOKUP(LOG_RESEAU[[#This Row],[Cell_ID]],Registre_Maintenance!A:F,6,FALSE),"Non trouvé")</f>
        <v>Huawei</v>
      </c>
      <c r="J556" s="6" t="str">
        <f t="shared" si="24"/>
        <v>OK</v>
      </c>
      <c r="K556" s="6">
        <f t="shared" si="25"/>
        <v>8</v>
      </c>
      <c r="L556" s="6">
        <f t="shared" si="26"/>
        <v>583</v>
      </c>
    </row>
    <row r="557" spans="1:12" ht="15.75" x14ac:dyDescent="0.25">
      <c r="A557" s="6" t="s">
        <v>879</v>
      </c>
      <c r="B557" s="7">
        <v>45213.89166666667</v>
      </c>
      <c r="C557" s="6">
        <v>116</v>
      </c>
      <c r="D557" s="6" t="s">
        <v>792</v>
      </c>
      <c r="E557" s="8" t="str">
        <f>IFERROR(VLOOKUP(LOG_RESEAU[[#This Row],[Cell_ID]],Registre_Maintenance!A:B,2,FALSE),"Non trouvé")</f>
        <v>Bas-Uele</v>
      </c>
      <c r="F557" s="8">
        <f>IFERROR(VLOOKUP(LOG_RESEAU[[#This Row],[Cell_ID]],Registre_Maintenance!A:C,3,FALSE),"Non trouvé")</f>
        <v>-2.2876210000000001</v>
      </c>
      <c r="G557" s="8">
        <f>IFERROR(VLOOKUP(LOG_RESEAU[[#This Row],[Cell_ID]],Registre_Maintenance!A:D,4,FALSE),"Non trouvé")</f>
        <v>27.582545</v>
      </c>
      <c r="H557" s="6" t="str">
        <f>IFERROR(VLOOKUP(LOG_RESEAU[[#This Row],[Cell_ID]],Registre_Maintenance!A:E,5,FALSE),"Non trouvé")</f>
        <v>4G</v>
      </c>
      <c r="I557" s="6" t="str">
        <f>IFERROR(VLOOKUP(LOG_RESEAU[[#This Row],[Cell_ID]],Registre_Maintenance!A:F,6,FALSE),"Non trouvé")</f>
        <v>Huawei</v>
      </c>
      <c r="J557" s="6" t="str">
        <f t="shared" si="24"/>
        <v>OK</v>
      </c>
      <c r="K557" s="6">
        <f t="shared" si="25"/>
        <v>8</v>
      </c>
      <c r="L557" s="6">
        <f t="shared" si="26"/>
        <v>583</v>
      </c>
    </row>
    <row r="558" spans="1:12" ht="15.75" x14ac:dyDescent="0.25">
      <c r="A558" s="6" t="s">
        <v>879</v>
      </c>
      <c r="B558" s="7">
        <v>45215.015277777777</v>
      </c>
      <c r="C558" s="6">
        <v>38</v>
      </c>
      <c r="D558" s="6" t="s">
        <v>792</v>
      </c>
      <c r="E558" s="8" t="str">
        <f>IFERROR(VLOOKUP(LOG_RESEAU[[#This Row],[Cell_ID]],Registre_Maintenance!A:B,2,FALSE),"Non trouvé")</f>
        <v>Bas-Uele</v>
      </c>
      <c r="F558" s="8">
        <f>IFERROR(VLOOKUP(LOG_RESEAU[[#This Row],[Cell_ID]],Registre_Maintenance!A:C,3,FALSE),"Non trouvé")</f>
        <v>-2.2876210000000001</v>
      </c>
      <c r="G558" s="8">
        <f>IFERROR(VLOOKUP(LOG_RESEAU[[#This Row],[Cell_ID]],Registre_Maintenance!A:D,4,FALSE),"Non trouvé")</f>
        <v>27.582545</v>
      </c>
      <c r="H558" s="6" t="str">
        <f>IFERROR(VLOOKUP(LOG_RESEAU[[#This Row],[Cell_ID]],Registre_Maintenance!A:E,5,FALSE),"Non trouvé")</f>
        <v>4G</v>
      </c>
      <c r="I558" s="6" t="str">
        <f>IFERROR(VLOOKUP(LOG_RESEAU[[#This Row],[Cell_ID]],Registre_Maintenance!A:F,6,FALSE),"Non trouvé")</f>
        <v>Huawei</v>
      </c>
      <c r="J558" s="6" t="str">
        <f t="shared" si="24"/>
        <v>OK</v>
      </c>
      <c r="K558" s="6">
        <f t="shared" si="25"/>
        <v>8</v>
      </c>
      <c r="L558" s="6">
        <f t="shared" si="26"/>
        <v>583</v>
      </c>
    </row>
    <row r="559" spans="1:12" ht="15.75" x14ac:dyDescent="0.25">
      <c r="A559" s="6" t="s">
        <v>879</v>
      </c>
      <c r="B559" s="7">
        <v>45220.117361111108</v>
      </c>
      <c r="C559" s="6">
        <v>14</v>
      </c>
      <c r="D559" s="6" t="s">
        <v>792</v>
      </c>
      <c r="E559" s="8" t="str">
        <f>IFERROR(VLOOKUP(LOG_RESEAU[[#This Row],[Cell_ID]],Registre_Maintenance!A:B,2,FALSE),"Non trouvé")</f>
        <v>Bas-Uele</v>
      </c>
      <c r="F559" s="8">
        <f>IFERROR(VLOOKUP(LOG_RESEAU[[#This Row],[Cell_ID]],Registre_Maintenance!A:C,3,FALSE),"Non trouvé")</f>
        <v>-2.2876210000000001</v>
      </c>
      <c r="G559" s="8">
        <f>IFERROR(VLOOKUP(LOG_RESEAU[[#This Row],[Cell_ID]],Registre_Maintenance!A:D,4,FALSE),"Non trouvé")</f>
        <v>27.582545</v>
      </c>
      <c r="H559" s="6" t="str">
        <f>IFERROR(VLOOKUP(LOG_RESEAU[[#This Row],[Cell_ID]],Registre_Maintenance!A:E,5,FALSE),"Non trouvé")</f>
        <v>4G</v>
      </c>
      <c r="I559" s="6" t="str">
        <f>IFERROR(VLOOKUP(LOG_RESEAU[[#This Row],[Cell_ID]],Registre_Maintenance!A:F,6,FALSE),"Non trouvé")</f>
        <v>Huawei</v>
      </c>
      <c r="J559" s="6" t="str">
        <f t="shared" si="24"/>
        <v>OK</v>
      </c>
      <c r="K559" s="6">
        <f t="shared" si="25"/>
        <v>8</v>
      </c>
      <c r="L559" s="6">
        <f t="shared" si="26"/>
        <v>583</v>
      </c>
    </row>
    <row r="560" spans="1:12" ht="15.75" x14ac:dyDescent="0.25">
      <c r="A560" s="6" t="s">
        <v>879</v>
      </c>
      <c r="B560" s="7">
        <v>45227.163194444453</v>
      </c>
      <c r="C560" s="6">
        <v>81</v>
      </c>
      <c r="D560" s="6" t="s">
        <v>792</v>
      </c>
      <c r="E560" s="8" t="str">
        <f>IFERROR(VLOOKUP(LOG_RESEAU[[#This Row],[Cell_ID]],Registre_Maintenance!A:B,2,FALSE),"Non trouvé")</f>
        <v>Bas-Uele</v>
      </c>
      <c r="F560" s="8">
        <f>IFERROR(VLOOKUP(LOG_RESEAU[[#This Row],[Cell_ID]],Registre_Maintenance!A:C,3,FALSE),"Non trouvé")</f>
        <v>-2.2876210000000001</v>
      </c>
      <c r="G560" s="8">
        <f>IFERROR(VLOOKUP(LOG_RESEAU[[#This Row],[Cell_ID]],Registre_Maintenance!A:D,4,FALSE),"Non trouvé")</f>
        <v>27.582545</v>
      </c>
      <c r="H560" s="6" t="str">
        <f>IFERROR(VLOOKUP(LOG_RESEAU[[#This Row],[Cell_ID]],Registre_Maintenance!A:E,5,FALSE),"Non trouvé")</f>
        <v>4G</v>
      </c>
      <c r="I560" s="6" t="str">
        <f>IFERROR(VLOOKUP(LOG_RESEAU[[#This Row],[Cell_ID]],Registre_Maintenance!A:F,6,FALSE),"Non trouvé")</f>
        <v>Huawei</v>
      </c>
      <c r="J560" s="6" t="str">
        <f t="shared" si="24"/>
        <v>OK</v>
      </c>
      <c r="K560" s="6">
        <f t="shared" si="25"/>
        <v>8</v>
      </c>
      <c r="L560" s="6">
        <f t="shared" si="26"/>
        <v>583</v>
      </c>
    </row>
    <row r="561" spans="1:12" ht="15.75" x14ac:dyDescent="0.25">
      <c r="A561" s="6" t="s">
        <v>879</v>
      </c>
      <c r="B561" s="7">
        <v>45220.893750000003</v>
      </c>
      <c r="C561" s="6">
        <v>101</v>
      </c>
      <c r="D561" s="6" t="s">
        <v>792</v>
      </c>
      <c r="E561" s="8" t="str">
        <f>IFERROR(VLOOKUP(LOG_RESEAU[[#This Row],[Cell_ID]],Registre_Maintenance!A:B,2,FALSE),"Non trouvé")</f>
        <v>Bas-Uele</v>
      </c>
      <c r="F561" s="8">
        <f>IFERROR(VLOOKUP(LOG_RESEAU[[#This Row],[Cell_ID]],Registre_Maintenance!A:C,3,FALSE),"Non trouvé")</f>
        <v>-2.2876210000000001</v>
      </c>
      <c r="G561" s="8">
        <f>IFERROR(VLOOKUP(LOG_RESEAU[[#This Row],[Cell_ID]],Registre_Maintenance!A:D,4,FALSE),"Non trouvé")</f>
        <v>27.582545</v>
      </c>
      <c r="H561" s="6" t="str">
        <f>IFERROR(VLOOKUP(LOG_RESEAU[[#This Row],[Cell_ID]],Registre_Maintenance!A:E,5,FALSE),"Non trouvé")</f>
        <v>4G</v>
      </c>
      <c r="I561" s="6" t="str">
        <f>IFERROR(VLOOKUP(LOG_RESEAU[[#This Row],[Cell_ID]],Registre_Maintenance!A:F,6,FALSE),"Non trouvé")</f>
        <v>Huawei</v>
      </c>
      <c r="J561" s="6" t="str">
        <f t="shared" si="24"/>
        <v>OK</v>
      </c>
      <c r="K561" s="6">
        <f t="shared" si="25"/>
        <v>8</v>
      </c>
      <c r="L561" s="6">
        <f t="shared" si="26"/>
        <v>583</v>
      </c>
    </row>
    <row r="562" spans="1:12" ht="15.75" x14ac:dyDescent="0.25">
      <c r="A562" s="6" t="s">
        <v>879</v>
      </c>
      <c r="B562" s="7">
        <v>45203.041666666657</v>
      </c>
      <c r="C562" s="6">
        <v>69</v>
      </c>
      <c r="D562" s="6" t="s">
        <v>792</v>
      </c>
      <c r="E562" s="8" t="str">
        <f>IFERROR(VLOOKUP(LOG_RESEAU[[#This Row],[Cell_ID]],Registre_Maintenance!A:B,2,FALSE),"Non trouvé")</f>
        <v>Bas-Uele</v>
      </c>
      <c r="F562" s="8">
        <f>IFERROR(VLOOKUP(LOG_RESEAU[[#This Row],[Cell_ID]],Registre_Maintenance!A:C,3,FALSE),"Non trouvé")</f>
        <v>-2.2876210000000001</v>
      </c>
      <c r="G562" s="8">
        <f>IFERROR(VLOOKUP(LOG_RESEAU[[#This Row],[Cell_ID]],Registre_Maintenance!A:D,4,FALSE),"Non trouvé")</f>
        <v>27.582545</v>
      </c>
      <c r="H562" s="6" t="str">
        <f>IFERROR(VLOOKUP(LOG_RESEAU[[#This Row],[Cell_ID]],Registre_Maintenance!A:E,5,FALSE),"Non trouvé")</f>
        <v>4G</v>
      </c>
      <c r="I562" s="6" t="str">
        <f>IFERROR(VLOOKUP(LOG_RESEAU[[#This Row],[Cell_ID]],Registre_Maintenance!A:F,6,FALSE),"Non trouvé")</f>
        <v>Huawei</v>
      </c>
      <c r="J562" s="6" t="str">
        <f t="shared" si="24"/>
        <v>OK</v>
      </c>
      <c r="K562" s="6">
        <f t="shared" si="25"/>
        <v>8</v>
      </c>
      <c r="L562" s="6">
        <f t="shared" si="26"/>
        <v>583</v>
      </c>
    </row>
    <row r="563" spans="1:12" ht="15.75" x14ac:dyDescent="0.25">
      <c r="A563" s="6" t="s">
        <v>892</v>
      </c>
      <c r="B563" s="7">
        <v>45201.770833333343</v>
      </c>
      <c r="C563" s="6">
        <v>83</v>
      </c>
      <c r="D563" s="6" t="s">
        <v>794</v>
      </c>
      <c r="E563" s="8" t="str">
        <f>IFERROR(VLOOKUP(LOG_RESEAU[[#This Row],[Cell_ID]],Registre_Maintenance!A:B,2,FALSE),"Non trouvé")</f>
        <v>Non trouvé</v>
      </c>
      <c r="F563" s="8" t="str">
        <f>IFERROR(VLOOKUP(LOG_RESEAU[[#This Row],[Cell_ID]],Registre_Maintenance!A:C,3,FALSE),"Non trouvé")</f>
        <v>Non trouvé</v>
      </c>
      <c r="G563" s="8" t="str">
        <f>IFERROR(VLOOKUP(LOG_RESEAU[[#This Row],[Cell_ID]],Registre_Maintenance!A:D,4,FALSE),"Non trouvé")</f>
        <v>Non trouvé</v>
      </c>
      <c r="H563" s="6" t="str">
        <f>IFERROR(VLOOKUP(LOG_RESEAU[[#This Row],[Cell_ID]],Registre_Maintenance!A:E,5,FALSE),"Non trouvé")</f>
        <v>Non trouvé</v>
      </c>
      <c r="I563" s="6" t="str">
        <f>IFERROR(VLOOKUP(LOG_RESEAU[[#This Row],[Cell_ID]],Registre_Maintenance!A:F,6,FALSE),"Non trouvé")</f>
        <v>Non trouvé</v>
      </c>
      <c r="J563" s="6" t="str">
        <f t="shared" si="24"/>
        <v>Antenne inconnue</v>
      </c>
      <c r="K563" s="6">
        <f t="shared" si="25"/>
        <v>5</v>
      </c>
      <c r="L563" s="6">
        <f t="shared" si="26"/>
        <v>294</v>
      </c>
    </row>
    <row r="564" spans="1:12" ht="15.75" x14ac:dyDescent="0.25">
      <c r="A564" s="6" t="s">
        <v>892</v>
      </c>
      <c r="B564" s="7">
        <v>45203.106944444437</v>
      </c>
      <c r="C564" s="6">
        <v>45</v>
      </c>
      <c r="D564" s="6" t="s">
        <v>800</v>
      </c>
      <c r="E564" s="8" t="str">
        <f>IFERROR(VLOOKUP(LOG_RESEAU[[#This Row],[Cell_ID]],Registre_Maintenance!A:B,2,FALSE),"Non trouvé")</f>
        <v>Non trouvé</v>
      </c>
      <c r="F564" s="8" t="str">
        <f>IFERROR(VLOOKUP(LOG_RESEAU[[#This Row],[Cell_ID]],Registre_Maintenance!A:C,3,FALSE),"Non trouvé")</f>
        <v>Non trouvé</v>
      </c>
      <c r="G564" s="8" t="str">
        <f>IFERROR(VLOOKUP(LOG_RESEAU[[#This Row],[Cell_ID]],Registre_Maintenance!A:D,4,FALSE),"Non trouvé")</f>
        <v>Non trouvé</v>
      </c>
      <c r="H564" s="6" t="str">
        <f>IFERROR(VLOOKUP(LOG_RESEAU[[#This Row],[Cell_ID]],Registre_Maintenance!A:E,5,FALSE),"Non trouvé")</f>
        <v>Non trouvé</v>
      </c>
      <c r="I564" s="6" t="str">
        <f>IFERROR(VLOOKUP(LOG_RESEAU[[#This Row],[Cell_ID]],Registre_Maintenance!A:F,6,FALSE),"Non trouvé")</f>
        <v>Non trouvé</v>
      </c>
      <c r="J564" s="6" t="str">
        <f t="shared" si="24"/>
        <v>Antenne inconnue</v>
      </c>
      <c r="K564" s="6">
        <f t="shared" si="25"/>
        <v>5</v>
      </c>
      <c r="L564" s="6">
        <f t="shared" si="26"/>
        <v>294</v>
      </c>
    </row>
    <row r="565" spans="1:12" ht="15.75" x14ac:dyDescent="0.25">
      <c r="A565" s="6" t="s">
        <v>892</v>
      </c>
      <c r="B565" s="7">
        <v>45216.902777777781</v>
      </c>
      <c r="C565" s="6">
        <v>49</v>
      </c>
      <c r="D565" s="6" t="s">
        <v>794</v>
      </c>
      <c r="E565" s="8" t="str">
        <f>IFERROR(VLOOKUP(LOG_RESEAU[[#This Row],[Cell_ID]],Registre_Maintenance!A:B,2,FALSE),"Non trouvé")</f>
        <v>Non trouvé</v>
      </c>
      <c r="F565" s="8" t="str">
        <f>IFERROR(VLOOKUP(LOG_RESEAU[[#This Row],[Cell_ID]],Registre_Maintenance!A:C,3,FALSE),"Non trouvé")</f>
        <v>Non trouvé</v>
      </c>
      <c r="G565" s="8" t="str">
        <f>IFERROR(VLOOKUP(LOG_RESEAU[[#This Row],[Cell_ID]],Registre_Maintenance!A:D,4,FALSE),"Non trouvé")</f>
        <v>Non trouvé</v>
      </c>
      <c r="H565" s="6" t="str">
        <f>IFERROR(VLOOKUP(LOG_RESEAU[[#This Row],[Cell_ID]],Registre_Maintenance!A:E,5,FALSE),"Non trouvé")</f>
        <v>Non trouvé</v>
      </c>
      <c r="I565" s="6" t="str">
        <f>IFERROR(VLOOKUP(LOG_RESEAU[[#This Row],[Cell_ID]],Registre_Maintenance!A:F,6,FALSE),"Non trouvé")</f>
        <v>Non trouvé</v>
      </c>
      <c r="J565" s="6" t="str">
        <f t="shared" si="24"/>
        <v>Antenne inconnue</v>
      </c>
      <c r="K565" s="6">
        <f t="shared" si="25"/>
        <v>5</v>
      </c>
      <c r="L565" s="6">
        <f t="shared" si="26"/>
        <v>294</v>
      </c>
    </row>
    <row r="566" spans="1:12" ht="15.75" x14ac:dyDescent="0.25">
      <c r="A566" s="6" t="s">
        <v>892</v>
      </c>
      <c r="B566" s="7">
        <v>45217.818749999999</v>
      </c>
      <c r="C566" s="6">
        <v>12</v>
      </c>
      <c r="D566" s="6" t="s">
        <v>800</v>
      </c>
      <c r="E566" s="8" t="str">
        <f>IFERROR(VLOOKUP(LOG_RESEAU[[#This Row],[Cell_ID]],Registre_Maintenance!A:B,2,FALSE),"Non trouvé")</f>
        <v>Non trouvé</v>
      </c>
      <c r="F566" s="8" t="str">
        <f>IFERROR(VLOOKUP(LOG_RESEAU[[#This Row],[Cell_ID]],Registre_Maintenance!A:C,3,FALSE),"Non trouvé")</f>
        <v>Non trouvé</v>
      </c>
      <c r="G566" s="8" t="str">
        <f>IFERROR(VLOOKUP(LOG_RESEAU[[#This Row],[Cell_ID]],Registre_Maintenance!A:D,4,FALSE),"Non trouvé")</f>
        <v>Non trouvé</v>
      </c>
      <c r="H566" s="6" t="str">
        <f>IFERROR(VLOOKUP(LOG_RESEAU[[#This Row],[Cell_ID]],Registre_Maintenance!A:E,5,FALSE),"Non trouvé")</f>
        <v>Non trouvé</v>
      </c>
      <c r="I566" s="6" t="str">
        <f>IFERROR(VLOOKUP(LOG_RESEAU[[#This Row],[Cell_ID]],Registre_Maintenance!A:F,6,FALSE),"Non trouvé")</f>
        <v>Non trouvé</v>
      </c>
      <c r="J566" s="6" t="str">
        <f t="shared" si="24"/>
        <v>Antenne inconnue</v>
      </c>
      <c r="K566" s="6">
        <f t="shared" si="25"/>
        <v>5</v>
      </c>
      <c r="L566" s="6">
        <f t="shared" si="26"/>
        <v>294</v>
      </c>
    </row>
    <row r="567" spans="1:12" ht="15.75" x14ac:dyDescent="0.25">
      <c r="A567" s="6" t="s">
        <v>892</v>
      </c>
      <c r="B567" s="7">
        <v>45214.499305555553</v>
      </c>
      <c r="C567" s="6">
        <v>105</v>
      </c>
      <c r="D567" s="6" t="s">
        <v>792</v>
      </c>
      <c r="E567" s="8" t="str">
        <f>IFERROR(VLOOKUP(LOG_RESEAU[[#This Row],[Cell_ID]],Registre_Maintenance!A:B,2,FALSE),"Non trouvé")</f>
        <v>Non trouvé</v>
      </c>
      <c r="F567" s="8" t="str">
        <f>IFERROR(VLOOKUP(LOG_RESEAU[[#This Row],[Cell_ID]],Registre_Maintenance!A:C,3,FALSE),"Non trouvé")</f>
        <v>Non trouvé</v>
      </c>
      <c r="G567" s="8" t="str">
        <f>IFERROR(VLOOKUP(LOG_RESEAU[[#This Row],[Cell_ID]],Registre_Maintenance!A:D,4,FALSE),"Non trouvé")</f>
        <v>Non trouvé</v>
      </c>
      <c r="H567" s="6" t="str">
        <f>IFERROR(VLOOKUP(LOG_RESEAU[[#This Row],[Cell_ID]],Registre_Maintenance!A:E,5,FALSE),"Non trouvé")</f>
        <v>Non trouvé</v>
      </c>
      <c r="I567" s="6" t="str">
        <f>IFERROR(VLOOKUP(LOG_RESEAU[[#This Row],[Cell_ID]],Registre_Maintenance!A:F,6,FALSE),"Non trouvé")</f>
        <v>Non trouvé</v>
      </c>
      <c r="J567" s="6" t="str">
        <f t="shared" si="24"/>
        <v>Antenne inconnue</v>
      </c>
      <c r="K567" s="6">
        <f t="shared" si="25"/>
        <v>5</v>
      </c>
      <c r="L567" s="6">
        <f t="shared" si="26"/>
        <v>294</v>
      </c>
    </row>
    <row r="568" spans="1:12" ht="15.75" x14ac:dyDescent="0.25">
      <c r="A568" s="6" t="s">
        <v>818</v>
      </c>
      <c r="B568" s="7">
        <v>45206.919444444437</v>
      </c>
      <c r="C568" s="6">
        <v>119</v>
      </c>
      <c r="D568" s="6" t="s">
        <v>800</v>
      </c>
      <c r="E568" s="8" t="str">
        <f>IFERROR(VLOOKUP(LOG_RESEAU[[#This Row],[Cell_ID]],Registre_Maintenance!A:B,2,FALSE),"Non trouvé")</f>
        <v>Non trouvé</v>
      </c>
      <c r="F568" s="8" t="str">
        <f>IFERROR(VLOOKUP(LOG_RESEAU[[#This Row],[Cell_ID]],Registre_Maintenance!A:C,3,FALSE),"Non trouvé")</f>
        <v>Non trouvé</v>
      </c>
      <c r="G568" s="8" t="str">
        <f>IFERROR(VLOOKUP(LOG_RESEAU[[#This Row],[Cell_ID]],Registre_Maintenance!A:D,4,FALSE),"Non trouvé")</f>
        <v>Non trouvé</v>
      </c>
      <c r="H568" s="6" t="str">
        <f>IFERROR(VLOOKUP(LOG_RESEAU[[#This Row],[Cell_ID]],Registre_Maintenance!A:E,5,FALSE),"Non trouvé")</f>
        <v>Non trouvé</v>
      </c>
      <c r="I568" s="6" t="str">
        <f>IFERROR(VLOOKUP(LOG_RESEAU[[#This Row],[Cell_ID]],Registre_Maintenance!A:F,6,FALSE),"Non trouvé")</f>
        <v>Non trouvé</v>
      </c>
      <c r="J568" s="6" t="str">
        <f t="shared" si="24"/>
        <v>Antenne inconnue</v>
      </c>
      <c r="K568" s="6">
        <f t="shared" si="25"/>
        <v>6</v>
      </c>
      <c r="L568" s="6">
        <f t="shared" si="26"/>
        <v>469</v>
      </c>
    </row>
    <row r="569" spans="1:12" ht="15.75" x14ac:dyDescent="0.25">
      <c r="A569" s="6" t="s">
        <v>818</v>
      </c>
      <c r="B569" s="7">
        <v>45224.230555555558</v>
      </c>
      <c r="C569" s="6">
        <v>40</v>
      </c>
      <c r="D569" s="6" t="s">
        <v>792</v>
      </c>
      <c r="E569" s="8" t="str">
        <f>IFERROR(VLOOKUP(LOG_RESEAU[[#This Row],[Cell_ID]],Registre_Maintenance!A:B,2,FALSE),"Non trouvé")</f>
        <v>Non trouvé</v>
      </c>
      <c r="F569" s="8" t="str">
        <f>IFERROR(VLOOKUP(LOG_RESEAU[[#This Row],[Cell_ID]],Registre_Maintenance!A:C,3,FALSE),"Non trouvé")</f>
        <v>Non trouvé</v>
      </c>
      <c r="G569" s="8" t="str">
        <f>IFERROR(VLOOKUP(LOG_RESEAU[[#This Row],[Cell_ID]],Registre_Maintenance!A:D,4,FALSE),"Non trouvé")</f>
        <v>Non trouvé</v>
      </c>
      <c r="H569" s="6" t="str">
        <f>IFERROR(VLOOKUP(LOG_RESEAU[[#This Row],[Cell_ID]],Registre_Maintenance!A:E,5,FALSE),"Non trouvé")</f>
        <v>Non trouvé</v>
      </c>
      <c r="I569" s="6" t="str">
        <f>IFERROR(VLOOKUP(LOG_RESEAU[[#This Row],[Cell_ID]],Registre_Maintenance!A:F,6,FALSE),"Non trouvé")</f>
        <v>Non trouvé</v>
      </c>
      <c r="J569" s="6" t="str">
        <f t="shared" si="24"/>
        <v>Antenne inconnue</v>
      </c>
      <c r="K569" s="6">
        <f t="shared" si="25"/>
        <v>6</v>
      </c>
      <c r="L569" s="6">
        <f t="shared" si="26"/>
        <v>469</v>
      </c>
    </row>
    <row r="570" spans="1:12" ht="15.75" x14ac:dyDescent="0.25">
      <c r="A570" s="6" t="s">
        <v>818</v>
      </c>
      <c r="B570" s="7">
        <v>45213.779861111107</v>
      </c>
      <c r="C570" s="6">
        <v>92</v>
      </c>
      <c r="D570" s="6" t="s">
        <v>794</v>
      </c>
      <c r="E570" s="8" t="str">
        <f>IFERROR(VLOOKUP(LOG_RESEAU[[#This Row],[Cell_ID]],Registre_Maintenance!A:B,2,FALSE),"Non trouvé")</f>
        <v>Non trouvé</v>
      </c>
      <c r="F570" s="8" t="str">
        <f>IFERROR(VLOOKUP(LOG_RESEAU[[#This Row],[Cell_ID]],Registre_Maintenance!A:C,3,FALSE),"Non trouvé")</f>
        <v>Non trouvé</v>
      </c>
      <c r="G570" s="8" t="str">
        <f>IFERROR(VLOOKUP(LOG_RESEAU[[#This Row],[Cell_ID]],Registre_Maintenance!A:D,4,FALSE),"Non trouvé")</f>
        <v>Non trouvé</v>
      </c>
      <c r="H570" s="6" t="str">
        <f>IFERROR(VLOOKUP(LOG_RESEAU[[#This Row],[Cell_ID]],Registre_Maintenance!A:E,5,FALSE),"Non trouvé")</f>
        <v>Non trouvé</v>
      </c>
      <c r="I570" s="6" t="str">
        <f>IFERROR(VLOOKUP(LOG_RESEAU[[#This Row],[Cell_ID]],Registre_Maintenance!A:F,6,FALSE),"Non trouvé")</f>
        <v>Non trouvé</v>
      </c>
      <c r="J570" s="6" t="str">
        <f t="shared" si="24"/>
        <v>Antenne inconnue</v>
      </c>
      <c r="K570" s="6">
        <f t="shared" si="25"/>
        <v>6</v>
      </c>
      <c r="L570" s="6">
        <f t="shared" si="26"/>
        <v>469</v>
      </c>
    </row>
    <row r="571" spans="1:12" ht="15.75" x14ac:dyDescent="0.25">
      <c r="A571" s="6" t="s">
        <v>818</v>
      </c>
      <c r="B571" s="7">
        <v>45217.368750000001</v>
      </c>
      <c r="C571" s="6">
        <v>15</v>
      </c>
      <c r="D571" s="6" t="s">
        <v>794</v>
      </c>
      <c r="E571" s="8" t="str">
        <f>IFERROR(VLOOKUP(LOG_RESEAU[[#This Row],[Cell_ID]],Registre_Maintenance!A:B,2,FALSE),"Non trouvé")</f>
        <v>Non trouvé</v>
      </c>
      <c r="F571" s="8" t="str">
        <f>IFERROR(VLOOKUP(LOG_RESEAU[[#This Row],[Cell_ID]],Registre_Maintenance!A:C,3,FALSE),"Non trouvé")</f>
        <v>Non trouvé</v>
      </c>
      <c r="G571" s="8" t="str">
        <f>IFERROR(VLOOKUP(LOG_RESEAU[[#This Row],[Cell_ID]],Registre_Maintenance!A:D,4,FALSE),"Non trouvé")</f>
        <v>Non trouvé</v>
      </c>
      <c r="H571" s="6" t="str">
        <f>IFERROR(VLOOKUP(LOG_RESEAU[[#This Row],[Cell_ID]],Registre_Maintenance!A:E,5,FALSE),"Non trouvé")</f>
        <v>Non trouvé</v>
      </c>
      <c r="I571" s="6" t="str">
        <f>IFERROR(VLOOKUP(LOG_RESEAU[[#This Row],[Cell_ID]],Registre_Maintenance!A:F,6,FALSE),"Non trouvé")</f>
        <v>Non trouvé</v>
      </c>
      <c r="J571" s="6" t="str">
        <f t="shared" si="24"/>
        <v>Antenne inconnue</v>
      </c>
      <c r="K571" s="6">
        <f t="shared" si="25"/>
        <v>6</v>
      </c>
      <c r="L571" s="6">
        <f t="shared" si="26"/>
        <v>469</v>
      </c>
    </row>
    <row r="572" spans="1:12" ht="15.75" x14ac:dyDescent="0.25">
      <c r="A572" s="6" t="s">
        <v>818</v>
      </c>
      <c r="B572" s="7">
        <v>45211.382638888892</v>
      </c>
      <c r="C572" s="6">
        <v>119</v>
      </c>
      <c r="D572" s="6" t="s">
        <v>792</v>
      </c>
      <c r="E572" s="8" t="str">
        <f>IFERROR(VLOOKUP(LOG_RESEAU[[#This Row],[Cell_ID]],Registre_Maintenance!A:B,2,FALSE),"Non trouvé")</f>
        <v>Non trouvé</v>
      </c>
      <c r="F572" s="8" t="str">
        <f>IFERROR(VLOOKUP(LOG_RESEAU[[#This Row],[Cell_ID]],Registre_Maintenance!A:C,3,FALSE),"Non trouvé")</f>
        <v>Non trouvé</v>
      </c>
      <c r="G572" s="8" t="str">
        <f>IFERROR(VLOOKUP(LOG_RESEAU[[#This Row],[Cell_ID]],Registre_Maintenance!A:D,4,FALSE),"Non trouvé")</f>
        <v>Non trouvé</v>
      </c>
      <c r="H572" s="6" t="str">
        <f>IFERROR(VLOOKUP(LOG_RESEAU[[#This Row],[Cell_ID]],Registre_Maintenance!A:E,5,FALSE),"Non trouvé")</f>
        <v>Non trouvé</v>
      </c>
      <c r="I572" s="6" t="str">
        <f>IFERROR(VLOOKUP(LOG_RESEAU[[#This Row],[Cell_ID]],Registre_Maintenance!A:F,6,FALSE),"Non trouvé")</f>
        <v>Non trouvé</v>
      </c>
      <c r="J572" s="6" t="str">
        <f t="shared" si="24"/>
        <v>Antenne inconnue</v>
      </c>
      <c r="K572" s="6">
        <f t="shared" si="25"/>
        <v>6</v>
      </c>
      <c r="L572" s="6">
        <f t="shared" si="26"/>
        <v>469</v>
      </c>
    </row>
    <row r="573" spans="1:12" ht="15.75" x14ac:dyDescent="0.25">
      <c r="A573" s="6" t="s">
        <v>818</v>
      </c>
      <c r="B573" s="7">
        <v>45211.380555555559</v>
      </c>
      <c r="C573" s="6">
        <v>84</v>
      </c>
      <c r="D573" s="6" t="s">
        <v>794</v>
      </c>
      <c r="E573" s="8" t="str">
        <f>IFERROR(VLOOKUP(LOG_RESEAU[[#This Row],[Cell_ID]],Registre_Maintenance!A:B,2,FALSE),"Non trouvé")</f>
        <v>Non trouvé</v>
      </c>
      <c r="F573" s="8" t="str">
        <f>IFERROR(VLOOKUP(LOG_RESEAU[[#This Row],[Cell_ID]],Registre_Maintenance!A:C,3,FALSE),"Non trouvé")</f>
        <v>Non trouvé</v>
      </c>
      <c r="G573" s="8" t="str">
        <f>IFERROR(VLOOKUP(LOG_RESEAU[[#This Row],[Cell_ID]],Registre_Maintenance!A:D,4,FALSE),"Non trouvé")</f>
        <v>Non trouvé</v>
      </c>
      <c r="H573" s="6" t="str">
        <f>IFERROR(VLOOKUP(LOG_RESEAU[[#This Row],[Cell_ID]],Registre_Maintenance!A:E,5,FALSE),"Non trouvé")</f>
        <v>Non trouvé</v>
      </c>
      <c r="I573" s="6" t="str">
        <f>IFERROR(VLOOKUP(LOG_RESEAU[[#This Row],[Cell_ID]],Registre_Maintenance!A:F,6,FALSE),"Non trouvé")</f>
        <v>Non trouvé</v>
      </c>
      <c r="J573" s="6" t="str">
        <f t="shared" si="24"/>
        <v>Antenne inconnue</v>
      </c>
      <c r="K573" s="6">
        <f t="shared" si="25"/>
        <v>6</v>
      </c>
      <c r="L573" s="6">
        <f t="shared" si="26"/>
        <v>469</v>
      </c>
    </row>
    <row r="574" spans="1:12" ht="15.75" x14ac:dyDescent="0.25">
      <c r="A574" s="6" t="s">
        <v>801</v>
      </c>
      <c r="B574" s="7">
        <v>45207.693055555559</v>
      </c>
      <c r="C574" s="6">
        <v>29</v>
      </c>
      <c r="D574" s="6" t="s">
        <v>800</v>
      </c>
      <c r="E574" s="8" t="str">
        <f>IFERROR(VLOOKUP(LOG_RESEAU[[#This Row],[Cell_ID]],Registre_Maintenance!A:B,2,FALSE),"Non trouvé")</f>
        <v>Non trouvé</v>
      </c>
      <c r="F574" s="8" t="str">
        <f>IFERROR(VLOOKUP(LOG_RESEAU[[#This Row],[Cell_ID]],Registre_Maintenance!A:C,3,FALSE),"Non trouvé")</f>
        <v>Non trouvé</v>
      </c>
      <c r="G574" s="8" t="str">
        <f>IFERROR(VLOOKUP(LOG_RESEAU[[#This Row],[Cell_ID]],Registre_Maintenance!A:D,4,FALSE),"Non trouvé")</f>
        <v>Non trouvé</v>
      </c>
      <c r="H574" s="6" t="str">
        <f>IFERROR(VLOOKUP(LOG_RESEAU[[#This Row],[Cell_ID]],Registre_Maintenance!A:E,5,FALSE),"Non trouvé")</f>
        <v>Non trouvé</v>
      </c>
      <c r="I574" s="6" t="str">
        <f>IFERROR(VLOOKUP(LOG_RESEAU[[#This Row],[Cell_ID]],Registre_Maintenance!A:F,6,FALSE),"Non trouvé")</f>
        <v>Non trouvé</v>
      </c>
      <c r="J574" s="6" t="str">
        <f t="shared" si="24"/>
        <v>Antenne inconnue</v>
      </c>
      <c r="K574" s="6">
        <f t="shared" si="25"/>
        <v>7</v>
      </c>
      <c r="L574" s="6">
        <f t="shared" si="26"/>
        <v>507</v>
      </c>
    </row>
    <row r="575" spans="1:12" ht="15.75" x14ac:dyDescent="0.25">
      <c r="A575" s="6" t="s">
        <v>801</v>
      </c>
      <c r="B575" s="7">
        <v>45215.116666666669</v>
      </c>
      <c r="C575" s="6">
        <v>62</v>
      </c>
      <c r="D575" s="6" t="s">
        <v>800</v>
      </c>
      <c r="E575" s="8" t="str">
        <f>IFERROR(VLOOKUP(LOG_RESEAU[[#This Row],[Cell_ID]],Registre_Maintenance!A:B,2,FALSE),"Non trouvé")</f>
        <v>Non trouvé</v>
      </c>
      <c r="F575" s="8" t="str">
        <f>IFERROR(VLOOKUP(LOG_RESEAU[[#This Row],[Cell_ID]],Registre_Maintenance!A:C,3,FALSE),"Non trouvé")</f>
        <v>Non trouvé</v>
      </c>
      <c r="G575" s="8" t="str">
        <f>IFERROR(VLOOKUP(LOG_RESEAU[[#This Row],[Cell_ID]],Registre_Maintenance!A:D,4,FALSE),"Non trouvé")</f>
        <v>Non trouvé</v>
      </c>
      <c r="H575" s="6" t="str">
        <f>IFERROR(VLOOKUP(LOG_RESEAU[[#This Row],[Cell_ID]],Registre_Maintenance!A:E,5,FALSE),"Non trouvé")</f>
        <v>Non trouvé</v>
      </c>
      <c r="I575" s="6" t="str">
        <f>IFERROR(VLOOKUP(LOG_RESEAU[[#This Row],[Cell_ID]],Registre_Maintenance!A:F,6,FALSE),"Non trouvé")</f>
        <v>Non trouvé</v>
      </c>
      <c r="J575" s="6" t="str">
        <f t="shared" si="24"/>
        <v>Antenne inconnue</v>
      </c>
      <c r="K575" s="6">
        <f t="shared" si="25"/>
        <v>7</v>
      </c>
      <c r="L575" s="6">
        <f t="shared" si="26"/>
        <v>507</v>
      </c>
    </row>
    <row r="576" spans="1:12" ht="15.75" x14ac:dyDescent="0.25">
      <c r="A576" s="6" t="s">
        <v>801</v>
      </c>
      <c r="B576" s="7">
        <v>45226.586805555547</v>
      </c>
      <c r="C576" s="6">
        <v>119</v>
      </c>
      <c r="D576" s="6" t="s">
        <v>800</v>
      </c>
      <c r="E576" s="8" t="str">
        <f>IFERROR(VLOOKUP(LOG_RESEAU[[#This Row],[Cell_ID]],Registre_Maintenance!A:B,2,FALSE),"Non trouvé")</f>
        <v>Non trouvé</v>
      </c>
      <c r="F576" s="8" t="str">
        <f>IFERROR(VLOOKUP(LOG_RESEAU[[#This Row],[Cell_ID]],Registre_Maintenance!A:C,3,FALSE),"Non trouvé")</f>
        <v>Non trouvé</v>
      </c>
      <c r="G576" s="8" t="str">
        <f>IFERROR(VLOOKUP(LOG_RESEAU[[#This Row],[Cell_ID]],Registre_Maintenance!A:D,4,FALSE),"Non trouvé")</f>
        <v>Non trouvé</v>
      </c>
      <c r="H576" s="6" t="str">
        <f>IFERROR(VLOOKUP(LOG_RESEAU[[#This Row],[Cell_ID]],Registre_Maintenance!A:E,5,FALSE),"Non trouvé")</f>
        <v>Non trouvé</v>
      </c>
      <c r="I576" s="6" t="str">
        <f>IFERROR(VLOOKUP(LOG_RESEAU[[#This Row],[Cell_ID]],Registre_Maintenance!A:F,6,FALSE),"Non trouvé")</f>
        <v>Non trouvé</v>
      </c>
      <c r="J576" s="6" t="str">
        <f t="shared" si="24"/>
        <v>Antenne inconnue</v>
      </c>
      <c r="K576" s="6">
        <f t="shared" si="25"/>
        <v>7</v>
      </c>
      <c r="L576" s="6">
        <f t="shared" si="26"/>
        <v>507</v>
      </c>
    </row>
    <row r="577" spans="1:12" ht="15.75" x14ac:dyDescent="0.25">
      <c r="A577" s="6" t="s">
        <v>801</v>
      </c>
      <c r="B577" s="7">
        <v>45225.147222222222</v>
      </c>
      <c r="C577" s="6">
        <v>93</v>
      </c>
      <c r="D577" s="6" t="s">
        <v>800</v>
      </c>
      <c r="E577" s="8" t="str">
        <f>IFERROR(VLOOKUP(LOG_RESEAU[[#This Row],[Cell_ID]],Registre_Maintenance!A:B,2,FALSE),"Non trouvé")</f>
        <v>Non trouvé</v>
      </c>
      <c r="F577" s="8" t="str">
        <f>IFERROR(VLOOKUP(LOG_RESEAU[[#This Row],[Cell_ID]],Registre_Maintenance!A:C,3,FALSE),"Non trouvé")</f>
        <v>Non trouvé</v>
      </c>
      <c r="G577" s="8" t="str">
        <f>IFERROR(VLOOKUP(LOG_RESEAU[[#This Row],[Cell_ID]],Registre_Maintenance!A:D,4,FALSE),"Non trouvé")</f>
        <v>Non trouvé</v>
      </c>
      <c r="H577" s="6" t="str">
        <f>IFERROR(VLOOKUP(LOG_RESEAU[[#This Row],[Cell_ID]],Registre_Maintenance!A:E,5,FALSE),"Non trouvé")</f>
        <v>Non trouvé</v>
      </c>
      <c r="I577" s="6" t="str">
        <f>IFERROR(VLOOKUP(LOG_RESEAU[[#This Row],[Cell_ID]],Registre_Maintenance!A:F,6,FALSE),"Non trouvé")</f>
        <v>Non trouvé</v>
      </c>
      <c r="J577" s="6" t="str">
        <f t="shared" si="24"/>
        <v>Antenne inconnue</v>
      </c>
      <c r="K577" s="6">
        <f t="shared" si="25"/>
        <v>7</v>
      </c>
      <c r="L577" s="6">
        <f t="shared" si="26"/>
        <v>507</v>
      </c>
    </row>
    <row r="578" spans="1:12" ht="15.75" x14ac:dyDescent="0.25">
      <c r="A578" s="6" t="s">
        <v>801</v>
      </c>
      <c r="B578" s="7">
        <v>45211.722916666673</v>
      </c>
      <c r="C578" s="6">
        <v>77</v>
      </c>
      <c r="D578" s="6" t="s">
        <v>794</v>
      </c>
      <c r="E578" s="8" t="str">
        <f>IFERROR(VLOOKUP(LOG_RESEAU[[#This Row],[Cell_ID]],Registre_Maintenance!A:B,2,FALSE),"Non trouvé")</f>
        <v>Non trouvé</v>
      </c>
      <c r="F578" s="8" t="str">
        <f>IFERROR(VLOOKUP(LOG_RESEAU[[#This Row],[Cell_ID]],Registre_Maintenance!A:C,3,FALSE),"Non trouvé")</f>
        <v>Non trouvé</v>
      </c>
      <c r="G578" s="8" t="str">
        <f>IFERROR(VLOOKUP(LOG_RESEAU[[#This Row],[Cell_ID]],Registre_Maintenance!A:D,4,FALSE),"Non trouvé")</f>
        <v>Non trouvé</v>
      </c>
      <c r="H578" s="6" t="str">
        <f>IFERROR(VLOOKUP(LOG_RESEAU[[#This Row],[Cell_ID]],Registre_Maintenance!A:E,5,FALSE),"Non trouvé")</f>
        <v>Non trouvé</v>
      </c>
      <c r="I578" s="6" t="str">
        <f>IFERROR(VLOOKUP(LOG_RESEAU[[#This Row],[Cell_ID]],Registre_Maintenance!A:F,6,FALSE),"Non trouvé")</f>
        <v>Non trouvé</v>
      </c>
      <c r="J578" s="6" t="str">
        <f t="shared" ref="J578:J641" si="27">IF(ISERROR(SEARCH("Non trouvé",F578)),"OK","Antenne inconnue")</f>
        <v>Antenne inconnue</v>
      </c>
      <c r="K578" s="6">
        <f t="shared" ref="K578:K641" si="28">COUNTIF(A:A,A578)</f>
        <v>7</v>
      </c>
      <c r="L578" s="6">
        <f t="shared" ref="L578:L641" si="29">SUMIF(A:A,A578,C:C)</f>
        <v>507</v>
      </c>
    </row>
    <row r="579" spans="1:12" ht="15.75" x14ac:dyDescent="0.25">
      <c r="A579" s="6" t="s">
        <v>801</v>
      </c>
      <c r="B579" s="7">
        <v>45225.238888888889</v>
      </c>
      <c r="C579" s="6">
        <v>16</v>
      </c>
      <c r="D579" s="6" t="s">
        <v>800</v>
      </c>
      <c r="E579" s="8" t="str">
        <f>IFERROR(VLOOKUP(LOG_RESEAU[[#This Row],[Cell_ID]],Registre_Maintenance!A:B,2,FALSE),"Non trouvé")</f>
        <v>Non trouvé</v>
      </c>
      <c r="F579" s="8" t="str">
        <f>IFERROR(VLOOKUP(LOG_RESEAU[[#This Row],[Cell_ID]],Registre_Maintenance!A:C,3,FALSE),"Non trouvé")</f>
        <v>Non trouvé</v>
      </c>
      <c r="G579" s="8" t="str">
        <f>IFERROR(VLOOKUP(LOG_RESEAU[[#This Row],[Cell_ID]],Registre_Maintenance!A:D,4,FALSE),"Non trouvé")</f>
        <v>Non trouvé</v>
      </c>
      <c r="H579" s="6" t="str">
        <f>IFERROR(VLOOKUP(LOG_RESEAU[[#This Row],[Cell_ID]],Registre_Maintenance!A:E,5,FALSE),"Non trouvé")</f>
        <v>Non trouvé</v>
      </c>
      <c r="I579" s="6" t="str">
        <f>IFERROR(VLOOKUP(LOG_RESEAU[[#This Row],[Cell_ID]],Registre_Maintenance!A:F,6,FALSE),"Non trouvé")</f>
        <v>Non trouvé</v>
      </c>
      <c r="J579" s="6" t="str">
        <f t="shared" si="27"/>
        <v>Antenne inconnue</v>
      </c>
      <c r="K579" s="6">
        <f t="shared" si="28"/>
        <v>7</v>
      </c>
      <c r="L579" s="6">
        <f t="shared" si="29"/>
        <v>507</v>
      </c>
    </row>
    <row r="580" spans="1:12" ht="15.75" x14ac:dyDescent="0.25">
      <c r="A580" s="6" t="s">
        <v>801</v>
      </c>
      <c r="B580" s="7">
        <v>45200.115972222222</v>
      </c>
      <c r="C580" s="6">
        <v>111</v>
      </c>
      <c r="D580" s="6" t="s">
        <v>792</v>
      </c>
      <c r="E580" s="8" t="str">
        <f>IFERROR(VLOOKUP(LOG_RESEAU[[#This Row],[Cell_ID]],Registre_Maintenance!A:B,2,FALSE),"Non trouvé")</f>
        <v>Non trouvé</v>
      </c>
      <c r="F580" s="8" t="str">
        <f>IFERROR(VLOOKUP(LOG_RESEAU[[#This Row],[Cell_ID]],Registre_Maintenance!A:C,3,FALSE),"Non trouvé")</f>
        <v>Non trouvé</v>
      </c>
      <c r="G580" s="8" t="str">
        <f>IFERROR(VLOOKUP(LOG_RESEAU[[#This Row],[Cell_ID]],Registre_Maintenance!A:D,4,FALSE),"Non trouvé")</f>
        <v>Non trouvé</v>
      </c>
      <c r="H580" s="6" t="str">
        <f>IFERROR(VLOOKUP(LOG_RESEAU[[#This Row],[Cell_ID]],Registre_Maintenance!A:E,5,FALSE),"Non trouvé")</f>
        <v>Non trouvé</v>
      </c>
      <c r="I580" s="6" t="str">
        <f>IFERROR(VLOOKUP(LOG_RESEAU[[#This Row],[Cell_ID]],Registre_Maintenance!A:F,6,FALSE),"Non trouvé")</f>
        <v>Non trouvé</v>
      </c>
      <c r="J580" s="6" t="str">
        <f t="shared" si="27"/>
        <v>Antenne inconnue</v>
      </c>
      <c r="K580" s="6">
        <f t="shared" si="28"/>
        <v>7</v>
      </c>
      <c r="L580" s="6">
        <f t="shared" si="29"/>
        <v>507</v>
      </c>
    </row>
    <row r="581" spans="1:12" ht="15.75" x14ac:dyDescent="0.25">
      <c r="A581" s="6" t="s">
        <v>886</v>
      </c>
      <c r="B581" s="7">
        <v>45206.539583333331</v>
      </c>
      <c r="C581" s="6">
        <v>68</v>
      </c>
      <c r="D581" s="6" t="s">
        <v>794</v>
      </c>
      <c r="E581" s="8" t="str">
        <f>IFERROR(VLOOKUP(LOG_RESEAU[[#This Row],[Cell_ID]],Registre_Maintenance!A:B,2,FALSE),"Non trouvé")</f>
        <v>Tanganyika</v>
      </c>
      <c r="F581" s="8">
        <f>IFERROR(VLOOKUP(LOG_RESEAU[[#This Row],[Cell_ID]],Registre_Maintenance!A:C,3,FALSE),"Non trouvé")</f>
        <v>-7.9425049999999997</v>
      </c>
      <c r="G581" s="8">
        <f>IFERROR(VLOOKUP(LOG_RESEAU[[#This Row],[Cell_ID]],Registre_Maintenance!A:D,4,FALSE),"Non trouvé")</f>
        <v>24.111059000000001</v>
      </c>
      <c r="H581" s="6" t="str">
        <f>IFERROR(VLOOKUP(LOG_RESEAU[[#This Row],[Cell_ID]],Registre_Maintenance!A:E,5,FALSE),"Non trouvé")</f>
        <v>3G</v>
      </c>
      <c r="I581" s="6" t="str">
        <f>IFERROR(VLOOKUP(LOG_RESEAU[[#This Row],[Cell_ID]],Registre_Maintenance!A:F,6,FALSE),"Non trouvé")</f>
        <v>ZTE</v>
      </c>
      <c r="J581" s="6" t="str">
        <f t="shared" si="27"/>
        <v>OK</v>
      </c>
      <c r="K581" s="6">
        <f t="shared" si="28"/>
        <v>4</v>
      </c>
      <c r="L581" s="6">
        <f t="shared" si="29"/>
        <v>305</v>
      </c>
    </row>
    <row r="582" spans="1:12" ht="15.75" x14ac:dyDescent="0.25">
      <c r="A582" s="6" t="s">
        <v>886</v>
      </c>
      <c r="B582" s="7">
        <v>45229.121527777781</v>
      </c>
      <c r="C582" s="6">
        <v>118</v>
      </c>
      <c r="D582" s="6" t="s">
        <v>800</v>
      </c>
      <c r="E582" s="8" t="str">
        <f>IFERROR(VLOOKUP(LOG_RESEAU[[#This Row],[Cell_ID]],Registre_Maintenance!A:B,2,FALSE),"Non trouvé")</f>
        <v>Tanganyika</v>
      </c>
      <c r="F582" s="8">
        <f>IFERROR(VLOOKUP(LOG_RESEAU[[#This Row],[Cell_ID]],Registre_Maintenance!A:C,3,FALSE),"Non trouvé")</f>
        <v>-7.9425049999999997</v>
      </c>
      <c r="G582" s="8">
        <f>IFERROR(VLOOKUP(LOG_RESEAU[[#This Row],[Cell_ID]],Registre_Maintenance!A:D,4,FALSE),"Non trouvé")</f>
        <v>24.111059000000001</v>
      </c>
      <c r="H582" s="6" t="str">
        <f>IFERROR(VLOOKUP(LOG_RESEAU[[#This Row],[Cell_ID]],Registre_Maintenance!A:E,5,FALSE),"Non trouvé")</f>
        <v>3G</v>
      </c>
      <c r="I582" s="6" t="str">
        <f>IFERROR(VLOOKUP(LOG_RESEAU[[#This Row],[Cell_ID]],Registre_Maintenance!A:F,6,FALSE),"Non trouvé")</f>
        <v>ZTE</v>
      </c>
      <c r="J582" s="6" t="str">
        <f t="shared" si="27"/>
        <v>OK</v>
      </c>
      <c r="K582" s="6">
        <f t="shared" si="28"/>
        <v>4</v>
      </c>
      <c r="L582" s="6">
        <f t="shared" si="29"/>
        <v>305</v>
      </c>
    </row>
    <row r="583" spans="1:12" ht="15.75" x14ac:dyDescent="0.25">
      <c r="A583" s="6" t="s">
        <v>886</v>
      </c>
      <c r="B583" s="7">
        <v>45228.473611111112</v>
      </c>
      <c r="C583" s="6">
        <v>6</v>
      </c>
      <c r="D583" s="6" t="s">
        <v>794</v>
      </c>
      <c r="E583" s="8" t="str">
        <f>IFERROR(VLOOKUP(LOG_RESEAU[[#This Row],[Cell_ID]],Registre_Maintenance!A:B,2,FALSE),"Non trouvé")</f>
        <v>Tanganyika</v>
      </c>
      <c r="F583" s="8">
        <f>IFERROR(VLOOKUP(LOG_RESEAU[[#This Row],[Cell_ID]],Registre_Maintenance!A:C,3,FALSE),"Non trouvé")</f>
        <v>-7.9425049999999997</v>
      </c>
      <c r="G583" s="8">
        <f>IFERROR(VLOOKUP(LOG_RESEAU[[#This Row],[Cell_ID]],Registre_Maintenance!A:D,4,FALSE),"Non trouvé")</f>
        <v>24.111059000000001</v>
      </c>
      <c r="H583" s="6" t="str">
        <f>IFERROR(VLOOKUP(LOG_RESEAU[[#This Row],[Cell_ID]],Registre_Maintenance!A:E,5,FALSE),"Non trouvé")</f>
        <v>3G</v>
      </c>
      <c r="I583" s="6" t="str">
        <f>IFERROR(VLOOKUP(LOG_RESEAU[[#This Row],[Cell_ID]],Registre_Maintenance!A:F,6,FALSE),"Non trouvé")</f>
        <v>ZTE</v>
      </c>
      <c r="J583" s="6" t="str">
        <f t="shared" si="27"/>
        <v>OK</v>
      </c>
      <c r="K583" s="6">
        <f t="shared" si="28"/>
        <v>4</v>
      </c>
      <c r="L583" s="6">
        <f t="shared" si="29"/>
        <v>305</v>
      </c>
    </row>
    <row r="584" spans="1:12" ht="15.75" x14ac:dyDescent="0.25">
      <c r="A584" s="6" t="s">
        <v>886</v>
      </c>
      <c r="B584" s="7">
        <v>45225.781944444447</v>
      </c>
      <c r="C584" s="6">
        <v>113</v>
      </c>
      <c r="D584" s="6" t="s">
        <v>800</v>
      </c>
      <c r="E584" s="8" t="str">
        <f>IFERROR(VLOOKUP(LOG_RESEAU[[#This Row],[Cell_ID]],Registre_Maintenance!A:B,2,FALSE),"Non trouvé")</f>
        <v>Tanganyika</v>
      </c>
      <c r="F584" s="8">
        <f>IFERROR(VLOOKUP(LOG_RESEAU[[#This Row],[Cell_ID]],Registre_Maintenance!A:C,3,FALSE),"Non trouvé")</f>
        <v>-7.9425049999999997</v>
      </c>
      <c r="G584" s="8">
        <f>IFERROR(VLOOKUP(LOG_RESEAU[[#This Row],[Cell_ID]],Registre_Maintenance!A:D,4,FALSE),"Non trouvé")</f>
        <v>24.111059000000001</v>
      </c>
      <c r="H584" s="6" t="str">
        <f>IFERROR(VLOOKUP(LOG_RESEAU[[#This Row],[Cell_ID]],Registre_Maintenance!A:E,5,FALSE),"Non trouvé")</f>
        <v>3G</v>
      </c>
      <c r="I584" s="6" t="str">
        <f>IFERROR(VLOOKUP(LOG_RESEAU[[#This Row],[Cell_ID]],Registre_Maintenance!A:F,6,FALSE),"Non trouvé")</f>
        <v>ZTE</v>
      </c>
      <c r="J584" s="6" t="str">
        <f t="shared" si="27"/>
        <v>OK</v>
      </c>
      <c r="K584" s="6">
        <f t="shared" si="28"/>
        <v>4</v>
      </c>
      <c r="L584" s="6">
        <f t="shared" si="29"/>
        <v>305</v>
      </c>
    </row>
    <row r="585" spans="1:12" ht="15.75" x14ac:dyDescent="0.25">
      <c r="A585" s="6" t="s">
        <v>957</v>
      </c>
      <c r="B585" s="7">
        <v>45229.4</v>
      </c>
      <c r="C585" s="6">
        <v>45</v>
      </c>
      <c r="D585" s="6" t="s">
        <v>800</v>
      </c>
      <c r="E585" s="8" t="str">
        <f>IFERROR(VLOOKUP(LOG_RESEAU[[#This Row],[Cell_ID]],Registre_Maintenance!A:B,2,FALSE),"Non trouvé")</f>
        <v>Non trouvé</v>
      </c>
      <c r="F585" s="8" t="str">
        <f>IFERROR(VLOOKUP(LOG_RESEAU[[#This Row],[Cell_ID]],Registre_Maintenance!A:C,3,FALSE),"Non trouvé")</f>
        <v>Non trouvé</v>
      </c>
      <c r="G585" s="8" t="str">
        <f>IFERROR(VLOOKUP(LOG_RESEAU[[#This Row],[Cell_ID]],Registre_Maintenance!A:D,4,FALSE),"Non trouvé")</f>
        <v>Non trouvé</v>
      </c>
      <c r="H585" s="6" t="str">
        <f>IFERROR(VLOOKUP(LOG_RESEAU[[#This Row],[Cell_ID]],Registre_Maintenance!A:E,5,FALSE),"Non trouvé")</f>
        <v>Non trouvé</v>
      </c>
      <c r="I585" s="6" t="str">
        <f>IFERROR(VLOOKUP(LOG_RESEAU[[#This Row],[Cell_ID]],Registre_Maintenance!A:F,6,FALSE),"Non trouvé")</f>
        <v>Non trouvé</v>
      </c>
      <c r="J585" s="6" t="str">
        <f t="shared" si="27"/>
        <v>Antenne inconnue</v>
      </c>
      <c r="K585" s="6">
        <f t="shared" si="28"/>
        <v>8</v>
      </c>
      <c r="L585" s="6">
        <f t="shared" si="29"/>
        <v>513</v>
      </c>
    </row>
    <row r="586" spans="1:12" ht="15.75" x14ac:dyDescent="0.25">
      <c r="A586" s="6" t="s">
        <v>984</v>
      </c>
      <c r="B586" s="7">
        <v>45218.569444444453</v>
      </c>
      <c r="C586" s="6">
        <v>70</v>
      </c>
      <c r="D586" s="6" t="s">
        <v>792</v>
      </c>
      <c r="E586" s="8" t="str">
        <f>IFERROR(VLOOKUP(LOG_RESEAU[[#This Row],[Cell_ID]],Registre_Maintenance!A:B,2,FALSE),"Non trouvé")</f>
        <v>Non trouvé</v>
      </c>
      <c r="F586" s="8" t="str">
        <f>IFERROR(VLOOKUP(LOG_RESEAU[[#This Row],[Cell_ID]],Registre_Maintenance!A:C,3,FALSE),"Non trouvé")</f>
        <v>Non trouvé</v>
      </c>
      <c r="G586" s="8" t="str">
        <f>IFERROR(VLOOKUP(LOG_RESEAU[[#This Row],[Cell_ID]],Registre_Maintenance!A:D,4,FALSE),"Non trouvé")</f>
        <v>Non trouvé</v>
      </c>
      <c r="H586" s="6" t="str">
        <f>IFERROR(VLOOKUP(LOG_RESEAU[[#This Row],[Cell_ID]],Registre_Maintenance!A:E,5,FALSE),"Non trouvé")</f>
        <v>Non trouvé</v>
      </c>
      <c r="I586" s="6" t="str">
        <f>IFERROR(VLOOKUP(LOG_RESEAU[[#This Row],[Cell_ID]],Registre_Maintenance!A:F,6,FALSE),"Non trouvé")</f>
        <v>Non trouvé</v>
      </c>
      <c r="J586" s="6" t="str">
        <f t="shared" si="27"/>
        <v>Antenne inconnue</v>
      </c>
      <c r="K586" s="6">
        <f t="shared" si="28"/>
        <v>8</v>
      </c>
      <c r="L586" s="6">
        <f t="shared" si="29"/>
        <v>513</v>
      </c>
    </row>
    <row r="587" spans="1:12" ht="15.75" x14ac:dyDescent="0.25">
      <c r="A587" s="6" t="s">
        <v>984</v>
      </c>
      <c r="B587" s="7">
        <v>45225.556250000001</v>
      </c>
      <c r="C587" s="6">
        <v>43</v>
      </c>
      <c r="D587" s="6" t="s">
        <v>792</v>
      </c>
      <c r="E587" s="8" t="str">
        <f>IFERROR(VLOOKUP(LOG_RESEAU[[#This Row],[Cell_ID]],Registre_Maintenance!A:B,2,FALSE),"Non trouvé")</f>
        <v>Non trouvé</v>
      </c>
      <c r="F587" s="8" t="str">
        <f>IFERROR(VLOOKUP(LOG_RESEAU[[#This Row],[Cell_ID]],Registre_Maintenance!A:C,3,FALSE),"Non trouvé")</f>
        <v>Non trouvé</v>
      </c>
      <c r="G587" s="8" t="str">
        <f>IFERROR(VLOOKUP(LOG_RESEAU[[#This Row],[Cell_ID]],Registre_Maintenance!A:D,4,FALSE),"Non trouvé")</f>
        <v>Non trouvé</v>
      </c>
      <c r="H587" s="6" t="str">
        <f>IFERROR(VLOOKUP(LOG_RESEAU[[#This Row],[Cell_ID]],Registre_Maintenance!A:E,5,FALSE),"Non trouvé")</f>
        <v>Non trouvé</v>
      </c>
      <c r="I587" s="6" t="str">
        <f>IFERROR(VLOOKUP(LOG_RESEAU[[#This Row],[Cell_ID]],Registre_Maintenance!A:F,6,FALSE),"Non trouvé")</f>
        <v>Non trouvé</v>
      </c>
      <c r="J587" s="6" t="str">
        <f t="shared" si="27"/>
        <v>Antenne inconnue</v>
      </c>
      <c r="K587" s="6">
        <f t="shared" si="28"/>
        <v>8</v>
      </c>
      <c r="L587" s="6">
        <f t="shared" si="29"/>
        <v>513</v>
      </c>
    </row>
    <row r="588" spans="1:12" ht="15.75" x14ac:dyDescent="0.25">
      <c r="A588" s="6" t="s">
        <v>984</v>
      </c>
      <c r="B588" s="7">
        <v>45226.40902777778</v>
      </c>
      <c r="C588" s="6">
        <v>95</v>
      </c>
      <c r="D588" s="6" t="s">
        <v>800</v>
      </c>
      <c r="E588" s="8" t="str">
        <f>IFERROR(VLOOKUP(LOG_RESEAU[[#This Row],[Cell_ID]],Registre_Maintenance!A:B,2,FALSE),"Non trouvé")</f>
        <v>Non trouvé</v>
      </c>
      <c r="F588" s="8" t="str">
        <f>IFERROR(VLOOKUP(LOG_RESEAU[[#This Row],[Cell_ID]],Registre_Maintenance!A:C,3,FALSE),"Non trouvé")</f>
        <v>Non trouvé</v>
      </c>
      <c r="G588" s="8" t="str">
        <f>IFERROR(VLOOKUP(LOG_RESEAU[[#This Row],[Cell_ID]],Registre_Maintenance!A:D,4,FALSE),"Non trouvé")</f>
        <v>Non trouvé</v>
      </c>
      <c r="H588" s="6" t="str">
        <f>IFERROR(VLOOKUP(LOG_RESEAU[[#This Row],[Cell_ID]],Registre_Maintenance!A:E,5,FALSE),"Non trouvé")</f>
        <v>Non trouvé</v>
      </c>
      <c r="I588" s="6" t="str">
        <f>IFERROR(VLOOKUP(LOG_RESEAU[[#This Row],[Cell_ID]],Registre_Maintenance!A:F,6,FALSE),"Non trouvé")</f>
        <v>Non trouvé</v>
      </c>
      <c r="J588" s="6" t="str">
        <f t="shared" si="27"/>
        <v>Antenne inconnue</v>
      </c>
      <c r="K588" s="6">
        <f t="shared" si="28"/>
        <v>8</v>
      </c>
      <c r="L588" s="6">
        <f t="shared" si="29"/>
        <v>513</v>
      </c>
    </row>
    <row r="589" spans="1:12" ht="15.75" x14ac:dyDescent="0.25">
      <c r="A589" s="6" t="s">
        <v>984</v>
      </c>
      <c r="B589" s="7">
        <v>45213.159722222219</v>
      </c>
      <c r="C589" s="6">
        <v>33</v>
      </c>
      <c r="D589" s="6" t="s">
        <v>792</v>
      </c>
      <c r="E589" s="8" t="str">
        <f>IFERROR(VLOOKUP(LOG_RESEAU[[#This Row],[Cell_ID]],Registre_Maintenance!A:B,2,FALSE),"Non trouvé")</f>
        <v>Non trouvé</v>
      </c>
      <c r="F589" s="8" t="str">
        <f>IFERROR(VLOOKUP(LOG_RESEAU[[#This Row],[Cell_ID]],Registre_Maintenance!A:C,3,FALSE),"Non trouvé")</f>
        <v>Non trouvé</v>
      </c>
      <c r="G589" s="8" t="str">
        <f>IFERROR(VLOOKUP(LOG_RESEAU[[#This Row],[Cell_ID]],Registre_Maintenance!A:D,4,FALSE),"Non trouvé")</f>
        <v>Non trouvé</v>
      </c>
      <c r="H589" s="6" t="str">
        <f>IFERROR(VLOOKUP(LOG_RESEAU[[#This Row],[Cell_ID]],Registre_Maintenance!A:E,5,FALSE),"Non trouvé")</f>
        <v>Non trouvé</v>
      </c>
      <c r="I589" s="6" t="str">
        <f>IFERROR(VLOOKUP(LOG_RESEAU[[#This Row],[Cell_ID]],Registre_Maintenance!A:F,6,FALSE),"Non trouvé")</f>
        <v>Non trouvé</v>
      </c>
      <c r="J589" s="6" t="str">
        <f t="shared" si="27"/>
        <v>Antenne inconnue</v>
      </c>
      <c r="K589" s="6">
        <f t="shared" si="28"/>
        <v>8</v>
      </c>
      <c r="L589" s="6">
        <f t="shared" si="29"/>
        <v>513</v>
      </c>
    </row>
    <row r="590" spans="1:12" ht="15.75" x14ac:dyDescent="0.25">
      <c r="A590" s="6" t="s">
        <v>984</v>
      </c>
      <c r="B590" s="7">
        <v>45227.135416666657</v>
      </c>
      <c r="C590" s="6">
        <v>47</v>
      </c>
      <c r="D590" s="6" t="s">
        <v>800</v>
      </c>
      <c r="E590" s="8" t="str">
        <f>IFERROR(VLOOKUP(LOG_RESEAU[[#This Row],[Cell_ID]],Registre_Maintenance!A:B,2,FALSE),"Non trouvé")</f>
        <v>Non trouvé</v>
      </c>
      <c r="F590" s="8" t="str">
        <f>IFERROR(VLOOKUP(LOG_RESEAU[[#This Row],[Cell_ID]],Registre_Maintenance!A:C,3,FALSE),"Non trouvé")</f>
        <v>Non trouvé</v>
      </c>
      <c r="G590" s="8" t="str">
        <f>IFERROR(VLOOKUP(LOG_RESEAU[[#This Row],[Cell_ID]],Registre_Maintenance!A:D,4,FALSE),"Non trouvé")</f>
        <v>Non trouvé</v>
      </c>
      <c r="H590" s="6" t="str">
        <f>IFERROR(VLOOKUP(LOG_RESEAU[[#This Row],[Cell_ID]],Registre_Maintenance!A:E,5,FALSE),"Non trouvé")</f>
        <v>Non trouvé</v>
      </c>
      <c r="I590" s="6" t="str">
        <f>IFERROR(VLOOKUP(LOG_RESEAU[[#This Row],[Cell_ID]],Registre_Maintenance!A:F,6,FALSE),"Non trouvé")</f>
        <v>Non trouvé</v>
      </c>
      <c r="J590" s="6" t="str">
        <f t="shared" si="27"/>
        <v>Antenne inconnue</v>
      </c>
      <c r="K590" s="6">
        <f t="shared" si="28"/>
        <v>8</v>
      </c>
      <c r="L590" s="6">
        <f t="shared" si="29"/>
        <v>513</v>
      </c>
    </row>
    <row r="591" spans="1:12" ht="15.75" x14ac:dyDescent="0.25">
      <c r="A591" s="6" t="s">
        <v>984</v>
      </c>
      <c r="B591" s="7">
        <v>45207.713888888888</v>
      </c>
      <c r="C591" s="6">
        <v>99</v>
      </c>
      <c r="D591" s="6" t="s">
        <v>800</v>
      </c>
      <c r="E591" s="8" t="str">
        <f>IFERROR(VLOOKUP(LOG_RESEAU[[#This Row],[Cell_ID]],Registre_Maintenance!A:B,2,FALSE),"Non trouvé")</f>
        <v>Non trouvé</v>
      </c>
      <c r="F591" s="8" t="str">
        <f>IFERROR(VLOOKUP(LOG_RESEAU[[#This Row],[Cell_ID]],Registre_Maintenance!A:C,3,FALSE),"Non trouvé")</f>
        <v>Non trouvé</v>
      </c>
      <c r="G591" s="8" t="str">
        <f>IFERROR(VLOOKUP(LOG_RESEAU[[#This Row],[Cell_ID]],Registre_Maintenance!A:D,4,FALSE),"Non trouvé")</f>
        <v>Non trouvé</v>
      </c>
      <c r="H591" s="6" t="str">
        <f>IFERROR(VLOOKUP(LOG_RESEAU[[#This Row],[Cell_ID]],Registre_Maintenance!A:E,5,FALSE),"Non trouvé")</f>
        <v>Non trouvé</v>
      </c>
      <c r="I591" s="6" t="str">
        <f>IFERROR(VLOOKUP(LOG_RESEAU[[#This Row],[Cell_ID]],Registre_Maintenance!A:F,6,FALSE),"Non trouvé")</f>
        <v>Non trouvé</v>
      </c>
      <c r="J591" s="6" t="str">
        <f t="shared" si="27"/>
        <v>Antenne inconnue</v>
      </c>
      <c r="K591" s="6">
        <f t="shared" si="28"/>
        <v>8</v>
      </c>
      <c r="L591" s="6">
        <f t="shared" si="29"/>
        <v>513</v>
      </c>
    </row>
    <row r="592" spans="1:12" ht="15.75" x14ac:dyDescent="0.25">
      <c r="A592" s="6" t="s">
        <v>984</v>
      </c>
      <c r="B592" s="7">
        <v>45226.574305555558</v>
      </c>
      <c r="C592" s="6">
        <v>81</v>
      </c>
      <c r="D592" s="6" t="s">
        <v>800</v>
      </c>
      <c r="E592" s="8" t="str">
        <f>IFERROR(VLOOKUP(LOG_RESEAU[[#This Row],[Cell_ID]],Registre_Maintenance!A:B,2,FALSE),"Non trouvé")</f>
        <v>Non trouvé</v>
      </c>
      <c r="F592" s="8" t="str">
        <f>IFERROR(VLOOKUP(LOG_RESEAU[[#This Row],[Cell_ID]],Registre_Maintenance!A:C,3,FALSE),"Non trouvé")</f>
        <v>Non trouvé</v>
      </c>
      <c r="G592" s="8" t="str">
        <f>IFERROR(VLOOKUP(LOG_RESEAU[[#This Row],[Cell_ID]],Registre_Maintenance!A:D,4,FALSE),"Non trouvé")</f>
        <v>Non trouvé</v>
      </c>
      <c r="H592" s="6" t="str">
        <f>IFERROR(VLOOKUP(LOG_RESEAU[[#This Row],[Cell_ID]],Registre_Maintenance!A:E,5,FALSE),"Non trouvé")</f>
        <v>Non trouvé</v>
      </c>
      <c r="I592" s="6" t="str">
        <f>IFERROR(VLOOKUP(LOG_RESEAU[[#This Row],[Cell_ID]],Registre_Maintenance!A:F,6,FALSE),"Non trouvé")</f>
        <v>Non trouvé</v>
      </c>
      <c r="J592" s="6" t="str">
        <f t="shared" si="27"/>
        <v>Antenne inconnue</v>
      </c>
      <c r="K592" s="6">
        <f t="shared" si="28"/>
        <v>8</v>
      </c>
      <c r="L592" s="6">
        <f t="shared" si="29"/>
        <v>513</v>
      </c>
    </row>
    <row r="593" spans="1:12" ht="15.75" x14ac:dyDescent="0.25">
      <c r="A593" s="6" t="s">
        <v>964</v>
      </c>
      <c r="B593" s="7">
        <v>45218.479166666657</v>
      </c>
      <c r="C593" s="6">
        <v>70</v>
      </c>
      <c r="D593" s="6" t="s">
        <v>800</v>
      </c>
      <c r="E593" s="8" t="str">
        <f>IFERROR(VLOOKUP(LOG_RESEAU[[#This Row],[Cell_ID]],Registre_Maintenance!A:B,2,FALSE),"Non trouvé")</f>
        <v>Haut-Uele</v>
      </c>
      <c r="F593" s="8">
        <f>IFERROR(VLOOKUP(LOG_RESEAU[[#This Row],[Cell_ID]],Registre_Maintenance!A:C,3,FALSE),"Non trouvé")</f>
        <v>-7.8417870000000001</v>
      </c>
      <c r="G593" s="8">
        <f>IFERROR(VLOOKUP(LOG_RESEAU[[#This Row],[Cell_ID]],Registre_Maintenance!A:D,4,FALSE),"Non trouvé")</f>
        <v>14.730712</v>
      </c>
      <c r="H593" s="6" t="str">
        <f>IFERROR(VLOOKUP(LOG_RESEAU[[#This Row],[Cell_ID]],Registre_Maintenance!A:E,5,FALSE),"Non trouvé")</f>
        <v>5G</v>
      </c>
      <c r="I593" s="6" t="str">
        <f>IFERROR(VLOOKUP(LOG_RESEAU[[#This Row],[Cell_ID]],Registre_Maintenance!A:F,6,FALSE),"Non trouvé")</f>
        <v>Nokia</v>
      </c>
      <c r="J593" s="6" t="str">
        <f t="shared" si="27"/>
        <v>OK</v>
      </c>
      <c r="K593" s="6">
        <f t="shared" si="28"/>
        <v>3</v>
      </c>
      <c r="L593" s="6">
        <f t="shared" si="29"/>
        <v>195</v>
      </c>
    </row>
    <row r="594" spans="1:12" ht="15.75" x14ac:dyDescent="0.25">
      <c r="A594" s="6" t="s">
        <v>964</v>
      </c>
      <c r="B594" s="7">
        <v>45220.206944444442</v>
      </c>
      <c r="C594" s="6">
        <v>102</v>
      </c>
      <c r="D594" s="6" t="s">
        <v>792</v>
      </c>
      <c r="E594" s="8" t="str">
        <f>IFERROR(VLOOKUP(LOG_RESEAU[[#This Row],[Cell_ID]],Registre_Maintenance!A:B,2,FALSE),"Non trouvé")</f>
        <v>Haut-Uele</v>
      </c>
      <c r="F594" s="8">
        <f>IFERROR(VLOOKUP(LOG_RESEAU[[#This Row],[Cell_ID]],Registre_Maintenance!A:C,3,FALSE),"Non trouvé")</f>
        <v>-7.8417870000000001</v>
      </c>
      <c r="G594" s="8">
        <f>IFERROR(VLOOKUP(LOG_RESEAU[[#This Row],[Cell_ID]],Registre_Maintenance!A:D,4,FALSE),"Non trouvé")</f>
        <v>14.730712</v>
      </c>
      <c r="H594" s="6" t="str">
        <f>IFERROR(VLOOKUP(LOG_RESEAU[[#This Row],[Cell_ID]],Registre_Maintenance!A:E,5,FALSE),"Non trouvé")</f>
        <v>5G</v>
      </c>
      <c r="I594" s="6" t="str">
        <f>IFERROR(VLOOKUP(LOG_RESEAU[[#This Row],[Cell_ID]],Registre_Maintenance!A:F,6,FALSE),"Non trouvé")</f>
        <v>Nokia</v>
      </c>
      <c r="J594" s="6" t="str">
        <f t="shared" si="27"/>
        <v>OK</v>
      </c>
      <c r="K594" s="6">
        <f t="shared" si="28"/>
        <v>3</v>
      </c>
      <c r="L594" s="6">
        <f t="shared" si="29"/>
        <v>195</v>
      </c>
    </row>
    <row r="595" spans="1:12" ht="15.75" x14ac:dyDescent="0.25">
      <c r="A595" s="6" t="s">
        <v>964</v>
      </c>
      <c r="B595" s="7">
        <v>45211.477083333331</v>
      </c>
      <c r="C595" s="6">
        <v>23</v>
      </c>
      <c r="D595" s="6" t="s">
        <v>792</v>
      </c>
      <c r="E595" s="8" t="str">
        <f>IFERROR(VLOOKUP(LOG_RESEAU[[#This Row],[Cell_ID]],Registre_Maintenance!A:B,2,FALSE),"Non trouvé")</f>
        <v>Haut-Uele</v>
      </c>
      <c r="F595" s="8">
        <f>IFERROR(VLOOKUP(LOG_RESEAU[[#This Row],[Cell_ID]],Registre_Maintenance!A:C,3,FALSE),"Non trouvé")</f>
        <v>-7.8417870000000001</v>
      </c>
      <c r="G595" s="8">
        <f>IFERROR(VLOOKUP(LOG_RESEAU[[#This Row],[Cell_ID]],Registre_Maintenance!A:D,4,FALSE),"Non trouvé")</f>
        <v>14.730712</v>
      </c>
      <c r="H595" s="6" t="str">
        <f>IFERROR(VLOOKUP(LOG_RESEAU[[#This Row],[Cell_ID]],Registre_Maintenance!A:E,5,FALSE),"Non trouvé")</f>
        <v>5G</v>
      </c>
      <c r="I595" s="6" t="str">
        <f>IFERROR(VLOOKUP(LOG_RESEAU[[#This Row],[Cell_ID]],Registre_Maintenance!A:F,6,FALSE),"Non trouvé")</f>
        <v>Nokia</v>
      </c>
      <c r="J595" s="6" t="str">
        <f t="shared" si="27"/>
        <v>OK</v>
      </c>
      <c r="K595" s="6">
        <f t="shared" si="28"/>
        <v>3</v>
      </c>
      <c r="L595" s="6">
        <f t="shared" si="29"/>
        <v>195</v>
      </c>
    </row>
    <row r="596" spans="1:12" ht="15.75" x14ac:dyDescent="0.25">
      <c r="A596" s="6" t="s">
        <v>863</v>
      </c>
      <c r="B596" s="7">
        <v>45229.741666666669</v>
      </c>
      <c r="C596" s="6">
        <v>105</v>
      </c>
      <c r="D596" s="6" t="s">
        <v>792</v>
      </c>
      <c r="E596" s="8" t="str">
        <f>IFERROR(VLOOKUP(LOG_RESEAU[[#This Row],[Cell_ID]],Registre_Maintenance!A:B,2,FALSE),"Non trouvé")</f>
        <v>Non trouvé</v>
      </c>
      <c r="F596" s="8" t="str">
        <f>IFERROR(VLOOKUP(LOG_RESEAU[[#This Row],[Cell_ID]],Registre_Maintenance!A:C,3,FALSE),"Non trouvé")</f>
        <v>Non trouvé</v>
      </c>
      <c r="G596" s="8" t="str">
        <f>IFERROR(VLOOKUP(LOG_RESEAU[[#This Row],[Cell_ID]],Registre_Maintenance!A:D,4,FALSE),"Non trouvé")</f>
        <v>Non trouvé</v>
      </c>
      <c r="H596" s="6" t="str">
        <f>IFERROR(VLOOKUP(LOG_RESEAU[[#This Row],[Cell_ID]],Registre_Maintenance!A:E,5,FALSE),"Non trouvé")</f>
        <v>Non trouvé</v>
      </c>
      <c r="I596" s="6" t="str">
        <f>IFERROR(VLOOKUP(LOG_RESEAU[[#This Row],[Cell_ID]],Registre_Maintenance!A:F,6,FALSE),"Non trouvé")</f>
        <v>Non trouvé</v>
      </c>
      <c r="J596" s="6" t="str">
        <f t="shared" si="27"/>
        <v>Antenne inconnue</v>
      </c>
      <c r="K596" s="6">
        <f t="shared" si="28"/>
        <v>5</v>
      </c>
      <c r="L596" s="6">
        <f t="shared" si="29"/>
        <v>395</v>
      </c>
    </row>
    <row r="597" spans="1:12" ht="15.75" x14ac:dyDescent="0.25">
      <c r="A597" s="6" t="s">
        <v>863</v>
      </c>
      <c r="B597" s="7">
        <v>45223.081944444442</v>
      </c>
      <c r="C597" s="6">
        <v>98</v>
      </c>
      <c r="D597" s="6" t="s">
        <v>792</v>
      </c>
      <c r="E597" s="8" t="str">
        <f>IFERROR(VLOOKUP(LOG_RESEAU[[#This Row],[Cell_ID]],Registre_Maintenance!A:B,2,FALSE),"Non trouvé")</f>
        <v>Non trouvé</v>
      </c>
      <c r="F597" s="8" t="str">
        <f>IFERROR(VLOOKUP(LOG_RESEAU[[#This Row],[Cell_ID]],Registre_Maintenance!A:C,3,FALSE),"Non trouvé")</f>
        <v>Non trouvé</v>
      </c>
      <c r="G597" s="8" t="str">
        <f>IFERROR(VLOOKUP(LOG_RESEAU[[#This Row],[Cell_ID]],Registre_Maintenance!A:D,4,FALSE),"Non trouvé")</f>
        <v>Non trouvé</v>
      </c>
      <c r="H597" s="6" t="str">
        <f>IFERROR(VLOOKUP(LOG_RESEAU[[#This Row],[Cell_ID]],Registre_Maintenance!A:E,5,FALSE),"Non trouvé")</f>
        <v>Non trouvé</v>
      </c>
      <c r="I597" s="6" t="str">
        <f>IFERROR(VLOOKUP(LOG_RESEAU[[#This Row],[Cell_ID]],Registre_Maintenance!A:F,6,FALSE),"Non trouvé")</f>
        <v>Non trouvé</v>
      </c>
      <c r="J597" s="6" t="str">
        <f t="shared" si="27"/>
        <v>Antenne inconnue</v>
      </c>
      <c r="K597" s="6">
        <f t="shared" si="28"/>
        <v>5</v>
      </c>
      <c r="L597" s="6">
        <f t="shared" si="29"/>
        <v>395</v>
      </c>
    </row>
    <row r="598" spans="1:12" ht="15.75" x14ac:dyDescent="0.25">
      <c r="A598" s="6" t="s">
        <v>863</v>
      </c>
      <c r="B598" s="7">
        <v>45207.713888888888</v>
      </c>
      <c r="C598" s="6">
        <v>95</v>
      </c>
      <c r="D598" s="6" t="s">
        <v>792</v>
      </c>
      <c r="E598" s="8" t="str">
        <f>IFERROR(VLOOKUP(LOG_RESEAU[[#This Row],[Cell_ID]],Registre_Maintenance!A:B,2,FALSE),"Non trouvé")</f>
        <v>Non trouvé</v>
      </c>
      <c r="F598" s="8" t="str">
        <f>IFERROR(VLOOKUP(LOG_RESEAU[[#This Row],[Cell_ID]],Registre_Maintenance!A:C,3,FALSE),"Non trouvé")</f>
        <v>Non trouvé</v>
      </c>
      <c r="G598" s="8" t="str">
        <f>IFERROR(VLOOKUP(LOG_RESEAU[[#This Row],[Cell_ID]],Registre_Maintenance!A:D,4,FALSE),"Non trouvé")</f>
        <v>Non trouvé</v>
      </c>
      <c r="H598" s="6" t="str">
        <f>IFERROR(VLOOKUP(LOG_RESEAU[[#This Row],[Cell_ID]],Registre_Maintenance!A:E,5,FALSE),"Non trouvé")</f>
        <v>Non trouvé</v>
      </c>
      <c r="I598" s="6" t="str">
        <f>IFERROR(VLOOKUP(LOG_RESEAU[[#This Row],[Cell_ID]],Registre_Maintenance!A:F,6,FALSE),"Non trouvé")</f>
        <v>Non trouvé</v>
      </c>
      <c r="J598" s="6" t="str">
        <f t="shared" si="27"/>
        <v>Antenne inconnue</v>
      </c>
      <c r="K598" s="6">
        <f t="shared" si="28"/>
        <v>5</v>
      </c>
      <c r="L598" s="6">
        <f t="shared" si="29"/>
        <v>395</v>
      </c>
    </row>
    <row r="599" spans="1:12" ht="15.75" x14ac:dyDescent="0.25">
      <c r="A599" s="6" t="s">
        <v>863</v>
      </c>
      <c r="B599" s="7">
        <v>45230.776388888888</v>
      </c>
      <c r="C599" s="6">
        <v>27</v>
      </c>
      <c r="D599" s="6" t="s">
        <v>792</v>
      </c>
      <c r="E599" s="8" t="str">
        <f>IFERROR(VLOOKUP(LOG_RESEAU[[#This Row],[Cell_ID]],Registre_Maintenance!A:B,2,FALSE),"Non trouvé")</f>
        <v>Non trouvé</v>
      </c>
      <c r="F599" s="8" t="str">
        <f>IFERROR(VLOOKUP(LOG_RESEAU[[#This Row],[Cell_ID]],Registre_Maintenance!A:C,3,FALSE),"Non trouvé")</f>
        <v>Non trouvé</v>
      </c>
      <c r="G599" s="8" t="str">
        <f>IFERROR(VLOOKUP(LOG_RESEAU[[#This Row],[Cell_ID]],Registre_Maintenance!A:D,4,FALSE),"Non trouvé")</f>
        <v>Non trouvé</v>
      </c>
      <c r="H599" s="6" t="str">
        <f>IFERROR(VLOOKUP(LOG_RESEAU[[#This Row],[Cell_ID]],Registre_Maintenance!A:E,5,FALSE),"Non trouvé")</f>
        <v>Non trouvé</v>
      </c>
      <c r="I599" s="6" t="str">
        <f>IFERROR(VLOOKUP(LOG_RESEAU[[#This Row],[Cell_ID]],Registre_Maintenance!A:F,6,FALSE),"Non trouvé")</f>
        <v>Non trouvé</v>
      </c>
      <c r="J599" s="6" t="str">
        <f t="shared" si="27"/>
        <v>Antenne inconnue</v>
      </c>
      <c r="K599" s="6">
        <f t="shared" si="28"/>
        <v>5</v>
      </c>
      <c r="L599" s="6">
        <f t="shared" si="29"/>
        <v>395</v>
      </c>
    </row>
    <row r="600" spans="1:12" ht="15.75" x14ac:dyDescent="0.25">
      <c r="A600" s="6" t="s">
        <v>863</v>
      </c>
      <c r="B600" s="7">
        <v>45220.15902777778</v>
      </c>
      <c r="C600" s="6">
        <v>70</v>
      </c>
      <c r="D600" s="6" t="s">
        <v>792</v>
      </c>
      <c r="E600" s="8" t="str">
        <f>IFERROR(VLOOKUP(LOG_RESEAU[[#This Row],[Cell_ID]],Registre_Maintenance!A:B,2,FALSE),"Non trouvé")</f>
        <v>Non trouvé</v>
      </c>
      <c r="F600" s="8" t="str">
        <f>IFERROR(VLOOKUP(LOG_RESEAU[[#This Row],[Cell_ID]],Registre_Maintenance!A:C,3,FALSE),"Non trouvé")</f>
        <v>Non trouvé</v>
      </c>
      <c r="G600" s="8" t="str">
        <f>IFERROR(VLOOKUP(LOG_RESEAU[[#This Row],[Cell_ID]],Registre_Maintenance!A:D,4,FALSE),"Non trouvé")</f>
        <v>Non trouvé</v>
      </c>
      <c r="H600" s="6" t="str">
        <f>IFERROR(VLOOKUP(LOG_RESEAU[[#This Row],[Cell_ID]],Registre_Maintenance!A:E,5,FALSE),"Non trouvé")</f>
        <v>Non trouvé</v>
      </c>
      <c r="I600" s="6" t="str">
        <f>IFERROR(VLOOKUP(LOG_RESEAU[[#This Row],[Cell_ID]],Registre_Maintenance!A:F,6,FALSE),"Non trouvé")</f>
        <v>Non trouvé</v>
      </c>
      <c r="J600" s="6" t="str">
        <f t="shared" si="27"/>
        <v>Antenne inconnue</v>
      </c>
      <c r="K600" s="6">
        <f t="shared" si="28"/>
        <v>5</v>
      </c>
      <c r="L600" s="6">
        <f t="shared" si="29"/>
        <v>395</v>
      </c>
    </row>
    <row r="601" spans="1:12" ht="15.75" x14ac:dyDescent="0.25">
      <c r="A601" s="6" t="s">
        <v>986</v>
      </c>
      <c r="B601" s="7">
        <v>45229.929166666669</v>
      </c>
      <c r="C601" s="6">
        <v>48</v>
      </c>
      <c r="D601" s="6" t="s">
        <v>792</v>
      </c>
      <c r="E601" s="8" t="str">
        <f>IFERROR(VLOOKUP(LOG_RESEAU[[#This Row],[Cell_ID]],Registre_Maintenance!A:B,2,FALSE),"Non trouvé")</f>
        <v>Non trouvé</v>
      </c>
      <c r="F601" s="8" t="str">
        <f>IFERROR(VLOOKUP(LOG_RESEAU[[#This Row],[Cell_ID]],Registre_Maintenance!A:C,3,FALSE),"Non trouvé")</f>
        <v>Non trouvé</v>
      </c>
      <c r="G601" s="8" t="str">
        <f>IFERROR(VLOOKUP(LOG_RESEAU[[#This Row],[Cell_ID]],Registre_Maintenance!A:D,4,FALSE),"Non trouvé")</f>
        <v>Non trouvé</v>
      </c>
      <c r="H601" s="6" t="str">
        <f>IFERROR(VLOOKUP(LOG_RESEAU[[#This Row],[Cell_ID]],Registre_Maintenance!A:E,5,FALSE),"Non trouvé")</f>
        <v>Non trouvé</v>
      </c>
      <c r="I601" s="6" t="str">
        <f>IFERROR(VLOOKUP(LOG_RESEAU[[#This Row],[Cell_ID]],Registre_Maintenance!A:F,6,FALSE),"Non trouvé")</f>
        <v>Non trouvé</v>
      </c>
      <c r="J601" s="6" t="str">
        <f t="shared" si="27"/>
        <v>Antenne inconnue</v>
      </c>
      <c r="K601" s="6">
        <f t="shared" si="28"/>
        <v>2</v>
      </c>
      <c r="L601" s="6">
        <f t="shared" si="29"/>
        <v>120</v>
      </c>
    </row>
    <row r="602" spans="1:12" ht="15.75" x14ac:dyDescent="0.25">
      <c r="A602" s="6" t="s">
        <v>986</v>
      </c>
      <c r="B602" s="7">
        <v>45212.682638888888</v>
      </c>
      <c r="C602" s="6">
        <v>72</v>
      </c>
      <c r="D602" s="6" t="s">
        <v>794</v>
      </c>
      <c r="E602" s="8" t="str">
        <f>IFERROR(VLOOKUP(LOG_RESEAU[[#This Row],[Cell_ID]],Registre_Maintenance!A:B,2,FALSE),"Non trouvé")</f>
        <v>Non trouvé</v>
      </c>
      <c r="F602" s="8" t="str">
        <f>IFERROR(VLOOKUP(LOG_RESEAU[[#This Row],[Cell_ID]],Registre_Maintenance!A:C,3,FALSE),"Non trouvé")</f>
        <v>Non trouvé</v>
      </c>
      <c r="G602" s="8" t="str">
        <f>IFERROR(VLOOKUP(LOG_RESEAU[[#This Row],[Cell_ID]],Registre_Maintenance!A:D,4,FALSE),"Non trouvé")</f>
        <v>Non trouvé</v>
      </c>
      <c r="H602" s="6" t="str">
        <f>IFERROR(VLOOKUP(LOG_RESEAU[[#This Row],[Cell_ID]],Registre_Maintenance!A:E,5,FALSE),"Non trouvé")</f>
        <v>Non trouvé</v>
      </c>
      <c r="I602" s="6" t="str">
        <f>IFERROR(VLOOKUP(LOG_RESEAU[[#This Row],[Cell_ID]],Registre_Maintenance!A:F,6,FALSE),"Non trouvé")</f>
        <v>Non trouvé</v>
      </c>
      <c r="J602" s="6" t="str">
        <f t="shared" si="27"/>
        <v>Antenne inconnue</v>
      </c>
      <c r="K602" s="6">
        <f t="shared" si="28"/>
        <v>2</v>
      </c>
      <c r="L602" s="6">
        <f t="shared" si="29"/>
        <v>120</v>
      </c>
    </row>
    <row r="603" spans="1:12" ht="15.75" x14ac:dyDescent="0.25">
      <c r="A603" s="6" t="s">
        <v>820</v>
      </c>
      <c r="B603" s="7">
        <v>45227.329861111109</v>
      </c>
      <c r="C603" s="6">
        <v>28</v>
      </c>
      <c r="D603" s="6" t="s">
        <v>800</v>
      </c>
      <c r="E603" s="8" t="str">
        <f>IFERROR(VLOOKUP(LOG_RESEAU[[#This Row],[Cell_ID]],Registre_Maintenance!A:B,2,FALSE),"Non trouvé")</f>
        <v>Non trouvé</v>
      </c>
      <c r="F603" s="8" t="str">
        <f>IFERROR(VLOOKUP(LOG_RESEAU[[#This Row],[Cell_ID]],Registre_Maintenance!A:C,3,FALSE),"Non trouvé")</f>
        <v>Non trouvé</v>
      </c>
      <c r="G603" s="8" t="str">
        <f>IFERROR(VLOOKUP(LOG_RESEAU[[#This Row],[Cell_ID]],Registre_Maintenance!A:D,4,FALSE),"Non trouvé")</f>
        <v>Non trouvé</v>
      </c>
      <c r="H603" s="6" t="str">
        <f>IFERROR(VLOOKUP(LOG_RESEAU[[#This Row],[Cell_ID]],Registre_Maintenance!A:E,5,FALSE),"Non trouvé")</f>
        <v>Non trouvé</v>
      </c>
      <c r="I603" s="6" t="str">
        <f>IFERROR(VLOOKUP(LOG_RESEAU[[#This Row],[Cell_ID]],Registre_Maintenance!A:F,6,FALSE),"Non trouvé")</f>
        <v>Non trouvé</v>
      </c>
      <c r="J603" s="6" t="str">
        <f t="shared" si="27"/>
        <v>Antenne inconnue</v>
      </c>
      <c r="K603" s="6">
        <f t="shared" si="28"/>
        <v>7</v>
      </c>
      <c r="L603" s="6">
        <f t="shared" si="29"/>
        <v>361</v>
      </c>
    </row>
    <row r="604" spans="1:12" ht="15.75" x14ac:dyDescent="0.25">
      <c r="A604" s="6" t="s">
        <v>820</v>
      </c>
      <c r="B604" s="7">
        <v>45226.385416666657</v>
      </c>
      <c r="C604" s="6">
        <v>107</v>
      </c>
      <c r="D604" s="6" t="s">
        <v>800</v>
      </c>
      <c r="E604" s="8" t="str">
        <f>IFERROR(VLOOKUP(LOG_RESEAU[[#This Row],[Cell_ID]],Registre_Maintenance!A:B,2,FALSE),"Non trouvé")</f>
        <v>Non trouvé</v>
      </c>
      <c r="F604" s="8" t="str">
        <f>IFERROR(VLOOKUP(LOG_RESEAU[[#This Row],[Cell_ID]],Registre_Maintenance!A:C,3,FALSE),"Non trouvé")</f>
        <v>Non trouvé</v>
      </c>
      <c r="G604" s="8" t="str">
        <f>IFERROR(VLOOKUP(LOG_RESEAU[[#This Row],[Cell_ID]],Registre_Maintenance!A:D,4,FALSE),"Non trouvé")</f>
        <v>Non trouvé</v>
      </c>
      <c r="H604" s="6" t="str">
        <f>IFERROR(VLOOKUP(LOG_RESEAU[[#This Row],[Cell_ID]],Registre_Maintenance!A:E,5,FALSE),"Non trouvé")</f>
        <v>Non trouvé</v>
      </c>
      <c r="I604" s="6" t="str">
        <f>IFERROR(VLOOKUP(LOG_RESEAU[[#This Row],[Cell_ID]],Registre_Maintenance!A:F,6,FALSE),"Non trouvé")</f>
        <v>Non trouvé</v>
      </c>
      <c r="J604" s="6" t="str">
        <f t="shared" si="27"/>
        <v>Antenne inconnue</v>
      </c>
      <c r="K604" s="6">
        <f t="shared" si="28"/>
        <v>7</v>
      </c>
      <c r="L604" s="6">
        <f t="shared" si="29"/>
        <v>361</v>
      </c>
    </row>
    <row r="605" spans="1:12" ht="15.75" x14ac:dyDescent="0.25">
      <c r="A605" s="6" t="s">
        <v>820</v>
      </c>
      <c r="B605" s="7">
        <v>45229.678472222222</v>
      </c>
      <c r="C605" s="6">
        <v>65</v>
      </c>
      <c r="D605" s="6" t="s">
        <v>794</v>
      </c>
      <c r="E605" s="8" t="str">
        <f>IFERROR(VLOOKUP(LOG_RESEAU[[#This Row],[Cell_ID]],Registre_Maintenance!A:B,2,FALSE),"Non trouvé")</f>
        <v>Non trouvé</v>
      </c>
      <c r="F605" s="8" t="str">
        <f>IFERROR(VLOOKUP(LOG_RESEAU[[#This Row],[Cell_ID]],Registre_Maintenance!A:C,3,FALSE),"Non trouvé")</f>
        <v>Non trouvé</v>
      </c>
      <c r="G605" s="8" t="str">
        <f>IFERROR(VLOOKUP(LOG_RESEAU[[#This Row],[Cell_ID]],Registre_Maintenance!A:D,4,FALSE),"Non trouvé")</f>
        <v>Non trouvé</v>
      </c>
      <c r="H605" s="6" t="str">
        <f>IFERROR(VLOOKUP(LOG_RESEAU[[#This Row],[Cell_ID]],Registre_Maintenance!A:E,5,FALSE),"Non trouvé")</f>
        <v>Non trouvé</v>
      </c>
      <c r="I605" s="6" t="str">
        <f>IFERROR(VLOOKUP(LOG_RESEAU[[#This Row],[Cell_ID]],Registre_Maintenance!A:F,6,FALSE),"Non trouvé")</f>
        <v>Non trouvé</v>
      </c>
      <c r="J605" s="6" t="str">
        <f t="shared" si="27"/>
        <v>Antenne inconnue</v>
      </c>
      <c r="K605" s="6">
        <f t="shared" si="28"/>
        <v>7</v>
      </c>
      <c r="L605" s="6">
        <f t="shared" si="29"/>
        <v>361</v>
      </c>
    </row>
    <row r="606" spans="1:12" ht="15.75" x14ac:dyDescent="0.25">
      <c r="A606" s="6" t="s">
        <v>820</v>
      </c>
      <c r="B606" s="7">
        <v>45201.427083333343</v>
      </c>
      <c r="C606" s="6">
        <v>49</v>
      </c>
      <c r="D606" s="6" t="s">
        <v>794</v>
      </c>
      <c r="E606" s="8" t="str">
        <f>IFERROR(VLOOKUP(LOG_RESEAU[[#This Row],[Cell_ID]],Registre_Maintenance!A:B,2,FALSE),"Non trouvé")</f>
        <v>Non trouvé</v>
      </c>
      <c r="F606" s="8" t="str">
        <f>IFERROR(VLOOKUP(LOG_RESEAU[[#This Row],[Cell_ID]],Registre_Maintenance!A:C,3,FALSE),"Non trouvé")</f>
        <v>Non trouvé</v>
      </c>
      <c r="G606" s="8" t="str">
        <f>IFERROR(VLOOKUP(LOG_RESEAU[[#This Row],[Cell_ID]],Registre_Maintenance!A:D,4,FALSE),"Non trouvé")</f>
        <v>Non trouvé</v>
      </c>
      <c r="H606" s="6" t="str">
        <f>IFERROR(VLOOKUP(LOG_RESEAU[[#This Row],[Cell_ID]],Registre_Maintenance!A:E,5,FALSE),"Non trouvé")</f>
        <v>Non trouvé</v>
      </c>
      <c r="I606" s="6" t="str">
        <f>IFERROR(VLOOKUP(LOG_RESEAU[[#This Row],[Cell_ID]],Registre_Maintenance!A:F,6,FALSE),"Non trouvé")</f>
        <v>Non trouvé</v>
      </c>
      <c r="J606" s="6" t="str">
        <f t="shared" si="27"/>
        <v>Antenne inconnue</v>
      </c>
      <c r="K606" s="6">
        <f t="shared" si="28"/>
        <v>7</v>
      </c>
      <c r="L606" s="6">
        <f t="shared" si="29"/>
        <v>361</v>
      </c>
    </row>
    <row r="607" spans="1:12" ht="15.75" x14ac:dyDescent="0.25">
      <c r="A607" s="6" t="s">
        <v>820</v>
      </c>
      <c r="B607" s="7">
        <v>45223.493750000001</v>
      </c>
      <c r="C607" s="6">
        <v>75</v>
      </c>
      <c r="D607" s="6" t="s">
        <v>800</v>
      </c>
      <c r="E607" s="8" t="str">
        <f>IFERROR(VLOOKUP(LOG_RESEAU[[#This Row],[Cell_ID]],Registre_Maintenance!A:B,2,FALSE),"Non trouvé")</f>
        <v>Non trouvé</v>
      </c>
      <c r="F607" s="8" t="str">
        <f>IFERROR(VLOOKUP(LOG_RESEAU[[#This Row],[Cell_ID]],Registre_Maintenance!A:C,3,FALSE),"Non trouvé")</f>
        <v>Non trouvé</v>
      </c>
      <c r="G607" s="8" t="str">
        <f>IFERROR(VLOOKUP(LOG_RESEAU[[#This Row],[Cell_ID]],Registre_Maintenance!A:D,4,FALSE),"Non trouvé")</f>
        <v>Non trouvé</v>
      </c>
      <c r="H607" s="6" t="str">
        <f>IFERROR(VLOOKUP(LOG_RESEAU[[#This Row],[Cell_ID]],Registre_Maintenance!A:E,5,FALSE),"Non trouvé")</f>
        <v>Non trouvé</v>
      </c>
      <c r="I607" s="6" t="str">
        <f>IFERROR(VLOOKUP(LOG_RESEAU[[#This Row],[Cell_ID]],Registre_Maintenance!A:F,6,FALSE),"Non trouvé")</f>
        <v>Non trouvé</v>
      </c>
      <c r="J607" s="6" t="str">
        <f t="shared" si="27"/>
        <v>Antenne inconnue</v>
      </c>
      <c r="K607" s="6">
        <f t="shared" si="28"/>
        <v>7</v>
      </c>
      <c r="L607" s="6">
        <f t="shared" si="29"/>
        <v>361</v>
      </c>
    </row>
    <row r="608" spans="1:12" ht="15.75" x14ac:dyDescent="0.25">
      <c r="A608" s="6" t="s">
        <v>820</v>
      </c>
      <c r="B608" s="7">
        <v>45205.599999999999</v>
      </c>
      <c r="C608" s="6">
        <v>19</v>
      </c>
      <c r="D608" s="6" t="s">
        <v>800</v>
      </c>
      <c r="E608" s="8" t="str">
        <f>IFERROR(VLOOKUP(LOG_RESEAU[[#This Row],[Cell_ID]],Registre_Maintenance!A:B,2,FALSE),"Non trouvé")</f>
        <v>Non trouvé</v>
      </c>
      <c r="F608" s="8" t="str">
        <f>IFERROR(VLOOKUP(LOG_RESEAU[[#This Row],[Cell_ID]],Registre_Maintenance!A:C,3,FALSE),"Non trouvé")</f>
        <v>Non trouvé</v>
      </c>
      <c r="G608" s="8" t="str">
        <f>IFERROR(VLOOKUP(LOG_RESEAU[[#This Row],[Cell_ID]],Registre_Maintenance!A:D,4,FALSE),"Non trouvé")</f>
        <v>Non trouvé</v>
      </c>
      <c r="H608" s="6" t="str">
        <f>IFERROR(VLOOKUP(LOG_RESEAU[[#This Row],[Cell_ID]],Registre_Maintenance!A:E,5,FALSE),"Non trouvé")</f>
        <v>Non trouvé</v>
      </c>
      <c r="I608" s="6" t="str">
        <f>IFERROR(VLOOKUP(LOG_RESEAU[[#This Row],[Cell_ID]],Registre_Maintenance!A:F,6,FALSE),"Non trouvé")</f>
        <v>Non trouvé</v>
      </c>
      <c r="J608" s="6" t="str">
        <f t="shared" si="27"/>
        <v>Antenne inconnue</v>
      </c>
      <c r="K608" s="6">
        <f t="shared" si="28"/>
        <v>7</v>
      </c>
      <c r="L608" s="6">
        <f t="shared" si="29"/>
        <v>361</v>
      </c>
    </row>
    <row r="609" spans="1:12" ht="15.75" x14ac:dyDescent="0.25">
      <c r="A609" s="6" t="s">
        <v>820</v>
      </c>
      <c r="B609" s="7">
        <v>45201.770833333343</v>
      </c>
      <c r="C609" s="6">
        <v>18</v>
      </c>
      <c r="D609" s="6" t="s">
        <v>792</v>
      </c>
      <c r="E609" s="8" t="str">
        <f>IFERROR(VLOOKUP(LOG_RESEAU[[#This Row],[Cell_ID]],Registre_Maintenance!A:B,2,FALSE),"Non trouvé")</f>
        <v>Non trouvé</v>
      </c>
      <c r="F609" s="8" t="str">
        <f>IFERROR(VLOOKUP(LOG_RESEAU[[#This Row],[Cell_ID]],Registre_Maintenance!A:C,3,FALSE),"Non trouvé")</f>
        <v>Non trouvé</v>
      </c>
      <c r="G609" s="8" t="str">
        <f>IFERROR(VLOOKUP(LOG_RESEAU[[#This Row],[Cell_ID]],Registre_Maintenance!A:D,4,FALSE),"Non trouvé")</f>
        <v>Non trouvé</v>
      </c>
      <c r="H609" s="6" t="str">
        <f>IFERROR(VLOOKUP(LOG_RESEAU[[#This Row],[Cell_ID]],Registre_Maintenance!A:E,5,FALSE),"Non trouvé")</f>
        <v>Non trouvé</v>
      </c>
      <c r="I609" s="6" t="str">
        <f>IFERROR(VLOOKUP(LOG_RESEAU[[#This Row],[Cell_ID]],Registre_Maintenance!A:F,6,FALSE),"Non trouvé")</f>
        <v>Non trouvé</v>
      </c>
      <c r="J609" s="6" t="str">
        <f t="shared" si="27"/>
        <v>Antenne inconnue</v>
      </c>
      <c r="K609" s="6">
        <f t="shared" si="28"/>
        <v>7</v>
      </c>
      <c r="L609" s="6">
        <f t="shared" si="29"/>
        <v>361</v>
      </c>
    </row>
    <row r="610" spans="1:12" ht="15.75" x14ac:dyDescent="0.25">
      <c r="A610" s="6" t="s">
        <v>900</v>
      </c>
      <c r="B610" s="7">
        <v>45203.157638888893</v>
      </c>
      <c r="C610" s="6">
        <v>25</v>
      </c>
      <c r="D610" s="6" t="s">
        <v>800</v>
      </c>
      <c r="E610" s="8" t="str">
        <f>IFERROR(VLOOKUP(LOG_RESEAU[[#This Row],[Cell_ID]],Registre_Maintenance!A:B,2,FALSE),"Non trouvé")</f>
        <v>Non trouvé</v>
      </c>
      <c r="F610" s="8" t="str">
        <f>IFERROR(VLOOKUP(LOG_RESEAU[[#This Row],[Cell_ID]],Registre_Maintenance!A:C,3,FALSE),"Non trouvé")</f>
        <v>Non trouvé</v>
      </c>
      <c r="G610" s="8" t="str">
        <f>IFERROR(VLOOKUP(LOG_RESEAU[[#This Row],[Cell_ID]],Registre_Maintenance!A:D,4,FALSE),"Non trouvé")</f>
        <v>Non trouvé</v>
      </c>
      <c r="H610" s="6" t="str">
        <f>IFERROR(VLOOKUP(LOG_RESEAU[[#This Row],[Cell_ID]],Registre_Maintenance!A:E,5,FALSE),"Non trouvé")</f>
        <v>Non trouvé</v>
      </c>
      <c r="I610" s="6" t="str">
        <f>IFERROR(VLOOKUP(LOG_RESEAU[[#This Row],[Cell_ID]],Registre_Maintenance!A:F,6,FALSE),"Non trouvé")</f>
        <v>Non trouvé</v>
      </c>
      <c r="J610" s="6" t="str">
        <f t="shared" si="27"/>
        <v>Antenne inconnue</v>
      </c>
      <c r="K610" s="6">
        <f t="shared" si="28"/>
        <v>9</v>
      </c>
      <c r="L610" s="6">
        <f t="shared" si="29"/>
        <v>552</v>
      </c>
    </row>
    <row r="611" spans="1:12" ht="15.75" x14ac:dyDescent="0.25">
      <c r="A611" s="6" t="s">
        <v>900</v>
      </c>
      <c r="B611" s="7">
        <v>45227.775694444441</v>
      </c>
      <c r="C611" s="6">
        <v>76</v>
      </c>
      <c r="D611" s="6" t="s">
        <v>794</v>
      </c>
      <c r="E611" s="8" t="str">
        <f>IFERROR(VLOOKUP(LOG_RESEAU[[#This Row],[Cell_ID]],Registre_Maintenance!A:B,2,FALSE),"Non trouvé")</f>
        <v>Non trouvé</v>
      </c>
      <c r="F611" s="8" t="str">
        <f>IFERROR(VLOOKUP(LOG_RESEAU[[#This Row],[Cell_ID]],Registre_Maintenance!A:C,3,FALSE),"Non trouvé")</f>
        <v>Non trouvé</v>
      </c>
      <c r="G611" s="8" t="str">
        <f>IFERROR(VLOOKUP(LOG_RESEAU[[#This Row],[Cell_ID]],Registre_Maintenance!A:D,4,FALSE),"Non trouvé")</f>
        <v>Non trouvé</v>
      </c>
      <c r="H611" s="6" t="str">
        <f>IFERROR(VLOOKUP(LOG_RESEAU[[#This Row],[Cell_ID]],Registre_Maintenance!A:E,5,FALSE),"Non trouvé")</f>
        <v>Non trouvé</v>
      </c>
      <c r="I611" s="6" t="str">
        <f>IFERROR(VLOOKUP(LOG_RESEAU[[#This Row],[Cell_ID]],Registre_Maintenance!A:F,6,FALSE),"Non trouvé")</f>
        <v>Non trouvé</v>
      </c>
      <c r="J611" s="6" t="str">
        <f t="shared" si="27"/>
        <v>Antenne inconnue</v>
      </c>
      <c r="K611" s="6">
        <f t="shared" si="28"/>
        <v>9</v>
      </c>
      <c r="L611" s="6">
        <f t="shared" si="29"/>
        <v>552</v>
      </c>
    </row>
    <row r="612" spans="1:12" ht="15.75" x14ac:dyDescent="0.25">
      <c r="A612" s="6" t="s">
        <v>900</v>
      </c>
      <c r="B612" s="7">
        <v>45221.095138888893</v>
      </c>
      <c r="C612" s="6">
        <v>55</v>
      </c>
      <c r="D612" s="6" t="s">
        <v>794</v>
      </c>
      <c r="E612" s="8" t="str">
        <f>IFERROR(VLOOKUP(LOG_RESEAU[[#This Row],[Cell_ID]],Registre_Maintenance!A:B,2,FALSE),"Non trouvé")</f>
        <v>Non trouvé</v>
      </c>
      <c r="F612" s="8" t="str">
        <f>IFERROR(VLOOKUP(LOG_RESEAU[[#This Row],[Cell_ID]],Registre_Maintenance!A:C,3,FALSE),"Non trouvé")</f>
        <v>Non trouvé</v>
      </c>
      <c r="G612" s="8" t="str">
        <f>IFERROR(VLOOKUP(LOG_RESEAU[[#This Row],[Cell_ID]],Registre_Maintenance!A:D,4,FALSE),"Non trouvé")</f>
        <v>Non trouvé</v>
      </c>
      <c r="H612" s="6" t="str">
        <f>IFERROR(VLOOKUP(LOG_RESEAU[[#This Row],[Cell_ID]],Registre_Maintenance!A:E,5,FALSE),"Non trouvé")</f>
        <v>Non trouvé</v>
      </c>
      <c r="I612" s="6" t="str">
        <f>IFERROR(VLOOKUP(LOG_RESEAU[[#This Row],[Cell_ID]],Registre_Maintenance!A:F,6,FALSE),"Non trouvé")</f>
        <v>Non trouvé</v>
      </c>
      <c r="J612" s="6" t="str">
        <f t="shared" si="27"/>
        <v>Antenne inconnue</v>
      </c>
      <c r="K612" s="6">
        <f t="shared" si="28"/>
        <v>9</v>
      </c>
      <c r="L612" s="6">
        <f t="shared" si="29"/>
        <v>552</v>
      </c>
    </row>
    <row r="613" spans="1:12" ht="15.75" x14ac:dyDescent="0.25">
      <c r="A613" s="6" t="s">
        <v>900</v>
      </c>
      <c r="B613" s="7">
        <v>45216.838194444441</v>
      </c>
      <c r="C613" s="6">
        <v>96</v>
      </c>
      <c r="D613" s="6" t="s">
        <v>792</v>
      </c>
      <c r="E613" s="8" t="str">
        <f>IFERROR(VLOOKUP(LOG_RESEAU[[#This Row],[Cell_ID]],Registre_Maintenance!A:B,2,FALSE),"Non trouvé")</f>
        <v>Non trouvé</v>
      </c>
      <c r="F613" s="8" t="str">
        <f>IFERROR(VLOOKUP(LOG_RESEAU[[#This Row],[Cell_ID]],Registre_Maintenance!A:C,3,FALSE),"Non trouvé")</f>
        <v>Non trouvé</v>
      </c>
      <c r="G613" s="8" t="str">
        <f>IFERROR(VLOOKUP(LOG_RESEAU[[#This Row],[Cell_ID]],Registre_Maintenance!A:D,4,FALSE),"Non trouvé")</f>
        <v>Non trouvé</v>
      </c>
      <c r="H613" s="6" t="str">
        <f>IFERROR(VLOOKUP(LOG_RESEAU[[#This Row],[Cell_ID]],Registre_Maintenance!A:E,5,FALSE),"Non trouvé")</f>
        <v>Non trouvé</v>
      </c>
      <c r="I613" s="6" t="str">
        <f>IFERROR(VLOOKUP(LOG_RESEAU[[#This Row],[Cell_ID]],Registre_Maintenance!A:F,6,FALSE),"Non trouvé")</f>
        <v>Non trouvé</v>
      </c>
      <c r="J613" s="6" t="str">
        <f t="shared" si="27"/>
        <v>Antenne inconnue</v>
      </c>
      <c r="K613" s="6">
        <f t="shared" si="28"/>
        <v>9</v>
      </c>
      <c r="L613" s="6">
        <f t="shared" si="29"/>
        <v>552</v>
      </c>
    </row>
    <row r="614" spans="1:12" ht="15.75" x14ac:dyDescent="0.25">
      <c r="A614" s="6" t="s">
        <v>900</v>
      </c>
      <c r="B614" s="7">
        <v>45225.664583333331</v>
      </c>
      <c r="C614" s="6">
        <v>58</v>
      </c>
      <c r="D614" s="6" t="s">
        <v>792</v>
      </c>
      <c r="E614" s="8" t="str">
        <f>IFERROR(VLOOKUP(LOG_RESEAU[[#This Row],[Cell_ID]],Registre_Maintenance!A:B,2,FALSE),"Non trouvé")</f>
        <v>Non trouvé</v>
      </c>
      <c r="F614" s="8" t="str">
        <f>IFERROR(VLOOKUP(LOG_RESEAU[[#This Row],[Cell_ID]],Registre_Maintenance!A:C,3,FALSE),"Non trouvé")</f>
        <v>Non trouvé</v>
      </c>
      <c r="G614" s="8" t="str">
        <f>IFERROR(VLOOKUP(LOG_RESEAU[[#This Row],[Cell_ID]],Registre_Maintenance!A:D,4,FALSE),"Non trouvé")</f>
        <v>Non trouvé</v>
      </c>
      <c r="H614" s="6" t="str">
        <f>IFERROR(VLOOKUP(LOG_RESEAU[[#This Row],[Cell_ID]],Registre_Maintenance!A:E,5,FALSE),"Non trouvé")</f>
        <v>Non trouvé</v>
      </c>
      <c r="I614" s="6" t="str">
        <f>IFERROR(VLOOKUP(LOG_RESEAU[[#This Row],[Cell_ID]],Registre_Maintenance!A:F,6,FALSE),"Non trouvé")</f>
        <v>Non trouvé</v>
      </c>
      <c r="J614" s="6" t="str">
        <f t="shared" si="27"/>
        <v>Antenne inconnue</v>
      </c>
      <c r="K614" s="6">
        <f t="shared" si="28"/>
        <v>9</v>
      </c>
      <c r="L614" s="6">
        <f t="shared" si="29"/>
        <v>552</v>
      </c>
    </row>
    <row r="615" spans="1:12" ht="15.75" x14ac:dyDescent="0.25">
      <c r="A615" s="6" t="s">
        <v>900</v>
      </c>
      <c r="B615" s="7">
        <v>45201.457638888889</v>
      </c>
      <c r="C615" s="6">
        <v>7</v>
      </c>
      <c r="D615" s="6" t="s">
        <v>794</v>
      </c>
      <c r="E615" s="8" t="str">
        <f>IFERROR(VLOOKUP(LOG_RESEAU[[#This Row],[Cell_ID]],Registre_Maintenance!A:B,2,FALSE),"Non trouvé")</f>
        <v>Non trouvé</v>
      </c>
      <c r="F615" s="8" t="str">
        <f>IFERROR(VLOOKUP(LOG_RESEAU[[#This Row],[Cell_ID]],Registre_Maintenance!A:C,3,FALSE),"Non trouvé")</f>
        <v>Non trouvé</v>
      </c>
      <c r="G615" s="8" t="str">
        <f>IFERROR(VLOOKUP(LOG_RESEAU[[#This Row],[Cell_ID]],Registre_Maintenance!A:D,4,FALSE),"Non trouvé")</f>
        <v>Non trouvé</v>
      </c>
      <c r="H615" s="6" t="str">
        <f>IFERROR(VLOOKUP(LOG_RESEAU[[#This Row],[Cell_ID]],Registre_Maintenance!A:E,5,FALSE),"Non trouvé")</f>
        <v>Non trouvé</v>
      </c>
      <c r="I615" s="6" t="str">
        <f>IFERROR(VLOOKUP(LOG_RESEAU[[#This Row],[Cell_ID]],Registre_Maintenance!A:F,6,FALSE),"Non trouvé")</f>
        <v>Non trouvé</v>
      </c>
      <c r="J615" s="6" t="str">
        <f t="shared" si="27"/>
        <v>Antenne inconnue</v>
      </c>
      <c r="K615" s="6">
        <f t="shared" si="28"/>
        <v>9</v>
      </c>
      <c r="L615" s="6">
        <f t="shared" si="29"/>
        <v>552</v>
      </c>
    </row>
    <row r="616" spans="1:12" hidden="1" x14ac:dyDescent="0.25">
      <c r="A616" s="2"/>
      <c r="B616" s="2">
        <v>45221.146527777782</v>
      </c>
      <c r="C616" s="2">
        <v>83</v>
      </c>
      <c r="D616" s="2" t="s">
        <v>792</v>
      </c>
      <c r="E616" s="3" t="str">
        <f>IFERROR(VLOOKUP(LOG_RESEAU[[#This Row],[Cell_ID]],Registre_Maintenance!A:B,2,FALSE),"Non trouvé")</f>
        <v>Non trouvé</v>
      </c>
      <c r="F616" s="3" t="str">
        <f>IFERROR(VLOOKUP(LOG_RESEAU[[#This Row],[Cell_ID]],Registre_Maintenance!A:C,3,FALSE),"Non trouvé")</f>
        <v>Non trouvé</v>
      </c>
      <c r="G616" s="3" t="str">
        <f>IFERROR(VLOOKUP(LOG_RESEAU[[#This Row],[Cell_ID]],Registre_Maintenance!A:D,4,FALSE),"Non trouvé")</f>
        <v>Non trouvé</v>
      </c>
      <c r="H616" s="2" t="str">
        <f>IFERROR(VLOOKUP(LOG_RESEAU[[#This Row],[Cell_ID]],Registre_Maintenance!A:E,5,FALSE),"Non trouvé")</f>
        <v>Non trouvé</v>
      </c>
      <c r="I616" s="2" t="str">
        <f>IFERROR(VLOOKUP(LOG_RESEAU[[#This Row],[Cell_ID]],Registre_Maintenance!A:F,6,FALSE),"Non trouvé")</f>
        <v>Non trouvé</v>
      </c>
      <c r="J616" s="2" t="str">
        <f t="shared" si="27"/>
        <v>Antenne inconnue</v>
      </c>
      <c r="K616" s="2">
        <f t="shared" si="28"/>
        <v>0</v>
      </c>
      <c r="L616" s="2">
        <f t="shared" si="29"/>
        <v>0</v>
      </c>
    </row>
    <row r="617" spans="1:12" ht="15.75" x14ac:dyDescent="0.25">
      <c r="A617" s="6" t="s">
        <v>900</v>
      </c>
      <c r="B617" s="7">
        <v>45204.68472222222</v>
      </c>
      <c r="C617" s="6">
        <v>92</v>
      </c>
      <c r="D617" s="6" t="s">
        <v>794</v>
      </c>
      <c r="E617" s="8" t="str">
        <f>IFERROR(VLOOKUP(LOG_RESEAU[[#This Row],[Cell_ID]],Registre_Maintenance!A:B,2,FALSE),"Non trouvé")</f>
        <v>Non trouvé</v>
      </c>
      <c r="F617" s="8" t="str">
        <f>IFERROR(VLOOKUP(LOG_RESEAU[[#This Row],[Cell_ID]],Registre_Maintenance!A:C,3,FALSE),"Non trouvé")</f>
        <v>Non trouvé</v>
      </c>
      <c r="G617" s="8" t="str">
        <f>IFERROR(VLOOKUP(LOG_RESEAU[[#This Row],[Cell_ID]],Registre_Maintenance!A:D,4,FALSE),"Non trouvé")</f>
        <v>Non trouvé</v>
      </c>
      <c r="H617" s="6" t="str">
        <f>IFERROR(VLOOKUP(LOG_RESEAU[[#This Row],[Cell_ID]],Registre_Maintenance!A:E,5,FALSE),"Non trouvé")</f>
        <v>Non trouvé</v>
      </c>
      <c r="I617" s="6" t="str">
        <f>IFERROR(VLOOKUP(LOG_RESEAU[[#This Row],[Cell_ID]],Registre_Maintenance!A:F,6,FALSE),"Non trouvé")</f>
        <v>Non trouvé</v>
      </c>
      <c r="J617" s="6" t="str">
        <f t="shared" si="27"/>
        <v>Antenne inconnue</v>
      </c>
      <c r="K617" s="6">
        <f t="shared" si="28"/>
        <v>9</v>
      </c>
      <c r="L617" s="6">
        <f t="shared" si="29"/>
        <v>552</v>
      </c>
    </row>
    <row r="618" spans="1:12" ht="15.75" x14ac:dyDescent="0.25">
      <c r="A618" s="6" t="s">
        <v>900</v>
      </c>
      <c r="B618" s="7">
        <v>45225.921527777777</v>
      </c>
      <c r="C618" s="6">
        <v>45</v>
      </c>
      <c r="D618" s="6" t="s">
        <v>794</v>
      </c>
      <c r="E618" s="8" t="str">
        <f>IFERROR(VLOOKUP(LOG_RESEAU[[#This Row],[Cell_ID]],Registre_Maintenance!A:B,2,FALSE),"Non trouvé")</f>
        <v>Non trouvé</v>
      </c>
      <c r="F618" s="8" t="str">
        <f>IFERROR(VLOOKUP(LOG_RESEAU[[#This Row],[Cell_ID]],Registre_Maintenance!A:C,3,FALSE),"Non trouvé")</f>
        <v>Non trouvé</v>
      </c>
      <c r="G618" s="8" t="str">
        <f>IFERROR(VLOOKUP(LOG_RESEAU[[#This Row],[Cell_ID]],Registre_Maintenance!A:D,4,FALSE),"Non trouvé")</f>
        <v>Non trouvé</v>
      </c>
      <c r="H618" s="6" t="str">
        <f>IFERROR(VLOOKUP(LOG_RESEAU[[#This Row],[Cell_ID]],Registre_Maintenance!A:E,5,FALSE),"Non trouvé")</f>
        <v>Non trouvé</v>
      </c>
      <c r="I618" s="6" t="str">
        <f>IFERROR(VLOOKUP(LOG_RESEAU[[#This Row],[Cell_ID]],Registre_Maintenance!A:F,6,FALSE),"Non trouvé")</f>
        <v>Non trouvé</v>
      </c>
      <c r="J618" s="6" t="str">
        <f t="shared" si="27"/>
        <v>Antenne inconnue</v>
      </c>
      <c r="K618" s="6">
        <f t="shared" si="28"/>
        <v>9</v>
      </c>
      <c r="L618" s="6">
        <f t="shared" si="29"/>
        <v>552</v>
      </c>
    </row>
    <row r="619" spans="1:12" ht="15.75" x14ac:dyDescent="0.25">
      <c r="A619" s="6" t="s">
        <v>900</v>
      </c>
      <c r="B619" s="7">
        <v>45224.310416666667</v>
      </c>
      <c r="C619" s="6">
        <v>98</v>
      </c>
      <c r="D619" s="6" t="s">
        <v>800</v>
      </c>
      <c r="E619" s="8" t="str">
        <f>IFERROR(VLOOKUP(LOG_RESEAU[[#This Row],[Cell_ID]],Registre_Maintenance!A:B,2,FALSE),"Non trouvé")</f>
        <v>Non trouvé</v>
      </c>
      <c r="F619" s="8" t="str">
        <f>IFERROR(VLOOKUP(LOG_RESEAU[[#This Row],[Cell_ID]],Registre_Maintenance!A:C,3,FALSE),"Non trouvé")</f>
        <v>Non trouvé</v>
      </c>
      <c r="G619" s="8" t="str">
        <f>IFERROR(VLOOKUP(LOG_RESEAU[[#This Row],[Cell_ID]],Registre_Maintenance!A:D,4,FALSE),"Non trouvé")</f>
        <v>Non trouvé</v>
      </c>
      <c r="H619" s="6" t="str">
        <f>IFERROR(VLOOKUP(LOG_RESEAU[[#This Row],[Cell_ID]],Registre_Maintenance!A:E,5,FALSE),"Non trouvé")</f>
        <v>Non trouvé</v>
      </c>
      <c r="I619" s="6" t="str">
        <f>IFERROR(VLOOKUP(LOG_RESEAU[[#This Row],[Cell_ID]],Registre_Maintenance!A:F,6,FALSE),"Non trouvé")</f>
        <v>Non trouvé</v>
      </c>
      <c r="J619" s="6" t="str">
        <f t="shared" si="27"/>
        <v>Antenne inconnue</v>
      </c>
      <c r="K619" s="6">
        <f t="shared" si="28"/>
        <v>9</v>
      </c>
      <c r="L619" s="6">
        <f t="shared" si="29"/>
        <v>552</v>
      </c>
    </row>
    <row r="620" spans="1:12" ht="15.75" x14ac:dyDescent="0.25">
      <c r="A620" s="6" t="s">
        <v>949</v>
      </c>
      <c r="B620" s="7">
        <v>45226.623611111107</v>
      </c>
      <c r="C620" s="6">
        <v>118</v>
      </c>
      <c r="D620" s="6" t="s">
        <v>800</v>
      </c>
      <c r="E620" s="8" t="str">
        <f>IFERROR(VLOOKUP(LOG_RESEAU[[#This Row],[Cell_ID]],Registre_Maintenance!A:B,2,FALSE),"Non trouvé")</f>
        <v>Maniema</v>
      </c>
      <c r="F620" s="8">
        <f>IFERROR(VLOOKUP(LOG_RESEAU[[#This Row],[Cell_ID]],Registre_Maintenance!A:C,3,FALSE),"Non trouvé")</f>
        <v>1.938083</v>
      </c>
      <c r="G620" s="8">
        <f>IFERROR(VLOOKUP(LOG_RESEAU[[#This Row],[Cell_ID]],Registre_Maintenance!A:D,4,FALSE),"Non trouvé")</f>
        <v>28.25281</v>
      </c>
      <c r="H620" s="6" t="str">
        <f>IFERROR(VLOOKUP(LOG_RESEAU[[#This Row],[Cell_ID]],Registre_Maintenance!A:E,5,FALSE),"Non trouvé")</f>
        <v>4G</v>
      </c>
      <c r="I620" s="6" t="str">
        <f>IFERROR(VLOOKUP(LOG_RESEAU[[#This Row],[Cell_ID]],Registre_Maintenance!A:F,6,FALSE),"Non trouvé")</f>
        <v>Nokia</v>
      </c>
      <c r="J620" s="6" t="str">
        <f t="shared" si="27"/>
        <v>OK</v>
      </c>
      <c r="K620" s="6">
        <f t="shared" si="28"/>
        <v>5</v>
      </c>
      <c r="L620" s="6">
        <f t="shared" si="29"/>
        <v>420</v>
      </c>
    </row>
    <row r="621" spans="1:12" ht="15.75" x14ac:dyDescent="0.25">
      <c r="A621" s="6" t="s">
        <v>949</v>
      </c>
      <c r="B621" s="7">
        <v>45221.50277777778</v>
      </c>
      <c r="C621" s="6">
        <v>97</v>
      </c>
      <c r="D621" s="6" t="s">
        <v>800</v>
      </c>
      <c r="E621" s="8" t="str">
        <f>IFERROR(VLOOKUP(LOG_RESEAU[[#This Row],[Cell_ID]],Registre_Maintenance!A:B,2,FALSE),"Non trouvé")</f>
        <v>Maniema</v>
      </c>
      <c r="F621" s="8">
        <f>IFERROR(VLOOKUP(LOG_RESEAU[[#This Row],[Cell_ID]],Registre_Maintenance!A:C,3,FALSE),"Non trouvé")</f>
        <v>1.938083</v>
      </c>
      <c r="G621" s="8">
        <f>IFERROR(VLOOKUP(LOG_RESEAU[[#This Row],[Cell_ID]],Registre_Maintenance!A:D,4,FALSE),"Non trouvé")</f>
        <v>28.25281</v>
      </c>
      <c r="H621" s="6" t="str">
        <f>IFERROR(VLOOKUP(LOG_RESEAU[[#This Row],[Cell_ID]],Registre_Maintenance!A:E,5,FALSE),"Non trouvé")</f>
        <v>4G</v>
      </c>
      <c r="I621" s="6" t="str">
        <f>IFERROR(VLOOKUP(LOG_RESEAU[[#This Row],[Cell_ID]],Registre_Maintenance!A:F,6,FALSE),"Non trouvé")</f>
        <v>Nokia</v>
      </c>
      <c r="J621" s="6" t="str">
        <f t="shared" si="27"/>
        <v>OK</v>
      </c>
      <c r="K621" s="6">
        <f t="shared" si="28"/>
        <v>5</v>
      </c>
      <c r="L621" s="6">
        <f t="shared" si="29"/>
        <v>420</v>
      </c>
    </row>
    <row r="622" spans="1:12" ht="15.75" x14ac:dyDescent="0.25">
      <c r="A622" s="6" t="s">
        <v>949</v>
      </c>
      <c r="B622" s="7">
        <v>45212.417361111111</v>
      </c>
      <c r="C622" s="6">
        <v>55</v>
      </c>
      <c r="D622" s="6" t="s">
        <v>800</v>
      </c>
      <c r="E622" s="8" t="str">
        <f>IFERROR(VLOOKUP(LOG_RESEAU[[#This Row],[Cell_ID]],Registre_Maintenance!A:B,2,FALSE),"Non trouvé")</f>
        <v>Maniema</v>
      </c>
      <c r="F622" s="8">
        <f>IFERROR(VLOOKUP(LOG_RESEAU[[#This Row],[Cell_ID]],Registre_Maintenance!A:C,3,FALSE),"Non trouvé")</f>
        <v>1.938083</v>
      </c>
      <c r="G622" s="8">
        <f>IFERROR(VLOOKUP(LOG_RESEAU[[#This Row],[Cell_ID]],Registre_Maintenance!A:D,4,FALSE),"Non trouvé")</f>
        <v>28.25281</v>
      </c>
      <c r="H622" s="6" t="str">
        <f>IFERROR(VLOOKUP(LOG_RESEAU[[#This Row],[Cell_ID]],Registre_Maintenance!A:E,5,FALSE),"Non trouvé")</f>
        <v>4G</v>
      </c>
      <c r="I622" s="6" t="str">
        <f>IFERROR(VLOOKUP(LOG_RESEAU[[#This Row],[Cell_ID]],Registre_Maintenance!A:F,6,FALSE),"Non trouvé")</f>
        <v>Nokia</v>
      </c>
      <c r="J622" s="6" t="str">
        <f t="shared" si="27"/>
        <v>OK</v>
      </c>
      <c r="K622" s="6">
        <f t="shared" si="28"/>
        <v>5</v>
      </c>
      <c r="L622" s="6">
        <f t="shared" si="29"/>
        <v>420</v>
      </c>
    </row>
    <row r="623" spans="1:12" ht="15.75" x14ac:dyDescent="0.25">
      <c r="A623" s="6" t="s">
        <v>949</v>
      </c>
      <c r="B623" s="7">
        <v>45203.910416666673</v>
      </c>
      <c r="C623" s="6">
        <v>62</v>
      </c>
      <c r="D623" s="6" t="s">
        <v>794</v>
      </c>
      <c r="E623" s="8" t="str">
        <f>IFERROR(VLOOKUP(LOG_RESEAU[[#This Row],[Cell_ID]],Registre_Maintenance!A:B,2,FALSE),"Non trouvé")</f>
        <v>Maniema</v>
      </c>
      <c r="F623" s="8">
        <f>IFERROR(VLOOKUP(LOG_RESEAU[[#This Row],[Cell_ID]],Registre_Maintenance!A:C,3,FALSE),"Non trouvé")</f>
        <v>1.938083</v>
      </c>
      <c r="G623" s="8">
        <f>IFERROR(VLOOKUP(LOG_RESEAU[[#This Row],[Cell_ID]],Registre_Maintenance!A:D,4,FALSE),"Non trouvé")</f>
        <v>28.25281</v>
      </c>
      <c r="H623" s="6" t="str">
        <f>IFERROR(VLOOKUP(LOG_RESEAU[[#This Row],[Cell_ID]],Registre_Maintenance!A:E,5,FALSE),"Non trouvé")</f>
        <v>4G</v>
      </c>
      <c r="I623" s="6" t="str">
        <f>IFERROR(VLOOKUP(LOG_RESEAU[[#This Row],[Cell_ID]],Registre_Maintenance!A:F,6,FALSE),"Non trouvé")</f>
        <v>Nokia</v>
      </c>
      <c r="J623" s="6" t="str">
        <f t="shared" si="27"/>
        <v>OK</v>
      </c>
      <c r="K623" s="6">
        <f t="shared" si="28"/>
        <v>5</v>
      </c>
      <c r="L623" s="6">
        <f t="shared" si="29"/>
        <v>420</v>
      </c>
    </row>
    <row r="624" spans="1:12" ht="15.75" x14ac:dyDescent="0.25">
      <c r="A624" s="6" t="s">
        <v>949</v>
      </c>
      <c r="B624" s="7">
        <v>45216.435416666667</v>
      </c>
      <c r="C624" s="6">
        <v>88</v>
      </c>
      <c r="D624" s="6" t="s">
        <v>794</v>
      </c>
      <c r="E624" s="8" t="str">
        <f>IFERROR(VLOOKUP(LOG_RESEAU[[#This Row],[Cell_ID]],Registre_Maintenance!A:B,2,FALSE),"Non trouvé")</f>
        <v>Maniema</v>
      </c>
      <c r="F624" s="8">
        <f>IFERROR(VLOOKUP(LOG_RESEAU[[#This Row],[Cell_ID]],Registre_Maintenance!A:C,3,FALSE),"Non trouvé")</f>
        <v>1.938083</v>
      </c>
      <c r="G624" s="8">
        <f>IFERROR(VLOOKUP(LOG_RESEAU[[#This Row],[Cell_ID]],Registre_Maintenance!A:D,4,FALSE),"Non trouvé")</f>
        <v>28.25281</v>
      </c>
      <c r="H624" s="6" t="str">
        <f>IFERROR(VLOOKUP(LOG_RESEAU[[#This Row],[Cell_ID]],Registre_Maintenance!A:E,5,FALSE),"Non trouvé")</f>
        <v>4G</v>
      </c>
      <c r="I624" s="6" t="str">
        <f>IFERROR(VLOOKUP(LOG_RESEAU[[#This Row],[Cell_ID]],Registre_Maintenance!A:F,6,FALSE),"Non trouvé")</f>
        <v>Nokia</v>
      </c>
      <c r="J624" s="6" t="str">
        <f t="shared" si="27"/>
        <v>OK</v>
      </c>
      <c r="K624" s="6">
        <f t="shared" si="28"/>
        <v>5</v>
      </c>
      <c r="L624" s="6">
        <f t="shared" si="29"/>
        <v>420</v>
      </c>
    </row>
    <row r="625" spans="1:12" ht="15.75" x14ac:dyDescent="0.25">
      <c r="A625" s="6" t="s">
        <v>844</v>
      </c>
      <c r="B625" s="7">
        <v>45219.606249999997</v>
      </c>
      <c r="C625" s="6">
        <v>93</v>
      </c>
      <c r="D625" s="6" t="s">
        <v>792</v>
      </c>
      <c r="E625" s="8" t="str">
        <f>IFERROR(VLOOKUP(LOG_RESEAU[[#This Row],[Cell_ID]],Registre_Maintenance!A:B,2,FALSE),"Non trouvé")</f>
        <v>Non trouvé</v>
      </c>
      <c r="F625" s="8" t="str">
        <f>IFERROR(VLOOKUP(LOG_RESEAU[[#This Row],[Cell_ID]],Registre_Maintenance!A:C,3,FALSE),"Non trouvé")</f>
        <v>Non trouvé</v>
      </c>
      <c r="G625" s="8" t="str">
        <f>IFERROR(VLOOKUP(LOG_RESEAU[[#This Row],[Cell_ID]],Registre_Maintenance!A:D,4,FALSE),"Non trouvé")</f>
        <v>Non trouvé</v>
      </c>
      <c r="H625" s="6" t="str">
        <f>IFERROR(VLOOKUP(LOG_RESEAU[[#This Row],[Cell_ID]],Registre_Maintenance!A:E,5,FALSE),"Non trouvé")</f>
        <v>Non trouvé</v>
      </c>
      <c r="I625" s="6" t="str">
        <f>IFERROR(VLOOKUP(LOG_RESEAU[[#This Row],[Cell_ID]],Registre_Maintenance!A:F,6,FALSE),"Non trouvé")</f>
        <v>Non trouvé</v>
      </c>
      <c r="J625" s="6" t="str">
        <f t="shared" si="27"/>
        <v>Antenne inconnue</v>
      </c>
      <c r="K625" s="6">
        <f t="shared" si="28"/>
        <v>10</v>
      </c>
      <c r="L625" s="6">
        <f t="shared" si="29"/>
        <v>647</v>
      </c>
    </row>
    <row r="626" spans="1:12" ht="15.75" x14ac:dyDescent="0.25">
      <c r="A626" s="6" t="s">
        <v>844</v>
      </c>
      <c r="B626" s="7">
        <v>45216.578472222223</v>
      </c>
      <c r="C626" s="6">
        <v>79</v>
      </c>
      <c r="D626" s="6" t="s">
        <v>794</v>
      </c>
      <c r="E626" s="8" t="str">
        <f>IFERROR(VLOOKUP(LOG_RESEAU[[#This Row],[Cell_ID]],Registre_Maintenance!A:B,2,FALSE),"Non trouvé")</f>
        <v>Non trouvé</v>
      </c>
      <c r="F626" s="8" t="str">
        <f>IFERROR(VLOOKUP(LOG_RESEAU[[#This Row],[Cell_ID]],Registre_Maintenance!A:C,3,FALSE),"Non trouvé")</f>
        <v>Non trouvé</v>
      </c>
      <c r="G626" s="8" t="str">
        <f>IFERROR(VLOOKUP(LOG_RESEAU[[#This Row],[Cell_ID]],Registre_Maintenance!A:D,4,FALSE),"Non trouvé")</f>
        <v>Non trouvé</v>
      </c>
      <c r="H626" s="6" t="str">
        <f>IFERROR(VLOOKUP(LOG_RESEAU[[#This Row],[Cell_ID]],Registre_Maintenance!A:E,5,FALSE),"Non trouvé")</f>
        <v>Non trouvé</v>
      </c>
      <c r="I626" s="6" t="str">
        <f>IFERROR(VLOOKUP(LOG_RESEAU[[#This Row],[Cell_ID]],Registre_Maintenance!A:F,6,FALSE),"Non trouvé")</f>
        <v>Non trouvé</v>
      </c>
      <c r="J626" s="6" t="str">
        <f t="shared" si="27"/>
        <v>Antenne inconnue</v>
      </c>
      <c r="K626" s="6">
        <f t="shared" si="28"/>
        <v>10</v>
      </c>
      <c r="L626" s="6">
        <f t="shared" si="29"/>
        <v>647</v>
      </c>
    </row>
    <row r="627" spans="1:12" ht="15.75" x14ac:dyDescent="0.25">
      <c r="A627" s="6" t="s">
        <v>844</v>
      </c>
      <c r="B627" s="7">
        <v>45223.695138888892</v>
      </c>
      <c r="C627" s="6">
        <v>20</v>
      </c>
      <c r="D627" s="6" t="s">
        <v>794</v>
      </c>
      <c r="E627" s="8" t="str">
        <f>IFERROR(VLOOKUP(LOG_RESEAU[[#This Row],[Cell_ID]],Registre_Maintenance!A:B,2,FALSE),"Non trouvé")</f>
        <v>Non trouvé</v>
      </c>
      <c r="F627" s="8" t="str">
        <f>IFERROR(VLOOKUP(LOG_RESEAU[[#This Row],[Cell_ID]],Registre_Maintenance!A:C,3,FALSE),"Non trouvé")</f>
        <v>Non trouvé</v>
      </c>
      <c r="G627" s="8" t="str">
        <f>IFERROR(VLOOKUP(LOG_RESEAU[[#This Row],[Cell_ID]],Registre_Maintenance!A:D,4,FALSE),"Non trouvé")</f>
        <v>Non trouvé</v>
      </c>
      <c r="H627" s="6" t="str">
        <f>IFERROR(VLOOKUP(LOG_RESEAU[[#This Row],[Cell_ID]],Registre_Maintenance!A:E,5,FALSE),"Non trouvé")</f>
        <v>Non trouvé</v>
      </c>
      <c r="I627" s="6" t="str">
        <f>IFERROR(VLOOKUP(LOG_RESEAU[[#This Row],[Cell_ID]],Registre_Maintenance!A:F,6,FALSE),"Non trouvé")</f>
        <v>Non trouvé</v>
      </c>
      <c r="J627" s="6" t="str">
        <f t="shared" si="27"/>
        <v>Antenne inconnue</v>
      </c>
      <c r="K627" s="6">
        <f t="shared" si="28"/>
        <v>10</v>
      </c>
      <c r="L627" s="6">
        <f t="shared" si="29"/>
        <v>647</v>
      </c>
    </row>
    <row r="628" spans="1:12" ht="15.75" x14ac:dyDescent="0.25">
      <c r="A628" s="6" t="s">
        <v>844</v>
      </c>
      <c r="B628" s="7">
        <v>45209.852083333331</v>
      </c>
      <c r="C628" s="6">
        <v>93</v>
      </c>
      <c r="D628" s="6" t="s">
        <v>794</v>
      </c>
      <c r="E628" s="8" t="str">
        <f>IFERROR(VLOOKUP(LOG_RESEAU[[#This Row],[Cell_ID]],Registre_Maintenance!A:B,2,FALSE),"Non trouvé")</f>
        <v>Non trouvé</v>
      </c>
      <c r="F628" s="8" t="str">
        <f>IFERROR(VLOOKUP(LOG_RESEAU[[#This Row],[Cell_ID]],Registre_Maintenance!A:C,3,FALSE),"Non trouvé")</f>
        <v>Non trouvé</v>
      </c>
      <c r="G628" s="8" t="str">
        <f>IFERROR(VLOOKUP(LOG_RESEAU[[#This Row],[Cell_ID]],Registre_Maintenance!A:D,4,FALSE),"Non trouvé")</f>
        <v>Non trouvé</v>
      </c>
      <c r="H628" s="6" t="str">
        <f>IFERROR(VLOOKUP(LOG_RESEAU[[#This Row],[Cell_ID]],Registre_Maintenance!A:E,5,FALSE),"Non trouvé")</f>
        <v>Non trouvé</v>
      </c>
      <c r="I628" s="6" t="str">
        <f>IFERROR(VLOOKUP(LOG_RESEAU[[#This Row],[Cell_ID]],Registre_Maintenance!A:F,6,FALSE),"Non trouvé")</f>
        <v>Non trouvé</v>
      </c>
      <c r="J628" s="6" t="str">
        <f t="shared" si="27"/>
        <v>Antenne inconnue</v>
      </c>
      <c r="K628" s="6">
        <f t="shared" si="28"/>
        <v>10</v>
      </c>
      <c r="L628" s="6">
        <f t="shared" si="29"/>
        <v>647</v>
      </c>
    </row>
    <row r="629" spans="1:12" ht="15.75" x14ac:dyDescent="0.25">
      <c r="A629" s="6" t="s">
        <v>844</v>
      </c>
      <c r="B629" s="7">
        <v>45214.043749999997</v>
      </c>
      <c r="C629" s="6">
        <v>70</v>
      </c>
      <c r="D629" s="6" t="s">
        <v>792</v>
      </c>
      <c r="E629" s="8" t="str">
        <f>IFERROR(VLOOKUP(LOG_RESEAU[[#This Row],[Cell_ID]],Registre_Maintenance!A:B,2,FALSE),"Non trouvé")</f>
        <v>Non trouvé</v>
      </c>
      <c r="F629" s="8" t="str">
        <f>IFERROR(VLOOKUP(LOG_RESEAU[[#This Row],[Cell_ID]],Registre_Maintenance!A:C,3,FALSE),"Non trouvé")</f>
        <v>Non trouvé</v>
      </c>
      <c r="G629" s="8" t="str">
        <f>IFERROR(VLOOKUP(LOG_RESEAU[[#This Row],[Cell_ID]],Registre_Maintenance!A:D,4,FALSE),"Non trouvé")</f>
        <v>Non trouvé</v>
      </c>
      <c r="H629" s="6" t="str">
        <f>IFERROR(VLOOKUP(LOG_RESEAU[[#This Row],[Cell_ID]],Registre_Maintenance!A:E,5,FALSE),"Non trouvé")</f>
        <v>Non trouvé</v>
      </c>
      <c r="I629" s="6" t="str">
        <f>IFERROR(VLOOKUP(LOG_RESEAU[[#This Row],[Cell_ID]],Registre_Maintenance!A:F,6,FALSE),"Non trouvé")</f>
        <v>Non trouvé</v>
      </c>
      <c r="J629" s="6" t="str">
        <f t="shared" si="27"/>
        <v>Antenne inconnue</v>
      </c>
      <c r="K629" s="6">
        <f t="shared" si="28"/>
        <v>10</v>
      </c>
      <c r="L629" s="6">
        <f t="shared" si="29"/>
        <v>647</v>
      </c>
    </row>
    <row r="630" spans="1:12" ht="15.75" x14ac:dyDescent="0.25">
      <c r="A630" s="6" t="s">
        <v>844</v>
      </c>
      <c r="B630" s="7">
        <v>45205.474305555559</v>
      </c>
      <c r="C630" s="6">
        <v>101</v>
      </c>
      <c r="D630" s="6" t="s">
        <v>792</v>
      </c>
      <c r="E630" s="8" t="str">
        <f>IFERROR(VLOOKUP(LOG_RESEAU[[#This Row],[Cell_ID]],Registre_Maintenance!A:B,2,FALSE),"Non trouvé")</f>
        <v>Non trouvé</v>
      </c>
      <c r="F630" s="8" t="str">
        <f>IFERROR(VLOOKUP(LOG_RESEAU[[#This Row],[Cell_ID]],Registre_Maintenance!A:C,3,FALSE),"Non trouvé")</f>
        <v>Non trouvé</v>
      </c>
      <c r="G630" s="8" t="str">
        <f>IFERROR(VLOOKUP(LOG_RESEAU[[#This Row],[Cell_ID]],Registre_Maintenance!A:D,4,FALSE),"Non trouvé")</f>
        <v>Non trouvé</v>
      </c>
      <c r="H630" s="6" t="str">
        <f>IFERROR(VLOOKUP(LOG_RESEAU[[#This Row],[Cell_ID]],Registre_Maintenance!A:E,5,FALSE),"Non trouvé")</f>
        <v>Non trouvé</v>
      </c>
      <c r="I630" s="6" t="str">
        <f>IFERROR(VLOOKUP(LOG_RESEAU[[#This Row],[Cell_ID]],Registre_Maintenance!A:F,6,FALSE),"Non trouvé")</f>
        <v>Non trouvé</v>
      </c>
      <c r="J630" s="6" t="str">
        <f t="shared" si="27"/>
        <v>Antenne inconnue</v>
      </c>
      <c r="K630" s="6">
        <f t="shared" si="28"/>
        <v>10</v>
      </c>
      <c r="L630" s="6">
        <f t="shared" si="29"/>
        <v>647</v>
      </c>
    </row>
    <row r="631" spans="1:12" ht="15.75" x14ac:dyDescent="0.25">
      <c r="A631" s="6" t="s">
        <v>844</v>
      </c>
      <c r="B631" s="7">
        <v>45209.127083333333</v>
      </c>
      <c r="C631" s="6">
        <v>24</v>
      </c>
      <c r="D631" s="6" t="s">
        <v>792</v>
      </c>
      <c r="E631" s="8" t="str">
        <f>IFERROR(VLOOKUP(LOG_RESEAU[[#This Row],[Cell_ID]],Registre_Maintenance!A:B,2,FALSE),"Non trouvé")</f>
        <v>Non trouvé</v>
      </c>
      <c r="F631" s="8" t="str">
        <f>IFERROR(VLOOKUP(LOG_RESEAU[[#This Row],[Cell_ID]],Registre_Maintenance!A:C,3,FALSE),"Non trouvé")</f>
        <v>Non trouvé</v>
      </c>
      <c r="G631" s="8" t="str">
        <f>IFERROR(VLOOKUP(LOG_RESEAU[[#This Row],[Cell_ID]],Registre_Maintenance!A:D,4,FALSE),"Non trouvé")</f>
        <v>Non trouvé</v>
      </c>
      <c r="H631" s="6" t="str">
        <f>IFERROR(VLOOKUP(LOG_RESEAU[[#This Row],[Cell_ID]],Registre_Maintenance!A:E,5,FALSE),"Non trouvé")</f>
        <v>Non trouvé</v>
      </c>
      <c r="I631" s="6" t="str">
        <f>IFERROR(VLOOKUP(LOG_RESEAU[[#This Row],[Cell_ID]],Registre_Maintenance!A:F,6,FALSE),"Non trouvé")</f>
        <v>Non trouvé</v>
      </c>
      <c r="J631" s="6" t="str">
        <f t="shared" si="27"/>
        <v>Antenne inconnue</v>
      </c>
      <c r="K631" s="6">
        <f t="shared" si="28"/>
        <v>10</v>
      </c>
      <c r="L631" s="6">
        <f t="shared" si="29"/>
        <v>647</v>
      </c>
    </row>
    <row r="632" spans="1:12" ht="15.75" x14ac:dyDescent="0.25">
      <c r="A632" s="6" t="s">
        <v>844</v>
      </c>
      <c r="B632" s="7">
        <v>45210.007638888892</v>
      </c>
      <c r="C632" s="6">
        <v>59</v>
      </c>
      <c r="D632" s="6" t="s">
        <v>800</v>
      </c>
      <c r="E632" s="8" t="str">
        <f>IFERROR(VLOOKUP(LOG_RESEAU[[#This Row],[Cell_ID]],Registre_Maintenance!A:B,2,FALSE),"Non trouvé")</f>
        <v>Non trouvé</v>
      </c>
      <c r="F632" s="8" t="str">
        <f>IFERROR(VLOOKUP(LOG_RESEAU[[#This Row],[Cell_ID]],Registre_Maintenance!A:C,3,FALSE),"Non trouvé")</f>
        <v>Non trouvé</v>
      </c>
      <c r="G632" s="8" t="str">
        <f>IFERROR(VLOOKUP(LOG_RESEAU[[#This Row],[Cell_ID]],Registre_Maintenance!A:D,4,FALSE),"Non trouvé")</f>
        <v>Non trouvé</v>
      </c>
      <c r="H632" s="6" t="str">
        <f>IFERROR(VLOOKUP(LOG_RESEAU[[#This Row],[Cell_ID]],Registre_Maintenance!A:E,5,FALSE),"Non trouvé")</f>
        <v>Non trouvé</v>
      </c>
      <c r="I632" s="6" t="str">
        <f>IFERROR(VLOOKUP(LOG_RESEAU[[#This Row],[Cell_ID]],Registre_Maintenance!A:F,6,FALSE),"Non trouvé")</f>
        <v>Non trouvé</v>
      </c>
      <c r="J632" s="6" t="str">
        <f t="shared" si="27"/>
        <v>Antenne inconnue</v>
      </c>
      <c r="K632" s="6">
        <f t="shared" si="28"/>
        <v>10</v>
      </c>
      <c r="L632" s="6">
        <f t="shared" si="29"/>
        <v>647</v>
      </c>
    </row>
    <row r="633" spans="1:12" ht="15.75" x14ac:dyDescent="0.25">
      <c r="A633" s="6" t="s">
        <v>844</v>
      </c>
      <c r="B633" s="7">
        <v>45209.462500000001</v>
      </c>
      <c r="C633" s="6">
        <v>102</v>
      </c>
      <c r="D633" s="6" t="s">
        <v>792</v>
      </c>
      <c r="E633" s="8" t="str">
        <f>IFERROR(VLOOKUP(LOG_RESEAU[[#This Row],[Cell_ID]],Registre_Maintenance!A:B,2,FALSE),"Non trouvé")</f>
        <v>Non trouvé</v>
      </c>
      <c r="F633" s="8" t="str">
        <f>IFERROR(VLOOKUP(LOG_RESEAU[[#This Row],[Cell_ID]],Registre_Maintenance!A:C,3,FALSE),"Non trouvé")</f>
        <v>Non trouvé</v>
      </c>
      <c r="G633" s="8" t="str">
        <f>IFERROR(VLOOKUP(LOG_RESEAU[[#This Row],[Cell_ID]],Registre_Maintenance!A:D,4,FALSE),"Non trouvé")</f>
        <v>Non trouvé</v>
      </c>
      <c r="H633" s="6" t="str">
        <f>IFERROR(VLOOKUP(LOG_RESEAU[[#This Row],[Cell_ID]],Registre_Maintenance!A:E,5,FALSE),"Non trouvé")</f>
        <v>Non trouvé</v>
      </c>
      <c r="I633" s="6" t="str">
        <f>IFERROR(VLOOKUP(LOG_RESEAU[[#This Row],[Cell_ID]],Registre_Maintenance!A:F,6,FALSE),"Non trouvé")</f>
        <v>Non trouvé</v>
      </c>
      <c r="J633" s="6" t="str">
        <f t="shared" si="27"/>
        <v>Antenne inconnue</v>
      </c>
      <c r="K633" s="6">
        <f t="shared" si="28"/>
        <v>10</v>
      </c>
      <c r="L633" s="6">
        <f t="shared" si="29"/>
        <v>647</v>
      </c>
    </row>
    <row r="634" spans="1:12" ht="15.75" x14ac:dyDescent="0.25">
      <c r="A634" s="6" t="s">
        <v>844</v>
      </c>
      <c r="B634" s="7">
        <v>45200.836111111108</v>
      </c>
      <c r="C634" s="6">
        <v>6</v>
      </c>
      <c r="D634" s="6" t="s">
        <v>794</v>
      </c>
      <c r="E634" s="8" t="str">
        <f>IFERROR(VLOOKUP(LOG_RESEAU[[#This Row],[Cell_ID]],Registre_Maintenance!A:B,2,FALSE),"Non trouvé")</f>
        <v>Non trouvé</v>
      </c>
      <c r="F634" s="8" t="str">
        <f>IFERROR(VLOOKUP(LOG_RESEAU[[#This Row],[Cell_ID]],Registre_Maintenance!A:C,3,FALSE),"Non trouvé")</f>
        <v>Non trouvé</v>
      </c>
      <c r="G634" s="8" t="str">
        <f>IFERROR(VLOOKUP(LOG_RESEAU[[#This Row],[Cell_ID]],Registre_Maintenance!A:D,4,FALSE),"Non trouvé")</f>
        <v>Non trouvé</v>
      </c>
      <c r="H634" s="6" t="str">
        <f>IFERROR(VLOOKUP(LOG_RESEAU[[#This Row],[Cell_ID]],Registre_Maintenance!A:E,5,FALSE),"Non trouvé")</f>
        <v>Non trouvé</v>
      </c>
      <c r="I634" s="6" t="str">
        <f>IFERROR(VLOOKUP(LOG_RESEAU[[#This Row],[Cell_ID]],Registre_Maintenance!A:F,6,FALSE),"Non trouvé")</f>
        <v>Non trouvé</v>
      </c>
      <c r="J634" s="6" t="str">
        <f t="shared" si="27"/>
        <v>Antenne inconnue</v>
      </c>
      <c r="K634" s="6">
        <f t="shared" si="28"/>
        <v>10</v>
      </c>
      <c r="L634" s="6">
        <f t="shared" si="29"/>
        <v>647</v>
      </c>
    </row>
    <row r="635" spans="1:12" ht="15.75" x14ac:dyDescent="0.25">
      <c r="A635" s="6" t="s">
        <v>837</v>
      </c>
      <c r="B635" s="7">
        <v>45217.365972222222</v>
      </c>
      <c r="C635" s="6">
        <v>46</v>
      </c>
      <c r="D635" s="6" t="s">
        <v>792</v>
      </c>
      <c r="E635" s="8" t="str">
        <f>IFERROR(VLOOKUP(LOG_RESEAU[[#This Row],[Cell_ID]],Registre_Maintenance!A:B,2,FALSE),"Non trouvé")</f>
        <v>Non trouvé</v>
      </c>
      <c r="F635" s="8" t="str">
        <f>IFERROR(VLOOKUP(LOG_RESEAU[[#This Row],[Cell_ID]],Registre_Maintenance!A:C,3,FALSE),"Non trouvé")</f>
        <v>Non trouvé</v>
      </c>
      <c r="G635" s="8" t="str">
        <f>IFERROR(VLOOKUP(LOG_RESEAU[[#This Row],[Cell_ID]],Registre_Maintenance!A:D,4,FALSE),"Non trouvé")</f>
        <v>Non trouvé</v>
      </c>
      <c r="H635" s="6" t="str">
        <f>IFERROR(VLOOKUP(LOG_RESEAU[[#This Row],[Cell_ID]],Registre_Maintenance!A:E,5,FALSE),"Non trouvé")</f>
        <v>Non trouvé</v>
      </c>
      <c r="I635" s="6" t="str">
        <f>IFERROR(VLOOKUP(LOG_RESEAU[[#This Row],[Cell_ID]],Registre_Maintenance!A:F,6,FALSE),"Non trouvé")</f>
        <v>Non trouvé</v>
      </c>
      <c r="J635" s="6" t="str">
        <f t="shared" si="27"/>
        <v>Antenne inconnue</v>
      </c>
      <c r="K635" s="6">
        <f t="shared" si="28"/>
        <v>6</v>
      </c>
      <c r="L635" s="6">
        <f t="shared" si="29"/>
        <v>320</v>
      </c>
    </row>
    <row r="636" spans="1:12" ht="15.75" x14ac:dyDescent="0.25">
      <c r="A636" s="6" t="s">
        <v>837</v>
      </c>
      <c r="B636" s="7">
        <v>45221.84652777778</v>
      </c>
      <c r="C636" s="6">
        <v>16</v>
      </c>
      <c r="D636" s="6" t="s">
        <v>800</v>
      </c>
      <c r="E636" s="8" t="str">
        <f>IFERROR(VLOOKUP(LOG_RESEAU[[#This Row],[Cell_ID]],Registre_Maintenance!A:B,2,FALSE),"Non trouvé")</f>
        <v>Non trouvé</v>
      </c>
      <c r="F636" s="8" t="str">
        <f>IFERROR(VLOOKUP(LOG_RESEAU[[#This Row],[Cell_ID]],Registre_Maintenance!A:C,3,FALSE),"Non trouvé")</f>
        <v>Non trouvé</v>
      </c>
      <c r="G636" s="8" t="str">
        <f>IFERROR(VLOOKUP(LOG_RESEAU[[#This Row],[Cell_ID]],Registre_Maintenance!A:D,4,FALSE),"Non trouvé")</f>
        <v>Non trouvé</v>
      </c>
      <c r="H636" s="6" t="str">
        <f>IFERROR(VLOOKUP(LOG_RESEAU[[#This Row],[Cell_ID]],Registre_Maintenance!A:E,5,FALSE),"Non trouvé")</f>
        <v>Non trouvé</v>
      </c>
      <c r="I636" s="6" t="str">
        <f>IFERROR(VLOOKUP(LOG_RESEAU[[#This Row],[Cell_ID]],Registre_Maintenance!A:F,6,FALSE),"Non trouvé")</f>
        <v>Non trouvé</v>
      </c>
      <c r="J636" s="6" t="str">
        <f t="shared" si="27"/>
        <v>Antenne inconnue</v>
      </c>
      <c r="K636" s="6">
        <f t="shared" si="28"/>
        <v>6</v>
      </c>
      <c r="L636" s="6">
        <f t="shared" si="29"/>
        <v>320</v>
      </c>
    </row>
    <row r="637" spans="1:12" ht="15.75" x14ac:dyDescent="0.25">
      <c r="A637" s="6" t="s">
        <v>837</v>
      </c>
      <c r="B637" s="7">
        <v>45213.130555555559</v>
      </c>
      <c r="C637" s="6">
        <v>95</v>
      </c>
      <c r="D637" s="6" t="s">
        <v>800</v>
      </c>
      <c r="E637" s="8" t="str">
        <f>IFERROR(VLOOKUP(LOG_RESEAU[[#This Row],[Cell_ID]],Registre_Maintenance!A:B,2,FALSE),"Non trouvé")</f>
        <v>Non trouvé</v>
      </c>
      <c r="F637" s="8" t="str">
        <f>IFERROR(VLOOKUP(LOG_RESEAU[[#This Row],[Cell_ID]],Registre_Maintenance!A:C,3,FALSE),"Non trouvé")</f>
        <v>Non trouvé</v>
      </c>
      <c r="G637" s="8" t="str">
        <f>IFERROR(VLOOKUP(LOG_RESEAU[[#This Row],[Cell_ID]],Registre_Maintenance!A:D,4,FALSE),"Non trouvé")</f>
        <v>Non trouvé</v>
      </c>
      <c r="H637" s="6" t="str">
        <f>IFERROR(VLOOKUP(LOG_RESEAU[[#This Row],[Cell_ID]],Registre_Maintenance!A:E,5,FALSE),"Non trouvé")</f>
        <v>Non trouvé</v>
      </c>
      <c r="I637" s="6" t="str">
        <f>IFERROR(VLOOKUP(LOG_RESEAU[[#This Row],[Cell_ID]],Registre_Maintenance!A:F,6,FALSE),"Non trouvé")</f>
        <v>Non trouvé</v>
      </c>
      <c r="J637" s="6" t="str">
        <f t="shared" si="27"/>
        <v>Antenne inconnue</v>
      </c>
      <c r="K637" s="6">
        <f t="shared" si="28"/>
        <v>6</v>
      </c>
      <c r="L637" s="6">
        <f t="shared" si="29"/>
        <v>320</v>
      </c>
    </row>
    <row r="638" spans="1:12" ht="15.75" x14ac:dyDescent="0.25">
      <c r="A638" s="6" t="s">
        <v>837</v>
      </c>
      <c r="B638" s="7">
        <v>45210.768750000003</v>
      </c>
      <c r="C638" s="6">
        <v>22</v>
      </c>
      <c r="D638" s="6" t="s">
        <v>800</v>
      </c>
      <c r="E638" s="8" t="str">
        <f>IFERROR(VLOOKUP(LOG_RESEAU[[#This Row],[Cell_ID]],Registre_Maintenance!A:B,2,FALSE),"Non trouvé")</f>
        <v>Non trouvé</v>
      </c>
      <c r="F638" s="8" t="str">
        <f>IFERROR(VLOOKUP(LOG_RESEAU[[#This Row],[Cell_ID]],Registre_Maintenance!A:C,3,FALSE),"Non trouvé")</f>
        <v>Non trouvé</v>
      </c>
      <c r="G638" s="8" t="str">
        <f>IFERROR(VLOOKUP(LOG_RESEAU[[#This Row],[Cell_ID]],Registre_Maintenance!A:D,4,FALSE),"Non trouvé")</f>
        <v>Non trouvé</v>
      </c>
      <c r="H638" s="6" t="str">
        <f>IFERROR(VLOOKUP(LOG_RESEAU[[#This Row],[Cell_ID]],Registre_Maintenance!A:E,5,FALSE),"Non trouvé")</f>
        <v>Non trouvé</v>
      </c>
      <c r="I638" s="6" t="str">
        <f>IFERROR(VLOOKUP(LOG_RESEAU[[#This Row],[Cell_ID]],Registre_Maintenance!A:F,6,FALSE),"Non trouvé")</f>
        <v>Non trouvé</v>
      </c>
      <c r="J638" s="6" t="str">
        <f t="shared" si="27"/>
        <v>Antenne inconnue</v>
      </c>
      <c r="K638" s="6">
        <f t="shared" si="28"/>
        <v>6</v>
      </c>
      <c r="L638" s="6">
        <f t="shared" si="29"/>
        <v>320</v>
      </c>
    </row>
    <row r="639" spans="1:12" ht="15.75" x14ac:dyDescent="0.25">
      <c r="A639" s="6" t="s">
        <v>837</v>
      </c>
      <c r="B639" s="7">
        <v>45230.629861111112</v>
      </c>
      <c r="C639" s="6">
        <v>91</v>
      </c>
      <c r="D639" s="6" t="s">
        <v>794</v>
      </c>
      <c r="E639" s="8" t="str">
        <f>IFERROR(VLOOKUP(LOG_RESEAU[[#This Row],[Cell_ID]],Registre_Maintenance!A:B,2,FALSE),"Non trouvé")</f>
        <v>Non trouvé</v>
      </c>
      <c r="F639" s="8" t="str">
        <f>IFERROR(VLOOKUP(LOG_RESEAU[[#This Row],[Cell_ID]],Registre_Maintenance!A:C,3,FALSE),"Non trouvé")</f>
        <v>Non trouvé</v>
      </c>
      <c r="G639" s="8" t="str">
        <f>IFERROR(VLOOKUP(LOG_RESEAU[[#This Row],[Cell_ID]],Registre_Maintenance!A:D,4,FALSE),"Non trouvé")</f>
        <v>Non trouvé</v>
      </c>
      <c r="H639" s="6" t="str">
        <f>IFERROR(VLOOKUP(LOG_RESEAU[[#This Row],[Cell_ID]],Registre_Maintenance!A:E,5,FALSE),"Non trouvé")</f>
        <v>Non trouvé</v>
      </c>
      <c r="I639" s="6" t="str">
        <f>IFERROR(VLOOKUP(LOG_RESEAU[[#This Row],[Cell_ID]],Registre_Maintenance!A:F,6,FALSE),"Non trouvé")</f>
        <v>Non trouvé</v>
      </c>
      <c r="J639" s="6" t="str">
        <f t="shared" si="27"/>
        <v>Antenne inconnue</v>
      </c>
      <c r="K639" s="6">
        <f t="shared" si="28"/>
        <v>6</v>
      </c>
      <c r="L639" s="6">
        <f t="shared" si="29"/>
        <v>320</v>
      </c>
    </row>
    <row r="640" spans="1:12" ht="15.75" x14ac:dyDescent="0.25">
      <c r="A640" s="6" t="s">
        <v>837</v>
      </c>
      <c r="B640" s="7">
        <v>45225.432638888888</v>
      </c>
      <c r="C640" s="6">
        <v>50</v>
      </c>
      <c r="D640" s="6" t="s">
        <v>800</v>
      </c>
      <c r="E640" s="8" t="str">
        <f>IFERROR(VLOOKUP(LOG_RESEAU[[#This Row],[Cell_ID]],Registre_Maintenance!A:B,2,FALSE),"Non trouvé")</f>
        <v>Non trouvé</v>
      </c>
      <c r="F640" s="8" t="str">
        <f>IFERROR(VLOOKUP(LOG_RESEAU[[#This Row],[Cell_ID]],Registre_Maintenance!A:C,3,FALSE),"Non trouvé")</f>
        <v>Non trouvé</v>
      </c>
      <c r="G640" s="8" t="str">
        <f>IFERROR(VLOOKUP(LOG_RESEAU[[#This Row],[Cell_ID]],Registre_Maintenance!A:D,4,FALSE),"Non trouvé")</f>
        <v>Non trouvé</v>
      </c>
      <c r="H640" s="6" t="str">
        <f>IFERROR(VLOOKUP(LOG_RESEAU[[#This Row],[Cell_ID]],Registre_Maintenance!A:E,5,FALSE),"Non trouvé")</f>
        <v>Non trouvé</v>
      </c>
      <c r="I640" s="6" t="str">
        <f>IFERROR(VLOOKUP(LOG_RESEAU[[#This Row],[Cell_ID]],Registre_Maintenance!A:F,6,FALSE),"Non trouvé")</f>
        <v>Non trouvé</v>
      </c>
      <c r="J640" s="6" t="str">
        <f t="shared" si="27"/>
        <v>Antenne inconnue</v>
      </c>
      <c r="K640" s="6">
        <f t="shared" si="28"/>
        <v>6</v>
      </c>
      <c r="L640" s="6">
        <f t="shared" si="29"/>
        <v>320</v>
      </c>
    </row>
    <row r="641" spans="1:12" ht="15.75" x14ac:dyDescent="0.25">
      <c r="A641" s="6" t="s">
        <v>921</v>
      </c>
      <c r="B641" s="7">
        <v>45203.810416666667</v>
      </c>
      <c r="C641" s="6">
        <v>14</v>
      </c>
      <c r="D641" s="6" t="s">
        <v>794</v>
      </c>
      <c r="E641" s="8" t="str">
        <f>IFERROR(VLOOKUP(LOG_RESEAU[[#This Row],[Cell_ID]],Registre_Maintenance!A:B,2,FALSE),"Non trouvé")</f>
        <v>Sud-Ubangi</v>
      </c>
      <c r="F641" s="8">
        <f>IFERROR(VLOOKUP(LOG_RESEAU[[#This Row],[Cell_ID]],Registre_Maintenance!A:C,3,FALSE),"Non trouvé")</f>
        <v>3.4676979999999999</v>
      </c>
      <c r="G641" s="8">
        <f>IFERROR(VLOOKUP(LOG_RESEAU[[#This Row],[Cell_ID]],Registre_Maintenance!A:D,4,FALSE),"Non trouvé")</f>
        <v>13.459707</v>
      </c>
      <c r="H641" s="6" t="str">
        <f>IFERROR(VLOOKUP(LOG_RESEAU[[#This Row],[Cell_ID]],Registre_Maintenance!A:E,5,FALSE),"Non trouvé")</f>
        <v>5G</v>
      </c>
      <c r="I641" s="6" t="str">
        <f>IFERROR(VLOOKUP(LOG_RESEAU[[#This Row],[Cell_ID]],Registre_Maintenance!A:F,6,FALSE),"Non trouvé")</f>
        <v>Huawei</v>
      </c>
      <c r="J641" s="6" t="str">
        <f t="shared" si="27"/>
        <v>OK</v>
      </c>
      <c r="K641" s="6">
        <f t="shared" si="28"/>
        <v>2</v>
      </c>
      <c r="L641" s="6">
        <f t="shared" si="29"/>
        <v>118</v>
      </c>
    </row>
    <row r="642" spans="1:12" hidden="1" x14ac:dyDescent="0.25">
      <c r="A642" s="2"/>
      <c r="B642" s="2">
        <v>45210.879861111112</v>
      </c>
      <c r="C642" s="2">
        <v>88</v>
      </c>
      <c r="D642" s="2" t="s">
        <v>800</v>
      </c>
      <c r="E642" s="3" t="str">
        <f>IFERROR(VLOOKUP(LOG_RESEAU[[#This Row],[Cell_ID]],Registre_Maintenance!A:B,2,FALSE),"Non trouvé")</f>
        <v>Non trouvé</v>
      </c>
      <c r="F642" s="3" t="str">
        <f>IFERROR(VLOOKUP(LOG_RESEAU[[#This Row],[Cell_ID]],Registre_Maintenance!A:C,3,FALSE),"Non trouvé")</f>
        <v>Non trouvé</v>
      </c>
      <c r="G642" s="3" t="str">
        <f>IFERROR(VLOOKUP(LOG_RESEAU[[#This Row],[Cell_ID]],Registre_Maintenance!A:D,4,FALSE),"Non trouvé")</f>
        <v>Non trouvé</v>
      </c>
      <c r="H642" s="2" t="str">
        <f>IFERROR(VLOOKUP(LOG_RESEAU[[#This Row],[Cell_ID]],Registre_Maintenance!A:E,5,FALSE),"Non trouvé")</f>
        <v>Non trouvé</v>
      </c>
      <c r="I642" s="2" t="str">
        <f>IFERROR(VLOOKUP(LOG_RESEAU[[#This Row],[Cell_ID]],Registre_Maintenance!A:F,6,FALSE),"Non trouvé")</f>
        <v>Non trouvé</v>
      </c>
      <c r="J642" s="2" t="str">
        <f t="shared" ref="J642:J705" si="30">IF(ISERROR(SEARCH("Non trouvé",F642)),"OK","Antenne inconnue")</f>
        <v>Antenne inconnue</v>
      </c>
      <c r="K642" s="2">
        <f t="shared" ref="K642:K705" si="31">COUNTIF(A:A,A642)</f>
        <v>0</v>
      </c>
      <c r="L642" s="2">
        <f t="shared" ref="L642:L705" si="32">SUMIF(A:A,A642,C:C)</f>
        <v>0</v>
      </c>
    </row>
    <row r="643" spans="1:12" ht="15.75" x14ac:dyDescent="0.25">
      <c r="A643" s="6" t="s">
        <v>921</v>
      </c>
      <c r="B643" s="7">
        <v>45221.265972222223</v>
      </c>
      <c r="C643" s="6">
        <v>104</v>
      </c>
      <c r="D643" s="6" t="s">
        <v>794</v>
      </c>
      <c r="E643" s="8" t="str">
        <f>IFERROR(VLOOKUP(LOG_RESEAU[[#This Row],[Cell_ID]],Registre_Maintenance!A:B,2,FALSE),"Non trouvé")</f>
        <v>Sud-Ubangi</v>
      </c>
      <c r="F643" s="8">
        <f>IFERROR(VLOOKUP(LOG_RESEAU[[#This Row],[Cell_ID]],Registre_Maintenance!A:C,3,FALSE),"Non trouvé")</f>
        <v>3.4676979999999999</v>
      </c>
      <c r="G643" s="8">
        <f>IFERROR(VLOOKUP(LOG_RESEAU[[#This Row],[Cell_ID]],Registre_Maintenance!A:D,4,FALSE),"Non trouvé")</f>
        <v>13.459707</v>
      </c>
      <c r="H643" s="6" t="str">
        <f>IFERROR(VLOOKUP(LOG_RESEAU[[#This Row],[Cell_ID]],Registre_Maintenance!A:E,5,FALSE),"Non trouvé")</f>
        <v>5G</v>
      </c>
      <c r="I643" s="6" t="str">
        <f>IFERROR(VLOOKUP(LOG_RESEAU[[#This Row],[Cell_ID]],Registre_Maintenance!A:F,6,FALSE),"Non trouvé")</f>
        <v>Huawei</v>
      </c>
      <c r="J643" s="6" t="str">
        <f t="shared" si="30"/>
        <v>OK</v>
      </c>
      <c r="K643" s="6">
        <f t="shared" si="31"/>
        <v>2</v>
      </c>
      <c r="L643" s="6">
        <f t="shared" si="32"/>
        <v>118</v>
      </c>
    </row>
    <row r="644" spans="1:12" ht="15.75" x14ac:dyDescent="0.25">
      <c r="A644" s="6" t="s">
        <v>808</v>
      </c>
      <c r="B644" s="7">
        <v>45213.428472222222</v>
      </c>
      <c r="C644" s="6">
        <v>88</v>
      </c>
      <c r="D644" s="6" t="s">
        <v>794</v>
      </c>
      <c r="E644" s="8" t="str">
        <f>IFERROR(VLOOKUP(LOG_RESEAU[[#This Row],[Cell_ID]],Registre_Maintenance!A:B,2,FALSE),"Non trouvé")</f>
        <v>Bas-Uele</v>
      </c>
      <c r="F644" s="8">
        <f>IFERROR(VLOOKUP(LOG_RESEAU[[#This Row],[Cell_ID]],Registre_Maintenance!A:C,3,FALSE),"Non trouvé")</f>
        <v>-7.3952039999999997</v>
      </c>
      <c r="G644" s="8">
        <f>IFERROR(VLOOKUP(LOG_RESEAU[[#This Row],[Cell_ID]],Registre_Maintenance!A:D,4,FALSE),"Non trouvé")</f>
        <v>21.651043999999999</v>
      </c>
      <c r="H644" s="6" t="str">
        <f>IFERROR(VLOOKUP(LOG_RESEAU[[#This Row],[Cell_ID]],Registre_Maintenance!A:E,5,FALSE),"Non trouvé")</f>
        <v>4G</v>
      </c>
      <c r="I644" s="6" t="str">
        <f>IFERROR(VLOOKUP(LOG_RESEAU[[#This Row],[Cell_ID]],Registre_Maintenance!A:F,6,FALSE),"Non trouvé")</f>
        <v>Huawei</v>
      </c>
      <c r="J644" s="6" t="str">
        <f t="shared" si="30"/>
        <v>OK</v>
      </c>
      <c r="K644" s="6">
        <f t="shared" si="31"/>
        <v>3</v>
      </c>
      <c r="L644" s="6">
        <f t="shared" si="32"/>
        <v>257</v>
      </c>
    </row>
    <row r="645" spans="1:12" ht="15.75" x14ac:dyDescent="0.25">
      <c r="A645" s="6" t="s">
        <v>808</v>
      </c>
      <c r="B645" s="7">
        <v>45210.912499999999</v>
      </c>
      <c r="C645" s="6">
        <v>80</v>
      </c>
      <c r="D645" s="6" t="s">
        <v>794</v>
      </c>
      <c r="E645" s="8" t="str">
        <f>IFERROR(VLOOKUP(LOG_RESEAU[[#This Row],[Cell_ID]],Registre_Maintenance!A:B,2,FALSE),"Non trouvé")</f>
        <v>Bas-Uele</v>
      </c>
      <c r="F645" s="8">
        <f>IFERROR(VLOOKUP(LOG_RESEAU[[#This Row],[Cell_ID]],Registre_Maintenance!A:C,3,FALSE),"Non trouvé")</f>
        <v>-7.3952039999999997</v>
      </c>
      <c r="G645" s="8">
        <f>IFERROR(VLOOKUP(LOG_RESEAU[[#This Row],[Cell_ID]],Registre_Maintenance!A:D,4,FALSE),"Non trouvé")</f>
        <v>21.651043999999999</v>
      </c>
      <c r="H645" s="6" t="str">
        <f>IFERROR(VLOOKUP(LOG_RESEAU[[#This Row],[Cell_ID]],Registre_Maintenance!A:E,5,FALSE),"Non trouvé")</f>
        <v>4G</v>
      </c>
      <c r="I645" s="6" t="str">
        <f>IFERROR(VLOOKUP(LOG_RESEAU[[#This Row],[Cell_ID]],Registre_Maintenance!A:F,6,FALSE),"Non trouvé")</f>
        <v>Huawei</v>
      </c>
      <c r="J645" s="6" t="str">
        <f t="shared" si="30"/>
        <v>OK</v>
      </c>
      <c r="K645" s="6">
        <f t="shared" si="31"/>
        <v>3</v>
      </c>
      <c r="L645" s="6">
        <f t="shared" si="32"/>
        <v>257</v>
      </c>
    </row>
    <row r="646" spans="1:12" ht="15.75" x14ac:dyDescent="0.25">
      <c r="A646" s="6" t="s">
        <v>808</v>
      </c>
      <c r="B646" s="7">
        <v>45230.395138888889</v>
      </c>
      <c r="C646" s="6">
        <v>89</v>
      </c>
      <c r="D646" s="6" t="s">
        <v>792</v>
      </c>
      <c r="E646" s="8" t="str">
        <f>IFERROR(VLOOKUP(LOG_RESEAU[[#This Row],[Cell_ID]],Registre_Maintenance!A:B,2,FALSE),"Non trouvé")</f>
        <v>Bas-Uele</v>
      </c>
      <c r="F646" s="8">
        <f>IFERROR(VLOOKUP(LOG_RESEAU[[#This Row],[Cell_ID]],Registre_Maintenance!A:C,3,FALSE),"Non trouvé")</f>
        <v>-7.3952039999999997</v>
      </c>
      <c r="G646" s="8">
        <f>IFERROR(VLOOKUP(LOG_RESEAU[[#This Row],[Cell_ID]],Registre_Maintenance!A:D,4,FALSE),"Non trouvé")</f>
        <v>21.651043999999999</v>
      </c>
      <c r="H646" s="6" t="str">
        <f>IFERROR(VLOOKUP(LOG_RESEAU[[#This Row],[Cell_ID]],Registre_Maintenance!A:E,5,FALSE),"Non trouvé")</f>
        <v>4G</v>
      </c>
      <c r="I646" s="6" t="str">
        <f>IFERROR(VLOOKUP(LOG_RESEAU[[#This Row],[Cell_ID]],Registre_Maintenance!A:F,6,FALSE),"Non trouvé")</f>
        <v>Huawei</v>
      </c>
      <c r="J646" s="6" t="str">
        <f t="shared" si="30"/>
        <v>OK</v>
      </c>
      <c r="K646" s="6">
        <f t="shared" si="31"/>
        <v>3</v>
      </c>
      <c r="L646" s="6">
        <f t="shared" si="32"/>
        <v>257</v>
      </c>
    </row>
    <row r="647" spans="1:12" ht="15.75" x14ac:dyDescent="0.25">
      <c r="A647" s="6" t="s">
        <v>895</v>
      </c>
      <c r="B647" s="7">
        <v>45219.101388888892</v>
      </c>
      <c r="C647" s="6">
        <v>14</v>
      </c>
      <c r="D647" s="6" t="s">
        <v>792</v>
      </c>
      <c r="E647" s="8" t="str">
        <f>IFERROR(VLOOKUP(LOG_RESEAU[[#This Row],[Cell_ID]],Registre_Maintenance!A:B,2,FALSE),"Non trouvé")</f>
        <v>Kasai-Central</v>
      </c>
      <c r="F647" s="8">
        <f>IFERROR(VLOOKUP(LOG_RESEAU[[#This Row],[Cell_ID]],Registre_Maintenance!A:C,3,FALSE),"Non trouvé")</f>
        <v>1.897178</v>
      </c>
      <c r="G647" s="8">
        <f>IFERROR(VLOOKUP(LOG_RESEAU[[#This Row],[Cell_ID]],Registre_Maintenance!A:D,4,FALSE),"Non trouvé")</f>
        <v>23.902604</v>
      </c>
      <c r="H647" s="6" t="str">
        <f>IFERROR(VLOOKUP(LOG_RESEAU[[#This Row],[Cell_ID]],Registre_Maintenance!A:E,5,FALSE),"Non trouvé")</f>
        <v>3G</v>
      </c>
      <c r="I647" s="6" t="str">
        <f>IFERROR(VLOOKUP(LOG_RESEAU[[#This Row],[Cell_ID]],Registre_Maintenance!A:F,6,FALSE),"Non trouvé")</f>
        <v>Nokia</v>
      </c>
      <c r="J647" s="6" t="str">
        <f t="shared" si="30"/>
        <v>OK</v>
      </c>
      <c r="K647" s="6">
        <f t="shared" si="31"/>
        <v>5</v>
      </c>
      <c r="L647" s="6">
        <f t="shared" si="32"/>
        <v>244</v>
      </c>
    </row>
    <row r="648" spans="1:12" ht="15.75" x14ac:dyDescent="0.25">
      <c r="A648" s="6" t="s">
        <v>895</v>
      </c>
      <c r="B648" s="7">
        <v>45202.323611111111</v>
      </c>
      <c r="C648" s="6">
        <v>46</v>
      </c>
      <c r="D648" s="6" t="s">
        <v>792</v>
      </c>
      <c r="E648" s="8" t="str">
        <f>IFERROR(VLOOKUP(LOG_RESEAU[[#This Row],[Cell_ID]],Registre_Maintenance!A:B,2,FALSE),"Non trouvé")</f>
        <v>Kasai-Central</v>
      </c>
      <c r="F648" s="8">
        <f>IFERROR(VLOOKUP(LOG_RESEAU[[#This Row],[Cell_ID]],Registre_Maintenance!A:C,3,FALSE),"Non trouvé")</f>
        <v>1.897178</v>
      </c>
      <c r="G648" s="8">
        <f>IFERROR(VLOOKUP(LOG_RESEAU[[#This Row],[Cell_ID]],Registre_Maintenance!A:D,4,FALSE),"Non trouvé")</f>
        <v>23.902604</v>
      </c>
      <c r="H648" s="6" t="str">
        <f>IFERROR(VLOOKUP(LOG_RESEAU[[#This Row],[Cell_ID]],Registre_Maintenance!A:E,5,FALSE),"Non trouvé")</f>
        <v>3G</v>
      </c>
      <c r="I648" s="6" t="str">
        <f>IFERROR(VLOOKUP(LOG_RESEAU[[#This Row],[Cell_ID]],Registre_Maintenance!A:F,6,FALSE),"Non trouvé")</f>
        <v>Nokia</v>
      </c>
      <c r="J648" s="6" t="str">
        <f t="shared" si="30"/>
        <v>OK</v>
      </c>
      <c r="K648" s="6">
        <f t="shared" si="31"/>
        <v>5</v>
      </c>
      <c r="L648" s="6">
        <f t="shared" si="32"/>
        <v>244</v>
      </c>
    </row>
    <row r="649" spans="1:12" ht="15.75" x14ac:dyDescent="0.25">
      <c r="A649" s="6" t="s">
        <v>895</v>
      </c>
      <c r="B649" s="7">
        <v>45218.693055555559</v>
      </c>
      <c r="C649" s="6">
        <v>35</v>
      </c>
      <c r="D649" s="6" t="s">
        <v>792</v>
      </c>
      <c r="E649" s="8" t="str">
        <f>IFERROR(VLOOKUP(LOG_RESEAU[[#This Row],[Cell_ID]],Registre_Maintenance!A:B,2,FALSE),"Non trouvé")</f>
        <v>Kasai-Central</v>
      </c>
      <c r="F649" s="8">
        <f>IFERROR(VLOOKUP(LOG_RESEAU[[#This Row],[Cell_ID]],Registre_Maintenance!A:C,3,FALSE),"Non trouvé")</f>
        <v>1.897178</v>
      </c>
      <c r="G649" s="8">
        <f>IFERROR(VLOOKUP(LOG_RESEAU[[#This Row],[Cell_ID]],Registre_Maintenance!A:D,4,FALSE),"Non trouvé")</f>
        <v>23.902604</v>
      </c>
      <c r="H649" s="6" t="str">
        <f>IFERROR(VLOOKUP(LOG_RESEAU[[#This Row],[Cell_ID]],Registre_Maintenance!A:E,5,FALSE),"Non trouvé")</f>
        <v>3G</v>
      </c>
      <c r="I649" s="6" t="str">
        <f>IFERROR(VLOOKUP(LOG_RESEAU[[#This Row],[Cell_ID]],Registre_Maintenance!A:F,6,FALSE),"Non trouvé")</f>
        <v>Nokia</v>
      </c>
      <c r="J649" s="6" t="str">
        <f t="shared" si="30"/>
        <v>OK</v>
      </c>
      <c r="K649" s="6">
        <f t="shared" si="31"/>
        <v>5</v>
      </c>
      <c r="L649" s="6">
        <f t="shared" si="32"/>
        <v>244</v>
      </c>
    </row>
    <row r="650" spans="1:12" ht="15.75" x14ac:dyDescent="0.25">
      <c r="A650" s="6" t="s">
        <v>895</v>
      </c>
      <c r="B650" s="7">
        <v>45205.47152777778</v>
      </c>
      <c r="C650" s="6">
        <v>117</v>
      </c>
      <c r="D650" s="6" t="s">
        <v>792</v>
      </c>
      <c r="E650" s="8" t="str">
        <f>IFERROR(VLOOKUP(LOG_RESEAU[[#This Row],[Cell_ID]],Registre_Maintenance!A:B,2,FALSE),"Non trouvé")</f>
        <v>Kasai-Central</v>
      </c>
      <c r="F650" s="8">
        <f>IFERROR(VLOOKUP(LOG_RESEAU[[#This Row],[Cell_ID]],Registre_Maintenance!A:C,3,FALSE),"Non trouvé")</f>
        <v>1.897178</v>
      </c>
      <c r="G650" s="8">
        <f>IFERROR(VLOOKUP(LOG_RESEAU[[#This Row],[Cell_ID]],Registre_Maintenance!A:D,4,FALSE),"Non trouvé")</f>
        <v>23.902604</v>
      </c>
      <c r="H650" s="6" t="str">
        <f>IFERROR(VLOOKUP(LOG_RESEAU[[#This Row],[Cell_ID]],Registre_Maintenance!A:E,5,FALSE),"Non trouvé")</f>
        <v>3G</v>
      </c>
      <c r="I650" s="6" t="str">
        <f>IFERROR(VLOOKUP(LOG_RESEAU[[#This Row],[Cell_ID]],Registre_Maintenance!A:F,6,FALSE),"Non trouvé")</f>
        <v>Nokia</v>
      </c>
      <c r="J650" s="6" t="str">
        <f t="shared" si="30"/>
        <v>OK</v>
      </c>
      <c r="K650" s="6">
        <f t="shared" si="31"/>
        <v>5</v>
      </c>
      <c r="L650" s="6">
        <f t="shared" si="32"/>
        <v>244</v>
      </c>
    </row>
    <row r="651" spans="1:12" ht="15.75" x14ac:dyDescent="0.25">
      <c r="A651" s="6" t="s">
        <v>895</v>
      </c>
      <c r="B651" s="7">
        <v>45207.011111111111</v>
      </c>
      <c r="C651" s="6">
        <v>32</v>
      </c>
      <c r="D651" s="6" t="s">
        <v>794</v>
      </c>
      <c r="E651" s="8" t="str">
        <f>IFERROR(VLOOKUP(LOG_RESEAU[[#This Row],[Cell_ID]],Registre_Maintenance!A:B,2,FALSE),"Non trouvé")</f>
        <v>Kasai-Central</v>
      </c>
      <c r="F651" s="8">
        <f>IFERROR(VLOOKUP(LOG_RESEAU[[#This Row],[Cell_ID]],Registre_Maintenance!A:C,3,FALSE),"Non trouvé")</f>
        <v>1.897178</v>
      </c>
      <c r="G651" s="8">
        <f>IFERROR(VLOOKUP(LOG_RESEAU[[#This Row],[Cell_ID]],Registre_Maintenance!A:D,4,FALSE),"Non trouvé")</f>
        <v>23.902604</v>
      </c>
      <c r="H651" s="6" t="str">
        <f>IFERROR(VLOOKUP(LOG_RESEAU[[#This Row],[Cell_ID]],Registre_Maintenance!A:E,5,FALSE),"Non trouvé")</f>
        <v>3G</v>
      </c>
      <c r="I651" s="6" t="str">
        <f>IFERROR(VLOOKUP(LOG_RESEAU[[#This Row],[Cell_ID]],Registre_Maintenance!A:F,6,FALSE),"Non trouvé")</f>
        <v>Nokia</v>
      </c>
      <c r="J651" s="6" t="str">
        <f t="shared" si="30"/>
        <v>OK</v>
      </c>
      <c r="K651" s="6">
        <f t="shared" si="31"/>
        <v>5</v>
      </c>
      <c r="L651" s="6">
        <f t="shared" si="32"/>
        <v>244</v>
      </c>
    </row>
    <row r="652" spans="1:12" ht="15.75" x14ac:dyDescent="0.25">
      <c r="A652" s="6" t="s">
        <v>910</v>
      </c>
      <c r="B652" s="7">
        <v>45211.74722222222</v>
      </c>
      <c r="C652" s="6">
        <v>52</v>
      </c>
      <c r="D652" s="6" t="s">
        <v>800</v>
      </c>
      <c r="E652" s="8" t="str">
        <f>IFERROR(VLOOKUP(LOG_RESEAU[[#This Row],[Cell_ID]],Registre_Maintenance!A:B,2,FALSE),"Non trouvé")</f>
        <v>Bas-Uele</v>
      </c>
      <c r="F652" s="8">
        <f>IFERROR(VLOOKUP(LOG_RESEAU[[#This Row],[Cell_ID]],Registre_Maintenance!A:C,3,FALSE),"Non trouvé")</f>
        <v>-1.6893210000000001</v>
      </c>
      <c r="G652" s="8">
        <f>IFERROR(VLOOKUP(LOG_RESEAU[[#This Row],[Cell_ID]],Registre_Maintenance!A:D,4,FALSE),"Non trouvé")</f>
        <v>30.446543999999999</v>
      </c>
      <c r="H652" s="6" t="str">
        <f>IFERROR(VLOOKUP(LOG_RESEAU[[#This Row],[Cell_ID]],Registre_Maintenance!A:E,5,FALSE),"Non trouvé")</f>
        <v>4G</v>
      </c>
      <c r="I652" s="6" t="str">
        <f>IFERROR(VLOOKUP(LOG_RESEAU[[#This Row],[Cell_ID]],Registre_Maintenance!A:F,6,FALSE),"Non trouvé")</f>
        <v>Huawei</v>
      </c>
      <c r="J652" s="6" t="str">
        <f t="shared" si="30"/>
        <v>OK</v>
      </c>
      <c r="K652" s="6">
        <f t="shared" si="31"/>
        <v>5</v>
      </c>
      <c r="L652" s="6">
        <f t="shared" si="32"/>
        <v>402</v>
      </c>
    </row>
    <row r="653" spans="1:12" ht="15.75" x14ac:dyDescent="0.25">
      <c r="A653" s="6" t="s">
        <v>910</v>
      </c>
      <c r="B653" s="7">
        <v>45212.07916666667</v>
      </c>
      <c r="C653" s="6">
        <v>96</v>
      </c>
      <c r="D653" s="6" t="s">
        <v>794</v>
      </c>
      <c r="E653" s="8" t="str">
        <f>IFERROR(VLOOKUP(LOG_RESEAU[[#This Row],[Cell_ID]],Registre_Maintenance!A:B,2,FALSE),"Non trouvé")</f>
        <v>Bas-Uele</v>
      </c>
      <c r="F653" s="8">
        <f>IFERROR(VLOOKUP(LOG_RESEAU[[#This Row],[Cell_ID]],Registre_Maintenance!A:C,3,FALSE),"Non trouvé")</f>
        <v>-1.6893210000000001</v>
      </c>
      <c r="G653" s="8">
        <f>IFERROR(VLOOKUP(LOG_RESEAU[[#This Row],[Cell_ID]],Registre_Maintenance!A:D,4,FALSE),"Non trouvé")</f>
        <v>30.446543999999999</v>
      </c>
      <c r="H653" s="6" t="str">
        <f>IFERROR(VLOOKUP(LOG_RESEAU[[#This Row],[Cell_ID]],Registre_Maintenance!A:E,5,FALSE),"Non trouvé")</f>
        <v>4G</v>
      </c>
      <c r="I653" s="6" t="str">
        <f>IFERROR(VLOOKUP(LOG_RESEAU[[#This Row],[Cell_ID]],Registre_Maintenance!A:F,6,FALSE),"Non trouvé")</f>
        <v>Huawei</v>
      </c>
      <c r="J653" s="6" t="str">
        <f t="shared" si="30"/>
        <v>OK</v>
      </c>
      <c r="K653" s="6">
        <f t="shared" si="31"/>
        <v>5</v>
      </c>
      <c r="L653" s="6">
        <f t="shared" si="32"/>
        <v>402</v>
      </c>
    </row>
    <row r="654" spans="1:12" ht="15.75" x14ac:dyDescent="0.25">
      <c r="A654" s="6" t="s">
        <v>910</v>
      </c>
      <c r="B654" s="7">
        <v>45214.067361111112</v>
      </c>
      <c r="C654" s="6">
        <v>53</v>
      </c>
      <c r="D654" s="6" t="s">
        <v>794</v>
      </c>
      <c r="E654" s="8" t="str">
        <f>IFERROR(VLOOKUP(LOG_RESEAU[[#This Row],[Cell_ID]],Registre_Maintenance!A:B,2,FALSE),"Non trouvé")</f>
        <v>Bas-Uele</v>
      </c>
      <c r="F654" s="8">
        <f>IFERROR(VLOOKUP(LOG_RESEAU[[#This Row],[Cell_ID]],Registre_Maintenance!A:C,3,FALSE),"Non trouvé")</f>
        <v>-1.6893210000000001</v>
      </c>
      <c r="G654" s="8">
        <f>IFERROR(VLOOKUP(LOG_RESEAU[[#This Row],[Cell_ID]],Registre_Maintenance!A:D,4,FALSE),"Non trouvé")</f>
        <v>30.446543999999999</v>
      </c>
      <c r="H654" s="6" t="str">
        <f>IFERROR(VLOOKUP(LOG_RESEAU[[#This Row],[Cell_ID]],Registre_Maintenance!A:E,5,FALSE),"Non trouvé")</f>
        <v>4G</v>
      </c>
      <c r="I654" s="6" t="str">
        <f>IFERROR(VLOOKUP(LOG_RESEAU[[#This Row],[Cell_ID]],Registre_Maintenance!A:F,6,FALSE),"Non trouvé")</f>
        <v>Huawei</v>
      </c>
      <c r="J654" s="6" t="str">
        <f t="shared" si="30"/>
        <v>OK</v>
      </c>
      <c r="K654" s="6">
        <f t="shared" si="31"/>
        <v>5</v>
      </c>
      <c r="L654" s="6">
        <f t="shared" si="32"/>
        <v>402</v>
      </c>
    </row>
    <row r="655" spans="1:12" ht="15.75" x14ac:dyDescent="0.25">
      <c r="A655" s="6" t="s">
        <v>910</v>
      </c>
      <c r="B655" s="7">
        <v>45202.717361111107</v>
      </c>
      <c r="C655" s="6">
        <v>107</v>
      </c>
      <c r="D655" s="6" t="s">
        <v>792</v>
      </c>
      <c r="E655" s="8" t="str">
        <f>IFERROR(VLOOKUP(LOG_RESEAU[[#This Row],[Cell_ID]],Registre_Maintenance!A:B,2,FALSE),"Non trouvé")</f>
        <v>Bas-Uele</v>
      </c>
      <c r="F655" s="8">
        <f>IFERROR(VLOOKUP(LOG_RESEAU[[#This Row],[Cell_ID]],Registre_Maintenance!A:C,3,FALSE),"Non trouvé")</f>
        <v>-1.6893210000000001</v>
      </c>
      <c r="G655" s="8">
        <f>IFERROR(VLOOKUP(LOG_RESEAU[[#This Row],[Cell_ID]],Registre_Maintenance!A:D,4,FALSE),"Non trouvé")</f>
        <v>30.446543999999999</v>
      </c>
      <c r="H655" s="6" t="str">
        <f>IFERROR(VLOOKUP(LOG_RESEAU[[#This Row],[Cell_ID]],Registre_Maintenance!A:E,5,FALSE),"Non trouvé")</f>
        <v>4G</v>
      </c>
      <c r="I655" s="6" t="str">
        <f>IFERROR(VLOOKUP(LOG_RESEAU[[#This Row],[Cell_ID]],Registre_Maintenance!A:F,6,FALSE),"Non trouvé")</f>
        <v>Huawei</v>
      </c>
      <c r="J655" s="6" t="str">
        <f t="shared" si="30"/>
        <v>OK</v>
      </c>
      <c r="K655" s="6">
        <f t="shared" si="31"/>
        <v>5</v>
      </c>
      <c r="L655" s="6">
        <f t="shared" si="32"/>
        <v>402</v>
      </c>
    </row>
    <row r="656" spans="1:12" ht="15.75" x14ac:dyDescent="0.25">
      <c r="A656" s="6" t="s">
        <v>910</v>
      </c>
      <c r="B656" s="7">
        <v>45204.625</v>
      </c>
      <c r="C656" s="6">
        <v>94</v>
      </c>
      <c r="D656" s="6" t="s">
        <v>792</v>
      </c>
      <c r="E656" s="8" t="str">
        <f>IFERROR(VLOOKUP(LOG_RESEAU[[#This Row],[Cell_ID]],Registre_Maintenance!A:B,2,FALSE),"Non trouvé")</f>
        <v>Bas-Uele</v>
      </c>
      <c r="F656" s="8">
        <f>IFERROR(VLOOKUP(LOG_RESEAU[[#This Row],[Cell_ID]],Registre_Maintenance!A:C,3,FALSE),"Non trouvé")</f>
        <v>-1.6893210000000001</v>
      </c>
      <c r="G656" s="8">
        <f>IFERROR(VLOOKUP(LOG_RESEAU[[#This Row],[Cell_ID]],Registre_Maintenance!A:D,4,FALSE),"Non trouvé")</f>
        <v>30.446543999999999</v>
      </c>
      <c r="H656" s="6" t="str">
        <f>IFERROR(VLOOKUP(LOG_RESEAU[[#This Row],[Cell_ID]],Registre_Maintenance!A:E,5,FALSE),"Non trouvé")</f>
        <v>4G</v>
      </c>
      <c r="I656" s="6" t="str">
        <f>IFERROR(VLOOKUP(LOG_RESEAU[[#This Row],[Cell_ID]],Registre_Maintenance!A:F,6,FALSE),"Non trouvé")</f>
        <v>Huawei</v>
      </c>
      <c r="J656" s="6" t="str">
        <f t="shared" si="30"/>
        <v>OK</v>
      </c>
      <c r="K656" s="6">
        <f t="shared" si="31"/>
        <v>5</v>
      </c>
      <c r="L656" s="6">
        <f t="shared" si="32"/>
        <v>402</v>
      </c>
    </row>
    <row r="657" spans="1:12" ht="15.75" x14ac:dyDescent="0.25">
      <c r="A657" s="6" t="s">
        <v>954</v>
      </c>
      <c r="B657" s="7">
        <v>45210.270138888889</v>
      </c>
      <c r="C657" s="6">
        <v>36</v>
      </c>
      <c r="D657" s="6" t="s">
        <v>800</v>
      </c>
      <c r="E657" s="8" t="str">
        <f>IFERROR(VLOOKUP(LOG_RESEAU[[#This Row],[Cell_ID]],Registre_Maintenance!A:B,2,FALSE),"Non trouvé")</f>
        <v>Non trouvé</v>
      </c>
      <c r="F657" s="8" t="str">
        <f>IFERROR(VLOOKUP(LOG_RESEAU[[#This Row],[Cell_ID]],Registre_Maintenance!A:C,3,FALSE),"Non trouvé")</f>
        <v>Non trouvé</v>
      </c>
      <c r="G657" s="8" t="str">
        <f>IFERROR(VLOOKUP(LOG_RESEAU[[#This Row],[Cell_ID]],Registre_Maintenance!A:D,4,FALSE),"Non trouvé")</f>
        <v>Non trouvé</v>
      </c>
      <c r="H657" s="6" t="str">
        <f>IFERROR(VLOOKUP(LOG_RESEAU[[#This Row],[Cell_ID]],Registre_Maintenance!A:E,5,FALSE),"Non trouvé")</f>
        <v>Non trouvé</v>
      </c>
      <c r="I657" s="6" t="str">
        <f>IFERROR(VLOOKUP(LOG_RESEAU[[#This Row],[Cell_ID]],Registre_Maintenance!A:F,6,FALSE),"Non trouvé")</f>
        <v>Non trouvé</v>
      </c>
      <c r="J657" s="6" t="str">
        <f t="shared" si="30"/>
        <v>Antenne inconnue</v>
      </c>
      <c r="K657" s="6">
        <f t="shared" si="31"/>
        <v>4</v>
      </c>
      <c r="L657" s="6">
        <f t="shared" si="32"/>
        <v>118</v>
      </c>
    </row>
    <row r="658" spans="1:12" ht="15.75" x14ac:dyDescent="0.25">
      <c r="A658" s="6" t="s">
        <v>954</v>
      </c>
      <c r="B658" s="7">
        <v>45205.11041666667</v>
      </c>
      <c r="C658" s="6">
        <v>9</v>
      </c>
      <c r="D658" s="6" t="s">
        <v>800</v>
      </c>
      <c r="E658" s="8" t="str">
        <f>IFERROR(VLOOKUP(LOG_RESEAU[[#This Row],[Cell_ID]],Registre_Maintenance!A:B,2,FALSE),"Non trouvé")</f>
        <v>Non trouvé</v>
      </c>
      <c r="F658" s="8" t="str">
        <f>IFERROR(VLOOKUP(LOG_RESEAU[[#This Row],[Cell_ID]],Registre_Maintenance!A:C,3,FALSE),"Non trouvé")</f>
        <v>Non trouvé</v>
      </c>
      <c r="G658" s="8" t="str">
        <f>IFERROR(VLOOKUP(LOG_RESEAU[[#This Row],[Cell_ID]],Registre_Maintenance!A:D,4,FALSE),"Non trouvé")</f>
        <v>Non trouvé</v>
      </c>
      <c r="H658" s="6" t="str">
        <f>IFERROR(VLOOKUP(LOG_RESEAU[[#This Row],[Cell_ID]],Registre_Maintenance!A:E,5,FALSE),"Non trouvé")</f>
        <v>Non trouvé</v>
      </c>
      <c r="I658" s="6" t="str">
        <f>IFERROR(VLOOKUP(LOG_RESEAU[[#This Row],[Cell_ID]],Registre_Maintenance!A:F,6,FALSE),"Non trouvé")</f>
        <v>Non trouvé</v>
      </c>
      <c r="J658" s="6" t="str">
        <f t="shared" si="30"/>
        <v>Antenne inconnue</v>
      </c>
      <c r="K658" s="6">
        <f t="shared" si="31"/>
        <v>4</v>
      </c>
      <c r="L658" s="6">
        <f t="shared" si="32"/>
        <v>118</v>
      </c>
    </row>
    <row r="659" spans="1:12" ht="15.75" x14ac:dyDescent="0.25">
      <c r="A659" s="6" t="s">
        <v>954</v>
      </c>
      <c r="B659" s="7">
        <v>45227.724305555559</v>
      </c>
      <c r="C659" s="6">
        <v>46</v>
      </c>
      <c r="D659" s="6" t="s">
        <v>794</v>
      </c>
      <c r="E659" s="8" t="str">
        <f>IFERROR(VLOOKUP(LOG_RESEAU[[#This Row],[Cell_ID]],Registre_Maintenance!A:B,2,FALSE),"Non trouvé")</f>
        <v>Non trouvé</v>
      </c>
      <c r="F659" s="8" t="str">
        <f>IFERROR(VLOOKUP(LOG_RESEAU[[#This Row],[Cell_ID]],Registre_Maintenance!A:C,3,FALSE),"Non trouvé")</f>
        <v>Non trouvé</v>
      </c>
      <c r="G659" s="8" t="str">
        <f>IFERROR(VLOOKUP(LOG_RESEAU[[#This Row],[Cell_ID]],Registre_Maintenance!A:D,4,FALSE),"Non trouvé")</f>
        <v>Non trouvé</v>
      </c>
      <c r="H659" s="6" t="str">
        <f>IFERROR(VLOOKUP(LOG_RESEAU[[#This Row],[Cell_ID]],Registre_Maintenance!A:E,5,FALSE),"Non trouvé")</f>
        <v>Non trouvé</v>
      </c>
      <c r="I659" s="6" t="str">
        <f>IFERROR(VLOOKUP(LOG_RESEAU[[#This Row],[Cell_ID]],Registre_Maintenance!A:F,6,FALSE),"Non trouvé")</f>
        <v>Non trouvé</v>
      </c>
      <c r="J659" s="6" t="str">
        <f t="shared" si="30"/>
        <v>Antenne inconnue</v>
      </c>
      <c r="K659" s="6">
        <f t="shared" si="31"/>
        <v>4</v>
      </c>
      <c r="L659" s="6">
        <f t="shared" si="32"/>
        <v>118</v>
      </c>
    </row>
    <row r="660" spans="1:12" ht="15.75" x14ac:dyDescent="0.25">
      <c r="A660" s="6" t="s">
        <v>954</v>
      </c>
      <c r="B660" s="7">
        <v>45216.26666666667</v>
      </c>
      <c r="C660" s="6">
        <v>27</v>
      </c>
      <c r="D660" s="6" t="s">
        <v>800</v>
      </c>
      <c r="E660" s="8" t="str">
        <f>IFERROR(VLOOKUP(LOG_RESEAU[[#This Row],[Cell_ID]],Registre_Maintenance!A:B,2,FALSE),"Non trouvé")</f>
        <v>Non trouvé</v>
      </c>
      <c r="F660" s="8" t="str">
        <f>IFERROR(VLOOKUP(LOG_RESEAU[[#This Row],[Cell_ID]],Registre_Maintenance!A:C,3,FALSE),"Non trouvé")</f>
        <v>Non trouvé</v>
      </c>
      <c r="G660" s="8" t="str">
        <f>IFERROR(VLOOKUP(LOG_RESEAU[[#This Row],[Cell_ID]],Registre_Maintenance!A:D,4,FALSE),"Non trouvé")</f>
        <v>Non trouvé</v>
      </c>
      <c r="H660" s="6" t="str">
        <f>IFERROR(VLOOKUP(LOG_RESEAU[[#This Row],[Cell_ID]],Registre_Maintenance!A:E,5,FALSE),"Non trouvé")</f>
        <v>Non trouvé</v>
      </c>
      <c r="I660" s="6" t="str">
        <f>IFERROR(VLOOKUP(LOG_RESEAU[[#This Row],[Cell_ID]],Registre_Maintenance!A:F,6,FALSE),"Non trouvé")</f>
        <v>Non trouvé</v>
      </c>
      <c r="J660" s="6" t="str">
        <f t="shared" si="30"/>
        <v>Antenne inconnue</v>
      </c>
      <c r="K660" s="6">
        <f t="shared" si="31"/>
        <v>4</v>
      </c>
      <c r="L660" s="6">
        <f t="shared" si="32"/>
        <v>118</v>
      </c>
    </row>
    <row r="661" spans="1:12" ht="15.75" x14ac:dyDescent="0.25">
      <c r="A661" s="6" t="s">
        <v>956</v>
      </c>
      <c r="B661" s="7">
        <v>45228.511805555558</v>
      </c>
      <c r="C661" s="6">
        <v>108</v>
      </c>
      <c r="D661" s="6" t="s">
        <v>794</v>
      </c>
      <c r="E661" s="8" t="str">
        <f>IFERROR(VLOOKUP(LOG_RESEAU[[#This Row],[Cell_ID]],Registre_Maintenance!A:B,2,FALSE),"Non trouvé")</f>
        <v>Non trouvé</v>
      </c>
      <c r="F661" s="8" t="str">
        <f>IFERROR(VLOOKUP(LOG_RESEAU[[#This Row],[Cell_ID]],Registre_Maintenance!A:C,3,FALSE),"Non trouvé")</f>
        <v>Non trouvé</v>
      </c>
      <c r="G661" s="8" t="str">
        <f>IFERROR(VLOOKUP(LOG_RESEAU[[#This Row],[Cell_ID]],Registre_Maintenance!A:D,4,FALSE),"Non trouvé")</f>
        <v>Non trouvé</v>
      </c>
      <c r="H661" s="6" t="str">
        <f>IFERROR(VLOOKUP(LOG_RESEAU[[#This Row],[Cell_ID]],Registre_Maintenance!A:E,5,FALSE),"Non trouvé")</f>
        <v>Non trouvé</v>
      </c>
      <c r="I661" s="6" t="str">
        <f>IFERROR(VLOOKUP(LOG_RESEAU[[#This Row],[Cell_ID]],Registre_Maintenance!A:F,6,FALSE),"Non trouvé")</f>
        <v>Non trouvé</v>
      </c>
      <c r="J661" s="6" t="str">
        <f t="shared" si="30"/>
        <v>Antenne inconnue</v>
      </c>
      <c r="K661" s="6">
        <f t="shared" si="31"/>
        <v>4</v>
      </c>
      <c r="L661" s="6">
        <f t="shared" si="32"/>
        <v>356</v>
      </c>
    </row>
    <row r="662" spans="1:12" ht="15.75" x14ac:dyDescent="0.25">
      <c r="A662" s="6" t="s">
        <v>1012</v>
      </c>
      <c r="B662" s="7">
        <v>45223.668055555558</v>
      </c>
      <c r="C662" s="6">
        <v>86</v>
      </c>
      <c r="D662" s="6" t="s">
        <v>792</v>
      </c>
      <c r="E662" s="8" t="str">
        <f>IFERROR(VLOOKUP(LOG_RESEAU[[#This Row],[Cell_ID]],Registre_Maintenance!A:B,2,FALSE),"Non trouvé")</f>
        <v>Non trouvé</v>
      </c>
      <c r="F662" s="8" t="str">
        <f>IFERROR(VLOOKUP(LOG_RESEAU[[#This Row],[Cell_ID]],Registre_Maintenance!A:C,3,FALSE),"Non trouvé")</f>
        <v>Non trouvé</v>
      </c>
      <c r="G662" s="8" t="str">
        <f>IFERROR(VLOOKUP(LOG_RESEAU[[#This Row],[Cell_ID]],Registre_Maintenance!A:D,4,FALSE),"Non trouvé")</f>
        <v>Non trouvé</v>
      </c>
      <c r="H662" s="6" t="str">
        <f>IFERROR(VLOOKUP(LOG_RESEAU[[#This Row],[Cell_ID]],Registre_Maintenance!A:E,5,FALSE),"Non trouvé")</f>
        <v>Non trouvé</v>
      </c>
      <c r="I662" s="6" t="str">
        <f>IFERROR(VLOOKUP(LOG_RESEAU[[#This Row],[Cell_ID]],Registre_Maintenance!A:F,6,FALSE),"Non trouvé")</f>
        <v>Non trouvé</v>
      </c>
      <c r="J662" s="6" t="str">
        <f t="shared" si="30"/>
        <v>Antenne inconnue</v>
      </c>
      <c r="K662" s="6">
        <f t="shared" si="31"/>
        <v>4</v>
      </c>
      <c r="L662" s="6">
        <f t="shared" si="32"/>
        <v>356</v>
      </c>
    </row>
    <row r="663" spans="1:12" ht="15.75" x14ac:dyDescent="0.25">
      <c r="A663" s="6" t="s">
        <v>1012</v>
      </c>
      <c r="B663" s="7">
        <v>45213.244444444441</v>
      </c>
      <c r="C663" s="6">
        <v>73</v>
      </c>
      <c r="D663" s="6" t="s">
        <v>792</v>
      </c>
      <c r="E663" s="8" t="str">
        <f>IFERROR(VLOOKUP(LOG_RESEAU[[#This Row],[Cell_ID]],Registre_Maintenance!A:B,2,FALSE),"Non trouvé")</f>
        <v>Non trouvé</v>
      </c>
      <c r="F663" s="8" t="str">
        <f>IFERROR(VLOOKUP(LOG_RESEAU[[#This Row],[Cell_ID]],Registre_Maintenance!A:C,3,FALSE),"Non trouvé")</f>
        <v>Non trouvé</v>
      </c>
      <c r="G663" s="8" t="str">
        <f>IFERROR(VLOOKUP(LOG_RESEAU[[#This Row],[Cell_ID]],Registre_Maintenance!A:D,4,FALSE),"Non trouvé")</f>
        <v>Non trouvé</v>
      </c>
      <c r="H663" s="6" t="str">
        <f>IFERROR(VLOOKUP(LOG_RESEAU[[#This Row],[Cell_ID]],Registre_Maintenance!A:E,5,FALSE),"Non trouvé")</f>
        <v>Non trouvé</v>
      </c>
      <c r="I663" s="6" t="str">
        <f>IFERROR(VLOOKUP(LOG_RESEAU[[#This Row],[Cell_ID]],Registre_Maintenance!A:F,6,FALSE),"Non trouvé")</f>
        <v>Non trouvé</v>
      </c>
      <c r="J663" s="6" t="str">
        <f t="shared" si="30"/>
        <v>Antenne inconnue</v>
      </c>
      <c r="K663" s="6">
        <f t="shared" si="31"/>
        <v>4</v>
      </c>
      <c r="L663" s="6">
        <f t="shared" si="32"/>
        <v>356</v>
      </c>
    </row>
    <row r="664" spans="1:12" ht="15.75" x14ac:dyDescent="0.25">
      <c r="A664" s="6" t="s">
        <v>1012</v>
      </c>
      <c r="B664" s="7">
        <v>45214.929861111108</v>
      </c>
      <c r="C664" s="6">
        <v>89</v>
      </c>
      <c r="D664" s="6" t="s">
        <v>792</v>
      </c>
      <c r="E664" s="8" t="str">
        <f>IFERROR(VLOOKUP(LOG_RESEAU[[#This Row],[Cell_ID]],Registre_Maintenance!A:B,2,FALSE),"Non trouvé")</f>
        <v>Non trouvé</v>
      </c>
      <c r="F664" s="8" t="str">
        <f>IFERROR(VLOOKUP(LOG_RESEAU[[#This Row],[Cell_ID]],Registre_Maintenance!A:C,3,FALSE),"Non trouvé")</f>
        <v>Non trouvé</v>
      </c>
      <c r="G664" s="8" t="str">
        <f>IFERROR(VLOOKUP(LOG_RESEAU[[#This Row],[Cell_ID]],Registre_Maintenance!A:D,4,FALSE),"Non trouvé")</f>
        <v>Non trouvé</v>
      </c>
      <c r="H664" s="6" t="str">
        <f>IFERROR(VLOOKUP(LOG_RESEAU[[#This Row],[Cell_ID]],Registre_Maintenance!A:E,5,FALSE),"Non trouvé")</f>
        <v>Non trouvé</v>
      </c>
      <c r="I664" s="6" t="str">
        <f>IFERROR(VLOOKUP(LOG_RESEAU[[#This Row],[Cell_ID]],Registre_Maintenance!A:F,6,FALSE),"Non trouvé")</f>
        <v>Non trouvé</v>
      </c>
      <c r="J664" s="6" t="str">
        <f t="shared" si="30"/>
        <v>Antenne inconnue</v>
      </c>
      <c r="K664" s="6">
        <f t="shared" si="31"/>
        <v>4</v>
      </c>
      <c r="L664" s="6">
        <f t="shared" si="32"/>
        <v>356</v>
      </c>
    </row>
    <row r="665" spans="1:12" ht="15.75" x14ac:dyDescent="0.25">
      <c r="A665" s="6" t="s">
        <v>939</v>
      </c>
      <c r="B665" s="7">
        <v>45207.145138888889</v>
      </c>
      <c r="C665" s="6">
        <v>16</v>
      </c>
      <c r="D665" s="6" t="s">
        <v>800</v>
      </c>
      <c r="E665" s="8" t="str">
        <f>IFERROR(VLOOKUP(LOG_RESEAU[[#This Row],[Cell_ID]],Registre_Maintenance!A:B,2,FALSE),"Non trouvé")</f>
        <v>Non trouvé</v>
      </c>
      <c r="F665" s="8" t="str">
        <f>IFERROR(VLOOKUP(LOG_RESEAU[[#This Row],[Cell_ID]],Registre_Maintenance!A:C,3,FALSE),"Non trouvé")</f>
        <v>Non trouvé</v>
      </c>
      <c r="G665" s="8" t="str">
        <f>IFERROR(VLOOKUP(LOG_RESEAU[[#This Row],[Cell_ID]],Registre_Maintenance!A:D,4,FALSE),"Non trouvé")</f>
        <v>Non trouvé</v>
      </c>
      <c r="H665" s="6" t="str">
        <f>IFERROR(VLOOKUP(LOG_RESEAU[[#This Row],[Cell_ID]],Registre_Maintenance!A:E,5,FALSE),"Non trouvé")</f>
        <v>Non trouvé</v>
      </c>
      <c r="I665" s="6" t="str">
        <f>IFERROR(VLOOKUP(LOG_RESEAU[[#This Row],[Cell_ID]],Registre_Maintenance!A:F,6,FALSE),"Non trouvé")</f>
        <v>Non trouvé</v>
      </c>
      <c r="J665" s="6" t="str">
        <f t="shared" si="30"/>
        <v>Antenne inconnue</v>
      </c>
      <c r="K665" s="6">
        <f t="shared" si="31"/>
        <v>10</v>
      </c>
      <c r="L665" s="6">
        <f t="shared" si="32"/>
        <v>658</v>
      </c>
    </row>
    <row r="666" spans="1:12" ht="15.75" x14ac:dyDescent="0.25">
      <c r="A666" s="6" t="s">
        <v>939</v>
      </c>
      <c r="B666" s="7">
        <v>45226.997916666667</v>
      </c>
      <c r="C666" s="6">
        <v>80</v>
      </c>
      <c r="D666" s="6" t="s">
        <v>794</v>
      </c>
      <c r="E666" s="8" t="str">
        <f>IFERROR(VLOOKUP(LOG_RESEAU[[#This Row],[Cell_ID]],Registre_Maintenance!A:B,2,FALSE),"Non trouvé")</f>
        <v>Non trouvé</v>
      </c>
      <c r="F666" s="8" t="str">
        <f>IFERROR(VLOOKUP(LOG_RESEAU[[#This Row],[Cell_ID]],Registre_Maintenance!A:C,3,FALSE),"Non trouvé")</f>
        <v>Non trouvé</v>
      </c>
      <c r="G666" s="8" t="str">
        <f>IFERROR(VLOOKUP(LOG_RESEAU[[#This Row],[Cell_ID]],Registre_Maintenance!A:D,4,FALSE),"Non trouvé")</f>
        <v>Non trouvé</v>
      </c>
      <c r="H666" s="6" t="str">
        <f>IFERROR(VLOOKUP(LOG_RESEAU[[#This Row],[Cell_ID]],Registre_Maintenance!A:E,5,FALSE),"Non trouvé")</f>
        <v>Non trouvé</v>
      </c>
      <c r="I666" s="6" t="str">
        <f>IFERROR(VLOOKUP(LOG_RESEAU[[#This Row],[Cell_ID]],Registre_Maintenance!A:F,6,FALSE),"Non trouvé")</f>
        <v>Non trouvé</v>
      </c>
      <c r="J666" s="6" t="str">
        <f t="shared" si="30"/>
        <v>Antenne inconnue</v>
      </c>
      <c r="K666" s="6">
        <f t="shared" si="31"/>
        <v>10</v>
      </c>
      <c r="L666" s="6">
        <f t="shared" si="32"/>
        <v>658</v>
      </c>
    </row>
    <row r="667" spans="1:12" ht="15.75" x14ac:dyDescent="0.25">
      <c r="A667" s="6" t="s">
        <v>939</v>
      </c>
      <c r="B667" s="7">
        <v>45214.114583333343</v>
      </c>
      <c r="C667" s="6">
        <v>48</v>
      </c>
      <c r="D667" s="6" t="s">
        <v>792</v>
      </c>
      <c r="E667" s="8" t="str">
        <f>IFERROR(VLOOKUP(LOG_RESEAU[[#This Row],[Cell_ID]],Registre_Maintenance!A:B,2,FALSE),"Non trouvé")</f>
        <v>Non trouvé</v>
      </c>
      <c r="F667" s="8" t="str">
        <f>IFERROR(VLOOKUP(LOG_RESEAU[[#This Row],[Cell_ID]],Registre_Maintenance!A:C,3,FALSE),"Non trouvé")</f>
        <v>Non trouvé</v>
      </c>
      <c r="G667" s="8" t="str">
        <f>IFERROR(VLOOKUP(LOG_RESEAU[[#This Row],[Cell_ID]],Registre_Maintenance!A:D,4,FALSE),"Non trouvé")</f>
        <v>Non trouvé</v>
      </c>
      <c r="H667" s="6" t="str">
        <f>IFERROR(VLOOKUP(LOG_RESEAU[[#This Row],[Cell_ID]],Registre_Maintenance!A:E,5,FALSE),"Non trouvé")</f>
        <v>Non trouvé</v>
      </c>
      <c r="I667" s="6" t="str">
        <f>IFERROR(VLOOKUP(LOG_RESEAU[[#This Row],[Cell_ID]],Registre_Maintenance!A:F,6,FALSE),"Non trouvé")</f>
        <v>Non trouvé</v>
      </c>
      <c r="J667" s="6" t="str">
        <f t="shared" si="30"/>
        <v>Antenne inconnue</v>
      </c>
      <c r="K667" s="6">
        <f t="shared" si="31"/>
        <v>10</v>
      </c>
      <c r="L667" s="6">
        <f t="shared" si="32"/>
        <v>658</v>
      </c>
    </row>
    <row r="668" spans="1:12" ht="15.75" x14ac:dyDescent="0.25">
      <c r="A668" s="6" t="s">
        <v>939</v>
      </c>
      <c r="B668" s="7">
        <v>45230.033333333333</v>
      </c>
      <c r="C668" s="6">
        <v>51</v>
      </c>
      <c r="D668" s="6" t="s">
        <v>794</v>
      </c>
      <c r="E668" s="8" t="str">
        <f>IFERROR(VLOOKUP(LOG_RESEAU[[#This Row],[Cell_ID]],Registre_Maintenance!A:B,2,FALSE),"Non trouvé")</f>
        <v>Non trouvé</v>
      </c>
      <c r="F668" s="8" t="str">
        <f>IFERROR(VLOOKUP(LOG_RESEAU[[#This Row],[Cell_ID]],Registre_Maintenance!A:C,3,FALSE),"Non trouvé")</f>
        <v>Non trouvé</v>
      </c>
      <c r="G668" s="8" t="str">
        <f>IFERROR(VLOOKUP(LOG_RESEAU[[#This Row],[Cell_ID]],Registre_Maintenance!A:D,4,FALSE),"Non trouvé")</f>
        <v>Non trouvé</v>
      </c>
      <c r="H668" s="6" t="str">
        <f>IFERROR(VLOOKUP(LOG_RESEAU[[#This Row],[Cell_ID]],Registre_Maintenance!A:E,5,FALSE),"Non trouvé")</f>
        <v>Non trouvé</v>
      </c>
      <c r="I668" s="6" t="str">
        <f>IFERROR(VLOOKUP(LOG_RESEAU[[#This Row],[Cell_ID]],Registre_Maintenance!A:F,6,FALSE),"Non trouvé")</f>
        <v>Non trouvé</v>
      </c>
      <c r="J668" s="6" t="str">
        <f t="shared" si="30"/>
        <v>Antenne inconnue</v>
      </c>
      <c r="K668" s="6">
        <f t="shared" si="31"/>
        <v>10</v>
      </c>
      <c r="L668" s="6">
        <f t="shared" si="32"/>
        <v>658</v>
      </c>
    </row>
    <row r="669" spans="1:12" ht="15.75" x14ac:dyDescent="0.25">
      <c r="A669" s="6" t="s">
        <v>939</v>
      </c>
      <c r="B669" s="7">
        <v>45209.996527777781</v>
      </c>
      <c r="C669" s="6">
        <v>103</v>
      </c>
      <c r="D669" s="6" t="s">
        <v>800</v>
      </c>
      <c r="E669" s="8" t="str">
        <f>IFERROR(VLOOKUP(LOG_RESEAU[[#This Row],[Cell_ID]],Registre_Maintenance!A:B,2,FALSE),"Non trouvé")</f>
        <v>Non trouvé</v>
      </c>
      <c r="F669" s="8" t="str">
        <f>IFERROR(VLOOKUP(LOG_RESEAU[[#This Row],[Cell_ID]],Registre_Maintenance!A:C,3,FALSE),"Non trouvé")</f>
        <v>Non trouvé</v>
      </c>
      <c r="G669" s="8" t="str">
        <f>IFERROR(VLOOKUP(LOG_RESEAU[[#This Row],[Cell_ID]],Registre_Maintenance!A:D,4,FALSE),"Non trouvé")</f>
        <v>Non trouvé</v>
      </c>
      <c r="H669" s="6" t="str">
        <f>IFERROR(VLOOKUP(LOG_RESEAU[[#This Row],[Cell_ID]],Registre_Maintenance!A:E,5,FALSE),"Non trouvé")</f>
        <v>Non trouvé</v>
      </c>
      <c r="I669" s="6" t="str">
        <f>IFERROR(VLOOKUP(LOG_RESEAU[[#This Row],[Cell_ID]],Registre_Maintenance!A:F,6,FALSE),"Non trouvé")</f>
        <v>Non trouvé</v>
      </c>
      <c r="J669" s="6" t="str">
        <f t="shared" si="30"/>
        <v>Antenne inconnue</v>
      </c>
      <c r="K669" s="6">
        <f t="shared" si="31"/>
        <v>10</v>
      </c>
      <c r="L669" s="6">
        <f t="shared" si="32"/>
        <v>658</v>
      </c>
    </row>
    <row r="670" spans="1:12" ht="15.75" x14ac:dyDescent="0.25">
      <c r="A670" s="6" t="s">
        <v>939</v>
      </c>
      <c r="B670" s="7">
        <v>45214.774305555547</v>
      </c>
      <c r="C670" s="6">
        <v>90</v>
      </c>
      <c r="D670" s="6" t="s">
        <v>792</v>
      </c>
      <c r="E670" s="8" t="str">
        <f>IFERROR(VLOOKUP(LOG_RESEAU[[#This Row],[Cell_ID]],Registre_Maintenance!A:B,2,FALSE),"Non trouvé")</f>
        <v>Non trouvé</v>
      </c>
      <c r="F670" s="8" t="str">
        <f>IFERROR(VLOOKUP(LOG_RESEAU[[#This Row],[Cell_ID]],Registre_Maintenance!A:C,3,FALSE),"Non trouvé")</f>
        <v>Non trouvé</v>
      </c>
      <c r="G670" s="8" t="str">
        <f>IFERROR(VLOOKUP(LOG_RESEAU[[#This Row],[Cell_ID]],Registre_Maintenance!A:D,4,FALSE),"Non trouvé")</f>
        <v>Non trouvé</v>
      </c>
      <c r="H670" s="6" t="str">
        <f>IFERROR(VLOOKUP(LOG_RESEAU[[#This Row],[Cell_ID]],Registre_Maintenance!A:E,5,FALSE),"Non trouvé")</f>
        <v>Non trouvé</v>
      </c>
      <c r="I670" s="6" t="str">
        <f>IFERROR(VLOOKUP(LOG_RESEAU[[#This Row],[Cell_ID]],Registre_Maintenance!A:F,6,FALSE),"Non trouvé")</f>
        <v>Non trouvé</v>
      </c>
      <c r="J670" s="6" t="str">
        <f t="shared" si="30"/>
        <v>Antenne inconnue</v>
      </c>
      <c r="K670" s="6">
        <f t="shared" si="31"/>
        <v>10</v>
      </c>
      <c r="L670" s="6">
        <f t="shared" si="32"/>
        <v>658</v>
      </c>
    </row>
    <row r="671" spans="1:12" ht="15.75" x14ac:dyDescent="0.25">
      <c r="A671" s="6" t="s">
        <v>939</v>
      </c>
      <c r="B671" s="7">
        <v>45211.906944444447</v>
      </c>
      <c r="C671" s="6">
        <v>24</v>
      </c>
      <c r="D671" s="6" t="s">
        <v>800</v>
      </c>
      <c r="E671" s="8" t="str">
        <f>IFERROR(VLOOKUP(LOG_RESEAU[[#This Row],[Cell_ID]],Registre_Maintenance!A:B,2,FALSE),"Non trouvé")</f>
        <v>Non trouvé</v>
      </c>
      <c r="F671" s="8" t="str">
        <f>IFERROR(VLOOKUP(LOG_RESEAU[[#This Row],[Cell_ID]],Registre_Maintenance!A:C,3,FALSE),"Non trouvé")</f>
        <v>Non trouvé</v>
      </c>
      <c r="G671" s="8" t="str">
        <f>IFERROR(VLOOKUP(LOG_RESEAU[[#This Row],[Cell_ID]],Registre_Maintenance!A:D,4,FALSE),"Non trouvé")</f>
        <v>Non trouvé</v>
      </c>
      <c r="H671" s="6" t="str">
        <f>IFERROR(VLOOKUP(LOG_RESEAU[[#This Row],[Cell_ID]],Registre_Maintenance!A:E,5,FALSE),"Non trouvé")</f>
        <v>Non trouvé</v>
      </c>
      <c r="I671" s="6" t="str">
        <f>IFERROR(VLOOKUP(LOG_RESEAU[[#This Row],[Cell_ID]],Registre_Maintenance!A:F,6,FALSE),"Non trouvé")</f>
        <v>Non trouvé</v>
      </c>
      <c r="J671" s="6" t="str">
        <f t="shared" si="30"/>
        <v>Antenne inconnue</v>
      </c>
      <c r="K671" s="6">
        <f t="shared" si="31"/>
        <v>10</v>
      </c>
      <c r="L671" s="6">
        <f t="shared" si="32"/>
        <v>658</v>
      </c>
    </row>
    <row r="672" spans="1:12" ht="15.75" x14ac:dyDescent="0.25">
      <c r="A672" s="6" t="s">
        <v>939</v>
      </c>
      <c r="B672" s="7">
        <v>45230.327777777777</v>
      </c>
      <c r="C672" s="6">
        <v>116</v>
      </c>
      <c r="D672" s="6" t="s">
        <v>794</v>
      </c>
      <c r="E672" s="8" t="str">
        <f>IFERROR(VLOOKUP(LOG_RESEAU[[#This Row],[Cell_ID]],Registre_Maintenance!A:B,2,FALSE),"Non trouvé")</f>
        <v>Non trouvé</v>
      </c>
      <c r="F672" s="8" t="str">
        <f>IFERROR(VLOOKUP(LOG_RESEAU[[#This Row],[Cell_ID]],Registre_Maintenance!A:C,3,FALSE),"Non trouvé")</f>
        <v>Non trouvé</v>
      </c>
      <c r="G672" s="8" t="str">
        <f>IFERROR(VLOOKUP(LOG_RESEAU[[#This Row],[Cell_ID]],Registre_Maintenance!A:D,4,FALSE),"Non trouvé")</f>
        <v>Non trouvé</v>
      </c>
      <c r="H672" s="6" t="str">
        <f>IFERROR(VLOOKUP(LOG_RESEAU[[#This Row],[Cell_ID]],Registre_Maintenance!A:E,5,FALSE),"Non trouvé")</f>
        <v>Non trouvé</v>
      </c>
      <c r="I672" s="6" t="str">
        <f>IFERROR(VLOOKUP(LOG_RESEAU[[#This Row],[Cell_ID]],Registre_Maintenance!A:F,6,FALSE),"Non trouvé")</f>
        <v>Non trouvé</v>
      </c>
      <c r="J672" s="6" t="str">
        <f t="shared" si="30"/>
        <v>Antenne inconnue</v>
      </c>
      <c r="K672" s="6">
        <f t="shared" si="31"/>
        <v>10</v>
      </c>
      <c r="L672" s="6">
        <f t="shared" si="32"/>
        <v>658</v>
      </c>
    </row>
    <row r="673" spans="1:12" ht="15.75" x14ac:dyDescent="0.25">
      <c r="A673" s="6" t="s">
        <v>939</v>
      </c>
      <c r="B673" s="7">
        <v>45207.503472222219</v>
      </c>
      <c r="C673" s="6">
        <v>62</v>
      </c>
      <c r="D673" s="6" t="s">
        <v>794</v>
      </c>
      <c r="E673" s="8" t="str">
        <f>IFERROR(VLOOKUP(LOG_RESEAU[[#This Row],[Cell_ID]],Registre_Maintenance!A:B,2,FALSE),"Non trouvé")</f>
        <v>Non trouvé</v>
      </c>
      <c r="F673" s="8" t="str">
        <f>IFERROR(VLOOKUP(LOG_RESEAU[[#This Row],[Cell_ID]],Registre_Maintenance!A:C,3,FALSE),"Non trouvé")</f>
        <v>Non trouvé</v>
      </c>
      <c r="G673" s="8" t="str">
        <f>IFERROR(VLOOKUP(LOG_RESEAU[[#This Row],[Cell_ID]],Registre_Maintenance!A:D,4,FALSE),"Non trouvé")</f>
        <v>Non trouvé</v>
      </c>
      <c r="H673" s="6" t="str">
        <f>IFERROR(VLOOKUP(LOG_RESEAU[[#This Row],[Cell_ID]],Registre_Maintenance!A:E,5,FALSE),"Non trouvé")</f>
        <v>Non trouvé</v>
      </c>
      <c r="I673" s="6" t="str">
        <f>IFERROR(VLOOKUP(LOG_RESEAU[[#This Row],[Cell_ID]],Registre_Maintenance!A:F,6,FALSE),"Non trouvé")</f>
        <v>Non trouvé</v>
      </c>
      <c r="J673" s="6" t="str">
        <f t="shared" si="30"/>
        <v>Antenne inconnue</v>
      </c>
      <c r="K673" s="6">
        <f t="shared" si="31"/>
        <v>10</v>
      </c>
      <c r="L673" s="6">
        <f t="shared" si="32"/>
        <v>658</v>
      </c>
    </row>
    <row r="674" spans="1:12" ht="15.75" x14ac:dyDescent="0.25">
      <c r="A674" s="6" t="s">
        <v>939</v>
      </c>
      <c r="B674" s="7">
        <v>45202.912499999999</v>
      </c>
      <c r="C674" s="6">
        <v>68</v>
      </c>
      <c r="D674" s="6" t="s">
        <v>792</v>
      </c>
      <c r="E674" s="8" t="str">
        <f>IFERROR(VLOOKUP(LOG_RESEAU[[#This Row],[Cell_ID]],Registre_Maintenance!A:B,2,FALSE),"Non trouvé")</f>
        <v>Non trouvé</v>
      </c>
      <c r="F674" s="8" t="str">
        <f>IFERROR(VLOOKUP(LOG_RESEAU[[#This Row],[Cell_ID]],Registre_Maintenance!A:C,3,FALSE),"Non trouvé")</f>
        <v>Non trouvé</v>
      </c>
      <c r="G674" s="8" t="str">
        <f>IFERROR(VLOOKUP(LOG_RESEAU[[#This Row],[Cell_ID]],Registre_Maintenance!A:D,4,FALSE),"Non trouvé")</f>
        <v>Non trouvé</v>
      </c>
      <c r="H674" s="6" t="str">
        <f>IFERROR(VLOOKUP(LOG_RESEAU[[#This Row],[Cell_ID]],Registre_Maintenance!A:E,5,FALSE),"Non trouvé")</f>
        <v>Non trouvé</v>
      </c>
      <c r="I674" s="6" t="str">
        <f>IFERROR(VLOOKUP(LOG_RESEAU[[#This Row],[Cell_ID]],Registre_Maintenance!A:F,6,FALSE),"Non trouvé")</f>
        <v>Non trouvé</v>
      </c>
      <c r="J674" s="6" t="str">
        <f t="shared" si="30"/>
        <v>Antenne inconnue</v>
      </c>
      <c r="K674" s="6">
        <f t="shared" si="31"/>
        <v>10</v>
      </c>
      <c r="L674" s="6">
        <f t="shared" si="32"/>
        <v>658</v>
      </c>
    </row>
    <row r="675" spans="1:12" ht="15.75" x14ac:dyDescent="0.25">
      <c r="A675" s="6" t="s">
        <v>887</v>
      </c>
      <c r="B675" s="7">
        <v>45200.511111111111</v>
      </c>
      <c r="C675" s="6">
        <v>54</v>
      </c>
      <c r="D675" s="6" t="s">
        <v>800</v>
      </c>
      <c r="E675" s="8" t="str">
        <f>IFERROR(VLOOKUP(LOG_RESEAU[[#This Row],[Cell_ID]],Registre_Maintenance!A:B,2,FALSE),"Non trouvé")</f>
        <v>Non trouvé</v>
      </c>
      <c r="F675" s="8" t="str">
        <f>IFERROR(VLOOKUP(LOG_RESEAU[[#This Row],[Cell_ID]],Registre_Maintenance!A:C,3,FALSE),"Non trouvé")</f>
        <v>Non trouvé</v>
      </c>
      <c r="G675" s="8" t="str">
        <f>IFERROR(VLOOKUP(LOG_RESEAU[[#This Row],[Cell_ID]],Registre_Maintenance!A:D,4,FALSE),"Non trouvé")</f>
        <v>Non trouvé</v>
      </c>
      <c r="H675" s="6" t="str">
        <f>IFERROR(VLOOKUP(LOG_RESEAU[[#This Row],[Cell_ID]],Registre_Maintenance!A:E,5,FALSE),"Non trouvé")</f>
        <v>Non trouvé</v>
      </c>
      <c r="I675" s="6" t="str">
        <f>IFERROR(VLOOKUP(LOG_RESEAU[[#This Row],[Cell_ID]],Registre_Maintenance!A:F,6,FALSE),"Non trouvé")</f>
        <v>Non trouvé</v>
      </c>
      <c r="J675" s="6" t="str">
        <f t="shared" si="30"/>
        <v>Antenne inconnue</v>
      </c>
      <c r="K675" s="6">
        <f t="shared" si="31"/>
        <v>6</v>
      </c>
      <c r="L675" s="6">
        <f t="shared" si="32"/>
        <v>444</v>
      </c>
    </row>
    <row r="676" spans="1:12" ht="15.75" x14ac:dyDescent="0.25">
      <c r="A676" s="6" t="s">
        <v>995</v>
      </c>
      <c r="B676" s="7">
        <v>45227.144444444442</v>
      </c>
      <c r="C676" s="6">
        <v>84</v>
      </c>
      <c r="D676" s="6" t="s">
        <v>794</v>
      </c>
      <c r="E676" s="8" t="str">
        <f>IFERROR(VLOOKUP(LOG_RESEAU[[#This Row],[Cell_ID]],Registre_Maintenance!A:B,2,FALSE),"Non trouvé")</f>
        <v>Non trouvé</v>
      </c>
      <c r="F676" s="8" t="str">
        <f>IFERROR(VLOOKUP(LOG_RESEAU[[#This Row],[Cell_ID]],Registre_Maintenance!A:C,3,FALSE),"Non trouvé")</f>
        <v>Non trouvé</v>
      </c>
      <c r="G676" s="8" t="str">
        <f>IFERROR(VLOOKUP(LOG_RESEAU[[#This Row],[Cell_ID]],Registre_Maintenance!A:D,4,FALSE),"Non trouvé")</f>
        <v>Non trouvé</v>
      </c>
      <c r="H676" s="6" t="str">
        <f>IFERROR(VLOOKUP(LOG_RESEAU[[#This Row],[Cell_ID]],Registre_Maintenance!A:E,5,FALSE),"Non trouvé")</f>
        <v>Non trouvé</v>
      </c>
      <c r="I676" s="6" t="str">
        <f>IFERROR(VLOOKUP(LOG_RESEAU[[#This Row],[Cell_ID]],Registre_Maintenance!A:F,6,FALSE),"Non trouvé")</f>
        <v>Non trouvé</v>
      </c>
      <c r="J676" s="6" t="str">
        <f t="shared" si="30"/>
        <v>Antenne inconnue</v>
      </c>
      <c r="K676" s="6">
        <f t="shared" si="31"/>
        <v>6</v>
      </c>
      <c r="L676" s="6">
        <f t="shared" si="32"/>
        <v>444</v>
      </c>
    </row>
    <row r="677" spans="1:12" ht="15.75" x14ac:dyDescent="0.25">
      <c r="A677" s="6" t="s">
        <v>887</v>
      </c>
      <c r="B677" s="7">
        <v>45225.622916666667</v>
      </c>
      <c r="C677" s="6">
        <v>45</v>
      </c>
      <c r="D677" s="6" t="s">
        <v>792</v>
      </c>
      <c r="E677" s="8" t="str">
        <f>IFERROR(VLOOKUP(LOG_RESEAU[[#This Row],[Cell_ID]],Registre_Maintenance!A:B,2,FALSE),"Non trouvé")</f>
        <v>Non trouvé</v>
      </c>
      <c r="F677" s="8" t="str">
        <f>IFERROR(VLOOKUP(LOG_RESEAU[[#This Row],[Cell_ID]],Registre_Maintenance!A:C,3,FALSE),"Non trouvé")</f>
        <v>Non trouvé</v>
      </c>
      <c r="G677" s="8" t="str">
        <f>IFERROR(VLOOKUP(LOG_RESEAU[[#This Row],[Cell_ID]],Registre_Maintenance!A:D,4,FALSE),"Non trouvé")</f>
        <v>Non trouvé</v>
      </c>
      <c r="H677" s="6" t="str">
        <f>IFERROR(VLOOKUP(LOG_RESEAU[[#This Row],[Cell_ID]],Registre_Maintenance!A:E,5,FALSE),"Non trouvé")</f>
        <v>Non trouvé</v>
      </c>
      <c r="I677" s="6" t="str">
        <f>IFERROR(VLOOKUP(LOG_RESEAU[[#This Row],[Cell_ID]],Registre_Maintenance!A:F,6,FALSE),"Non trouvé")</f>
        <v>Non trouvé</v>
      </c>
      <c r="J677" s="6" t="str">
        <f t="shared" si="30"/>
        <v>Antenne inconnue</v>
      </c>
      <c r="K677" s="6">
        <f t="shared" si="31"/>
        <v>6</v>
      </c>
      <c r="L677" s="6">
        <f t="shared" si="32"/>
        <v>444</v>
      </c>
    </row>
    <row r="678" spans="1:12" ht="15.75" x14ac:dyDescent="0.25">
      <c r="A678" s="6" t="s">
        <v>887</v>
      </c>
      <c r="B678" s="7">
        <v>45202.220138888893</v>
      </c>
      <c r="C678" s="6">
        <v>92</v>
      </c>
      <c r="D678" s="6" t="s">
        <v>794</v>
      </c>
      <c r="E678" s="8" t="str">
        <f>IFERROR(VLOOKUP(LOG_RESEAU[[#This Row],[Cell_ID]],Registre_Maintenance!A:B,2,FALSE),"Non trouvé")</f>
        <v>Non trouvé</v>
      </c>
      <c r="F678" s="8" t="str">
        <f>IFERROR(VLOOKUP(LOG_RESEAU[[#This Row],[Cell_ID]],Registre_Maintenance!A:C,3,FALSE),"Non trouvé")</f>
        <v>Non trouvé</v>
      </c>
      <c r="G678" s="8" t="str">
        <f>IFERROR(VLOOKUP(LOG_RESEAU[[#This Row],[Cell_ID]],Registre_Maintenance!A:D,4,FALSE),"Non trouvé")</f>
        <v>Non trouvé</v>
      </c>
      <c r="H678" s="6" t="str">
        <f>IFERROR(VLOOKUP(LOG_RESEAU[[#This Row],[Cell_ID]],Registre_Maintenance!A:E,5,FALSE),"Non trouvé")</f>
        <v>Non trouvé</v>
      </c>
      <c r="I678" s="6" t="str">
        <f>IFERROR(VLOOKUP(LOG_RESEAU[[#This Row],[Cell_ID]],Registre_Maintenance!A:F,6,FALSE),"Non trouvé")</f>
        <v>Non trouvé</v>
      </c>
      <c r="J678" s="6" t="str">
        <f t="shared" si="30"/>
        <v>Antenne inconnue</v>
      </c>
      <c r="K678" s="6">
        <f t="shared" si="31"/>
        <v>6</v>
      </c>
      <c r="L678" s="6">
        <f t="shared" si="32"/>
        <v>444</v>
      </c>
    </row>
    <row r="679" spans="1:12" hidden="1" x14ac:dyDescent="0.25">
      <c r="A679" s="2"/>
      <c r="B679" s="2">
        <v>45218.647916666669</v>
      </c>
      <c r="C679" s="2">
        <v>117</v>
      </c>
      <c r="D679" s="2" t="s">
        <v>800</v>
      </c>
      <c r="E679" s="3" t="str">
        <f>IFERROR(VLOOKUP(LOG_RESEAU[[#This Row],[Cell_ID]],Registre_Maintenance!A:B,2,FALSE),"Non trouvé")</f>
        <v>Non trouvé</v>
      </c>
      <c r="F679" s="3" t="str">
        <f>IFERROR(VLOOKUP(LOG_RESEAU[[#This Row],[Cell_ID]],Registre_Maintenance!A:C,3,FALSE),"Non trouvé")</f>
        <v>Non trouvé</v>
      </c>
      <c r="G679" s="3" t="str">
        <f>IFERROR(VLOOKUP(LOG_RESEAU[[#This Row],[Cell_ID]],Registre_Maintenance!A:D,4,FALSE),"Non trouvé")</f>
        <v>Non trouvé</v>
      </c>
      <c r="H679" s="2" t="str">
        <f>IFERROR(VLOOKUP(LOG_RESEAU[[#This Row],[Cell_ID]],Registre_Maintenance!A:E,5,FALSE),"Non trouvé")</f>
        <v>Non trouvé</v>
      </c>
      <c r="I679" s="2" t="str">
        <f>IFERROR(VLOOKUP(LOG_RESEAU[[#This Row],[Cell_ID]],Registre_Maintenance!A:F,6,FALSE),"Non trouvé")</f>
        <v>Non trouvé</v>
      </c>
      <c r="J679" s="2" t="str">
        <f t="shared" si="30"/>
        <v>Antenne inconnue</v>
      </c>
      <c r="K679" s="2">
        <f t="shared" si="31"/>
        <v>0</v>
      </c>
      <c r="L679" s="2">
        <f t="shared" si="32"/>
        <v>0</v>
      </c>
    </row>
    <row r="680" spans="1:12" ht="15.75" x14ac:dyDescent="0.25">
      <c r="A680" s="6" t="s">
        <v>887</v>
      </c>
      <c r="B680" s="7">
        <v>45217.027777777781</v>
      </c>
      <c r="C680" s="6">
        <v>61</v>
      </c>
      <c r="D680" s="6" t="s">
        <v>794</v>
      </c>
      <c r="E680" s="8" t="str">
        <f>IFERROR(VLOOKUP(LOG_RESEAU[[#This Row],[Cell_ID]],Registre_Maintenance!A:B,2,FALSE),"Non trouvé")</f>
        <v>Non trouvé</v>
      </c>
      <c r="F680" s="8" t="str">
        <f>IFERROR(VLOOKUP(LOG_RESEAU[[#This Row],[Cell_ID]],Registre_Maintenance!A:C,3,FALSE),"Non trouvé")</f>
        <v>Non trouvé</v>
      </c>
      <c r="G680" s="8" t="str">
        <f>IFERROR(VLOOKUP(LOG_RESEAU[[#This Row],[Cell_ID]],Registre_Maintenance!A:D,4,FALSE),"Non trouvé")</f>
        <v>Non trouvé</v>
      </c>
      <c r="H680" s="6" t="str">
        <f>IFERROR(VLOOKUP(LOG_RESEAU[[#This Row],[Cell_ID]],Registre_Maintenance!A:E,5,FALSE),"Non trouvé")</f>
        <v>Non trouvé</v>
      </c>
      <c r="I680" s="6" t="str">
        <f>IFERROR(VLOOKUP(LOG_RESEAU[[#This Row],[Cell_ID]],Registre_Maintenance!A:F,6,FALSE),"Non trouvé")</f>
        <v>Non trouvé</v>
      </c>
      <c r="J680" s="6" t="str">
        <f t="shared" si="30"/>
        <v>Antenne inconnue</v>
      </c>
      <c r="K680" s="6">
        <f t="shared" si="31"/>
        <v>6</v>
      </c>
      <c r="L680" s="6">
        <f t="shared" si="32"/>
        <v>444</v>
      </c>
    </row>
    <row r="681" spans="1:12" ht="15.75" x14ac:dyDescent="0.25">
      <c r="A681" s="6" t="s">
        <v>887</v>
      </c>
      <c r="B681" s="7">
        <v>45218.794444444437</v>
      </c>
      <c r="C681" s="6">
        <v>108</v>
      </c>
      <c r="D681" s="6" t="s">
        <v>794</v>
      </c>
      <c r="E681" s="8" t="str">
        <f>IFERROR(VLOOKUP(LOG_RESEAU[[#This Row],[Cell_ID]],Registre_Maintenance!A:B,2,FALSE),"Non trouvé")</f>
        <v>Non trouvé</v>
      </c>
      <c r="F681" s="8" t="str">
        <f>IFERROR(VLOOKUP(LOG_RESEAU[[#This Row],[Cell_ID]],Registre_Maintenance!A:C,3,FALSE),"Non trouvé")</f>
        <v>Non trouvé</v>
      </c>
      <c r="G681" s="8" t="str">
        <f>IFERROR(VLOOKUP(LOG_RESEAU[[#This Row],[Cell_ID]],Registre_Maintenance!A:D,4,FALSE),"Non trouvé")</f>
        <v>Non trouvé</v>
      </c>
      <c r="H681" s="6" t="str">
        <f>IFERROR(VLOOKUP(LOG_RESEAU[[#This Row],[Cell_ID]],Registre_Maintenance!A:E,5,FALSE),"Non trouvé")</f>
        <v>Non trouvé</v>
      </c>
      <c r="I681" s="6" t="str">
        <f>IFERROR(VLOOKUP(LOG_RESEAU[[#This Row],[Cell_ID]],Registre_Maintenance!A:F,6,FALSE),"Non trouvé")</f>
        <v>Non trouvé</v>
      </c>
      <c r="J681" s="6" t="str">
        <f t="shared" si="30"/>
        <v>Antenne inconnue</v>
      </c>
      <c r="K681" s="6">
        <f t="shared" si="31"/>
        <v>6</v>
      </c>
      <c r="L681" s="6">
        <f t="shared" si="32"/>
        <v>444</v>
      </c>
    </row>
    <row r="682" spans="1:12" ht="15.75" x14ac:dyDescent="0.25">
      <c r="A682" s="6" t="s">
        <v>928</v>
      </c>
      <c r="B682" s="7">
        <v>45223.990972222222</v>
      </c>
      <c r="C682" s="6">
        <v>111</v>
      </c>
      <c r="D682" s="6" t="s">
        <v>800</v>
      </c>
      <c r="E682" s="8" t="str">
        <f>IFERROR(VLOOKUP(LOG_RESEAU[[#This Row],[Cell_ID]],Registre_Maintenance!A:B,2,FALSE),"Non trouvé")</f>
        <v>Non trouvé</v>
      </c>
      <c r="F682" s="8" t="str">
        <f>IFERROR(VLOOKUP(LOG_RESEAU[[#This Row],[Cell_ID]],Registre_Maintenance!A:C,3,FALSE),"Non trouvé")</f>
        <v>Non trouvé</v>
      </c>
      <c r="G682" s="8" t="str">
        <f>IFERROR(VLOOKUP(LOG_RESEAU[[#This Row],[Cell_ID]],Registre_Maintenance!A:D,4,FALSE),"Non trouvé")</f>
        <v>Non trouvé</v>
      </c>
      <c r="H682" s="6" t="str">
        <f>IFERROR(VLOOKUP(LOG_RESEAU[[#This Row],[Cell_ID]],Registre_Maintenance!A:E,5,FALSE),"Non trouvé")</f>
        <v>Non trouvé</v>
      </c>
      <c r="I682" s="6" t="str">
        <f>IFERROR(VLOOKUP(LOG_RESEAU[[#This Row],[Cell_ID]],Registre_Maintenance!A:F,6,FALSE),"Non trouvé")</f>
        <v>Non trouvé</v>
      </c>
      <c r="J682" s="6" t="str">
        <f t="shared" si="30"/>
        <v>Antenne inconnue</v>
      </c>
      <c r="K682" s="6">
        <f t="shared" si="31"/>
        <v>5</v>
      </c>
      <c r="L682" s="6">
        <f t="shared" si="32"/>
        <v>433</v>
      </c>
    </row>
    <row r="683" spans="1:12" ht="15.75" x14ac:dyDescent="0.25">
      <c r="A683" s="6" t="s">
        <v>928</v>
      </c>
      <c r="B683" s="7">
        <v>45212.642361111109</v>
      </c>
      <c r="C683" s="6">
        <v>75</v>
      </c>
      <c r="D683" s="6" t="s">
        <v>792</v>
      </c>
      <c r="E683" s="8" t="str">
        <f>IFERROR(VLOOKUP(LOG_RESEAU[[#This Row],[Cell_ID]],Registre_Maintenance!A:B,2,FALSE),"Non trouvé")</f>
        <v>Non trouvé</v>
      </c>
      <c r="F683" s="8" t="str">
        <f>IFERROR(VLOOKUP(LOG_RESEAU[[#This Row],[Cell_ID]],Registre_Maintenance!A:C,3,FALSE),"Non trouvé")</f>
        <v>Non trouvé</v>
      </c>
      <c r="G683" s="8" t="str">
        <f>IFERROR(VLOOKUP(LOG_RESEAU[[#This Row],[Cell_ID]],Registre_Maintenance!A:D,4,FALSE),"Non trouvé")</f>
        <v>Non trouvé</v>
      </c>
      <c r="H683" s="6" t="str">
        <f>IFERROR(VLOOKUP(LOG_RESEAU[[#This Row],[Cell_ID]],Registre_Maintenance!A:E,5,FALSE),"Non trouvé")</f>
        <v>Non trouvé</v>
      </c>
      <c r="I683" s="6" t="str">
        <f>IFERROR(VLOOKUP(LOG_RESEAU[[#This Row],[Cell_ID]],Registre_Maintenance!A:F,6,FALSE),"Non trouvé")</f>
        <v>Non trouvé</v>
      </c>
      <c r="J683" s="6" t="str">
        <f t="shared" si="30"/>
        <v>Antenne inconnue</v>
      </c>
      <c r="K683" s="6">
        <f t="shared" si="31"/>
        <v>5</v>
      </c>
      <c r="L683" s="6">
        <f t="shared" si="32"/>
        <v>433</v>
      </c>
    </row>
    <row r="684" spans="1:12" ht="15.75" x14ac:dyDescent="0.25">
      <c r="A684" s="6" t="s">
        <v>928</v>
      </c>
      <c r="B684" s="7">
        <v>45207.404166666667</v>
      </c>
      <c r="C684" s="6">
        <v>68</v>
      </c>
      <c r="D684" s="6" t="s">
        <v>800</v>
      </c>
      <c r="E684" s="8" t="str">
        <f>IFERROR(VLOOKUP(LOG_RESEAU[[#This Row],[Cell_ID]],Registre_Maintenance!A:B,2,FALSE),"Non trouvé")</f>
        <v>Non trouvé</v>
      </c>
      <c r="F684" s="8" t="str">
        <f>IFERROR(VLOOKUP(LOG_RESEAU[[#This Row],[Cell_ID]],Registre_Maintenance!A:C,3,FALSE),"Non trouvé")</f>
        <v>Non trouvé</v>
      </c>
      <c r="G684" s="8" t="str">
        <f>IFERROR(VLOOKUP(LOG_RESEAU[[#This Row],[Cell_ID]],Registre_Maintenance!A:D,4,FALSE),"Non trouvé")</f>
        <v>Non trouvé</v>
      </c>
      <c r="H684" s="6" t="str">
        <f>IFERROR(VLOOKUP(LOG_RESEAU[[#This Row],[Cell_ID]],Registre_Maintenance!A:E,5,FALSE),"Non trouvé")</f>
        <v>Non trouvé</v>
      </c>
      <c r="I684" s="6" t="str">
        <f>IFERROR(VLOOKUP(LOG_RESEAU[[#This Row],[Cell_ID]],Registre_Maintenance!A:F,6,FALSE),"Non trouvé")</f>
        <v>Non trouvé</v>
      </c>
      <c r="J684" s="6" t="str">
        <f t="shared" si="30"/>
        <v>Antenne inconnue</v>
      </c>
      <c r="K684" s="6">
        <f t="shared" si="31"/>
        <v>5</v>
      </c>
      <c r="L684" s="6">
        <f t="shared" si="32"/>
        <v>433</v>
      </c>
    </row>
    <row r="685" spans="1:12" ht="15.75" x14ac:dyDescent="0.25">
      <c r="A685" s="6" t="s">
        <v>928</v>
      </c>
      <c r="B685" s="7">
        <v>45203.652083333327</v>
      </c>
      <c r="C685" s="6">
        <v>106</v>
      </c>
      <c r="D685" s="6" t="s">
        <v>794</v>
      </c>
      <c r="E685" s="8" t="str">
        <f>IFERROR(VLOOKUP(LOG_RESEAU[[#This Row],[Cell_ID]],Registre_Maintenance!A:B,2,FALSE),"Non trouvé")</f>
        <v>Non trouvé</v>
      </c>
      <c r="F685" s="8" t="str">
        <f>IFERROR(VLOOKUP(LOG_RESEAU[[#This Row],[Cell_ID]],Registre_Maintenance!A:C,3,FALSE),"Non trouvé")</f>
        <v>Non trouvé</v>
      </c>
      <c r="G685" s="8" t="str">
        <f>IFERROR(VLOOKUP(LOG_RESEAU[[#This Row],[Cell_ID]],Registre_Maintenance!A:D,4,FALSE),"Non trouvé")</f>
        <v>Non trouvé</v>
      </c>
      <c r="H685" s="6" t="str">
        <f>IFERROR(VLOOKUP(LOG_RESEAU[[#This Row],[Cell_ID]],Registre_Maintenance!A:E,5,FALSE),"Non trouvé")</f>
        <v>Non trouvé</v>
      </c>
      <c r="I685" s="6" t="str">
        <f>IFERROR(VLOOKUP(LOG_RESEAU[[#This Row],[Cell_ID]],Registre_Maintenance!A:F,6,FALSE),"Non trouvé")</f>
        <v>Non trouvé</v>
      </c>
      <c r="J685" s="6" t="str">
        <f t="shared" si="30"/>
        <v>Antenne inconnue</v>
      </c>
      <c r="K685" s="6">
        <f t="shared" si="31"/>
        <v>5</v>
      </c>
      <c r="L685" s="6">
        <f t="shared" si="32"/>
        <v>433</v>
      </c>
    </row>
    <row r="686" spans="1:12" ht="15.75" x14ac:dyDescent="0.25">
      <c r="A686" s="6" t="s">
        <v>928</v>
      </c>
      <c r="B686" s="7">
        <v>45207.17291666667</v>
      </c>
      <c r="C686" s="6">
        <v>73</v>
      </c>
      <c r="D686" s="6" t="s">
        <v>792</v>
      </c>
      <c r="E686" s="8" t="str">
        <f>IFERROR(VLOOKUP(LOG_RESEAU[[#This Row],[Cell_ID]],Registre_Maintenance!A:B,2,FALSE),"Non trouvé")</f>
        <v>Non trouvé</v>
      </c>
      <c r="F686" s="8" t="str">
        <f>IFERROR(VLOOKUP(LOG_RESEAU[[#This Row],[Cell_ID]],Registre_Maintenance!A:C,3,FALSE),"Non trouvé")</f>
        <v>Non trouvé</v>
      </c>
      <c r="G686" s="8" t="str">
        <f>IFERROR(VLOOKUP(LOG_RESEAU[[#This Row],[Cell_ID]],Registre_Maintenance!A:D,4,FALSE),"Non trouvé")</f>
        <v>Non trouvé</v>
      </c>
      <c r="H686" s="6" t="str">
        <f>IFERROR(VLOOKUP(LOG_RESEAU[[#This Row],[Cell_ID]],Registre_Maintenance!A:E,5,FALSE),"Non trouvé")</f>
        <v>Non trouvé</v>
      </c>
      <c r="I686" s="6" t="str">
        <f>IFERROR(VLOOKUP(LOG_RESEAU[[#This Row],[Cell_ID]],Registre_Maintenance!A:F,6,FALSE),"Non trouvé")</f>
        <v>Non trouvé</v>
      </c>
      <c r="J686" s="6" t="str">
        <f t="shared" si="30"/>
        <v>Antenne inconnue</v>
      </c>
      <c r="K686" s="6">
        <f t="shared" si="31"/>
        <v>5</v>
      </c>
      <c r="L686" s="6">
        <f t="shared" si="32"/>
        <v>433</v>
      </c>
    </row>
    <row r="687" spans="1:12" ht="15.75" x14ac:dyDescent="0.25">
      <c r="A687" s="6" t="s">
        <v>867</v>
      </c>
      <c r="B687" s="7">
        <v>45218.291666666657</v>
      </c>
      <c r="C687" s="6">
        <v>51</v>
      </c>
      <c r="D687" s="6" t="s">
        <v>800</v>
      </c>
      <c r="E687" s="8" t="str">
        <f>IFERROR(VLOOKUP(LOG_RESEAU[[#This Row],[Cell_ID]],Registre_Maintenance!A:B,2,FALSE),"Non trouvé")</f>
        <v>Non trouvé</v>
      </c>
      <c r="F687" s="8" t="str">
        <f>IFERROR(VLOOKUP(LOG_RESEAU[[#This Row],[Cell_ID]],Registre_Maintenance!A:C,3,FALSE),"Non trouvé")</f>
        <v>Non trouvé</v>
      </c>
      <c r="G687" s="8" t="str">
        <f>IFERROR(VLOOKUP(LOG_RESEAU[[#This Row],[Cell_ID]],Registre_Maintenance!A:D,4,FALSE),"Non trouvé")</f>
        <v>Non trouvé</v>
      </c>
      <c r="H687" s="6" t="str">
        <f>IFERROR(VLOOKUP(LOG_RESEAU[[#This Row],[Cell_ID]],Registre_Maintenance!A:E,5,FALSE),"Non trouvé")</f>
        <v>Non trouvé</v>
      </c>
      <c r="I687" s="6" t="str">
        <f>IFERROR(VLOOKUP(LOG_RESEAU[[#This Row],[Cell_ID]],Registre_Maintenance!A:F,6,FALSE),"Non trouvé")</f>
        <v>Non trouvé</v>
      </c>
      <c r="J687" s="6" t="str">
        <f t="shared" si="30"/>
        <v>Antenne inconnue</v>
      </c>
      <c r="K687" s="6">
        <f t="shared" si="31"/>
        <v>4</v>
      </c>
      <c r="L687" s="6">
        <f t="shared" si="32"/>
        <v>228</v>
      </c>
    </row>
    <row r="688" spans="1:12" ht="15.75" x14ac:dyDescent="0.25">
      <c r="A688" s="6" t="s">
        <v>867</v>
      </c>
      <c r="B688" s="7">
        <v>45219.989583333343</v>
      </c>
      <c r="C688" s="6">
        <v>48</v>
      </c>
      <c r="D688" s="6" t="s">
        <v>794</v>
      </c>
      <c r="E688" s="8" t="str">
        <f>IFERROR(VLOOKUP(LOG_RESEAU[[#This Row],[Cell_ID]],Registre_Maintenance!A:B,2,FALSE),"Non trouvé")</f>
        <v>Non trouvé</v>
      </c>
      <c r="F688" s="8" t="str">
        <f>IFERROR(VLOOKUP(LOG_RESEAU[[#This Row],[Cell_ID]],Registre_Maintenance!A:C,3,FALSE),"Non trouvé")</f>
        <v>Non trouvé</v>
      </c>
      <c r="G688" s="8" t="str">
        <f>IFERROR(VLOOKUP(LOG_RESEAU[[#This Row],[Cell_ID]],Registre_Maintenance!A:D,4,FALSE),"Non trouvé")</f>
        <v>Non trouvé</v>
      </c>
      <c r="H688" s="6" t="str">
        <f>IFERROR(VLOOKUP(LOG_RESEAU[[#This Row],[Cell_ID]],Registre_Maintenance!A:E,5,FALSE),"Non trouvé")</f>
        <v>Non trouvé</v>
      </c>
      <c r="I688" s="6" t="str">
        <f>IFERROR(VLOOKUP(LOG_RESEAU[[#This Row],[Cell_ID]],Registre_Maintenance!A:F,6,FALSE),"Non trouvé")</f>
        <v>Non trouvé</v>
      </c>
      <c r="J688" s="6" t="str">
        <f t="shared" si="30"/>
        <v>Antenne inconnue</v>
      </c>
      <c r="K688" s="6">
        <f t="shared" si="31"/>
        <v>4</v>
      </c>
      <c r="L688" s="6">
        <f t="shared" si="32"/>
        <v>228</v>
      </c>
    </row>
    <row r="689" spans="1:12" ht="15.75" x14ac:dyDescent="0.25">
      <c r="A689" s="6" t="s">
        <v>867</v>
      </c>
      <c r="B689" s="7">
        <v>45214.113194444442</v>
      </c>
      <c r="C689" s="6">
        <v>41</v>
      </c>
      <c r="D689" s="6" t="s">
        <v>800</v>
      </c>
      <c r="E689" s="8" t="str">
        <f>IFERROR(VLOOKUP(LOG_RESEAU[[#This Row],[Cell_ID]],Registre_Maintenance!A:B,2,FALSE),"Non trouvé")</f>
        <v>Non trouvé</v>
      </c>
      <c r="F689" s="8" t="str">
        <f>IFERROR(VLOOKUP(LOG_RESEAU[[#This Row],[Cell_ID]],Registre_Maintenance!A:C,3,FALSE),"Non trouvé")</f>
        <v>Non trouvé</v>
      </c>
      <c r="G689" s="8" t="str">
        <f>IFERROR(VLOOKUP(LOG_RESEAU[[#This Row],[Cell_ID]],Registre_Maintenance!A:D,4,FALSE),"Non trouvé")</f>
        <v>Non trouvé</v>
      </c>
      <c r="H689" s="6" t="str">
        <f>IFERROR(VLOOKUP(LOG_RESEAU[[#This Row],[Cell_ID]],Registre_Maintenance!A:E,5,FALSE),"Non trouvé")</f>
        <v>Non trouvé</v>
      </c>
      <c r="I689" s="6" t="str">
        <f>IFERROR(VLOOKUP(LOG_RESEAU[[#This Row],[Cell_ID]],Registre_Maintenance!A:F,6,FALSE),"Non trouvé")</f>
        <v>Non trouvé</v>
      </c>
      <c r="J689" s="6" t="str">
        <f t="shared" si="30"/>
        <v>Antenne inconnue</v>
      </c>
      <c r="K689" s="6">
        <f t="shared" si="31"/>
        <v>4</v>
      </c>
      <c r="L689" s="6">
        <f t="shared" si="32"/>
        <v>228</v>
      </c>
    </row>
    <row r="690" spans="1:12" ht="15.75" x14ac:dyDescent="0.25">
      <c r="A690" s="6" t="s">
        <v>867</v>
      </c>
      <c r="B690" s="7">
        <v>45209.462500000001</v>
      </c>
      <c r="C690" s="6">
        <v>88</v>
      </c>
      <c r="D690" s="6" t="s">
        <v>792</v>
      </c>
      <c r="E690" s="8" t="str">
        <f>IFERROR(VLOOKUP(LOG_RESEAU[[#This Row],[Cell_ID]],Registre_Maintenance!A:B,2,FALSE),"Non trouvé")</f>
        <v>Non trouvé</v>
      </c>
      <c r="F690" s="8" t="str">
        <f>IFERROR(VLOOKUP(LOG_RESEAU[[#This Row],[Cell_ID]],Registre_Maintenance!A:C,3,FALSE),"Non trouvé")</f>
        <v>Non trouvé</v>
      </c>
      <c r="G690" s="8" t="str">
        <f>IFERROR(VLOOKUP(LOG_RESEAU[[#This Row],[Cell_ID]],Registre_Maintenance!A:D,4,FALSE),"Non trouvé")</f>
        <v>Non trouvé</v>
      </c>
      <c r="H690" s="6" t="str">
        <f>IFERROR(VLOOKUP(LOG_RESEAU[[#This Row],[Cell_ID]],Registre_Maintenance!A:E,5,FALSE),"Non trouvé")</f>
        <v>Non trouvé</v>
      </c>
      <c r="I690" s="6" t="str">
        <f>IFERROR(VLOOKUP(LOG_RESEAU[[#This Row],[Cell_ID]],Registre_Maintenance!A:F,6,FALSE),"Non trouvé")</f>
        <v>Non trouvé</v>
      </c>
      <c r="J690" s="6" t="str">
        <f t="shared" si="30"/>
        <v>Antenne inconnue</v>
      </c>
      <c r="K690" s="6">
        <f t="shared" si="31"/>
        <v>4</v>
      </c>
      <c r="L690" s="6">
        <f t="shared" si="32"/>
        <v>228</v>
      </c>
    </row>
    <row r="691" spans="1:12" ht="15.75" x14ac:dyDescent="0.25">
      <c r="A691" s="6" t="s">
        <v>948</v>
      </c>
      <c r="B691" s="7">
        <v>45212.965277777781</v>
      </c>
      <c r="C691" s="6">
        <v>68</v>
      </c>
      <c r="D691" s="6" t="s">
        <v>800</v>
      </c>
      <c r="E691" s="8" t="str">
        <f>IFERROR(VLOOKUP(LOG_RESEAU[[#This Row],[Cell_ID]],Registre_Maintenance!A:B,2,FALSE),"Non trouvé")</f>
        <v>Non trouvé</v>
      </c>
      <c r="F691" s="8" t="str">
        <f>IFERROR(VLOOKUP(LOG_RESEAU[[#This Row],[Cell_ID]],Registre_Maintenance!A:C,3,FALSE),"Non trouvé")</f>
        <v>Non trouvé</v>
      </c>
      <c r="G691" s="8" t="str">
        <f>IFERROR(VLOOKUP(LOG_RESEAU[[#This Row],[Cell_ID]],Registre_Maintenance!A:D,4,FALSE),"Non trouvé")</f>
        <v>Non trouvé</v>
      </c>
      <c r="H691" s="6" t="str">
        <f>IFERROR(VLOOKUP(LOG_RESEAU[[#This Row],[Cell_ID]],Registre_Maintenance!A:E,5,FALSE),"Non trouvé")</f>
        <v>Non trouvé</v>
      </c>
      <c r="I691" s="6" t="str">
        <f>IFERROR(VLOOKUP(LOG_RESEAU[[#This Row],[Cell_ID]],Registre_Maintenance!A:F,6,FALSE),"Non trouvé")</f>
        <v>Non trouvé</v>
      </c>
      <c r="J691" s="6" t="str">
        <f t="shared" si="30"/>
        <v>Antenne inconnue</v>
      </c>
      <c r="K691" s="6">
        <f t="shared" si="31"/>
        <v>5</v>
      </c>
      <c r="L691" s="6">
        <f t="shared" si="32"/>
        <v>311</v>
      </c>
    </row>
    <row r="692" spans="1:12" ht="15.75" x14ac:dyDescent="0.25">
      <c r="A692" s="6" t="s">
        <v>948</v>
      </c>
      <c r="B692" s="7">
        <v>45228.791666666657</v>
      </c>
      <c r="C692" s="6">
        <v>41</v>
      </c>
      <c r="D692" s="6" t="s">
        <v>792</v>
      </c>
      <c r="E692" s="8" t="str">
        <f>IFERROR(VLOOKUP(LOG_RESEAU[[#This Row],[Cell_ID]],Registre_Maintenance!A:B,2,FALSE),"Non trouvé")</f>
        <v>Non trouvé</v>
      </c>
      <c r="F692" s="8" t="str">
        <f>IFERROR(VLOOKUP(LOG_RESEAU[[#This Row],[Cell_ID]],Registre_Maintenance!A:C,3,FALSE),"Non trouvé")</f>
        <v>Non trouvé</v>
      </c>
      <c r="G692" s="8" t="str">
        <f>IFERROR(VLOOKUP(LOG_RESEAU[[#This Row],[Cell_ID]],Registre_Maintenance!A:D,4,FALSE),"Non trouvé")</f>
        <v>Non trouvé</v>
      </c>
      <c r="H692" s="6" t="str">
        <f>IFERROR(VLOOKUP(LOG_RESEAU[[#This Row],[Cell_ID]],Registre_Maintenance!A:E,5,FALSE),"Non trouvé")</f>
        <v>Non trouvé</v>
      </c>
      <c r="I692" s="6" t="str">
        <f>IFERROR(VLOOKUP(LOG_RESEAU[[#This Row],[Cell_ID]],Registre_Maintenance!A:F,6,FALSE),"Non trouvé")</f>
        <v>Non trouvé</v>
      </c>
      <c r="J692" s="6" t="str">
        <f t="shared" si="30"/>
        <v>Antenne inconnue</v>
      </c>
      <c r="K692" s="6">
        <f t="shared" si="31"/>
        <v>5</v>
      </c>
      <c r="L692" s="6">
        <f t="shared" si="32"/>
        <v>311</v>
      </c>
    </row>
    <row r="693" spans="1:12" ht="15.75" x14ac:dyDescent="0.25">
      <c r="A693" s="6" t="s">
        <v>948</v>
      </c>
      <c r="B693" s="7">
        <v>45203.95416666667</v>
      </c>
      <c r="C693" s="6">
        <v>102</v>
      </c>
      <c r="D693" s="6" t="s">
        <v>794</v>
      </c>
      <c r="E693" s="8" t="str">
        <f>IFERROR(VLOOKUP(LOG_RESEAU[[#This Row],[Cell_ID]],Registre_Maintenance!A:B,2,FALSE),"Non trouvé")</f>
        <v>Non trouvé</v>
      </c>
      <c r="F693" s="8" t="str">
        <f>IFERROR(VLOOKUP(LOG_RESEAU[[#This Row],[Cell_ID]],Registre_Maintenance!A:C,3,FALSE),"Non trouvé")</f>
        <v>Non trouvé</v>
      </c>
      <c r="G693" s="8" t="str">
        <f>IFERROR(VLOOKUP(LOG_RESEAU[[#This Row],[Cell_ID]],Registre_Maintenance!A:D,4,FALSE),"Non trouvé")</f>
        <v>Non trouvé</v>
      </c>
      <c r="H693" s="6" t="str">
        <f>IFERROR(VLOOKUP(LOG_RESEAU[[#This Row],[Cell_ID]],Registre_Maintenance!A:E,5,FALSE),"Non trouvé")</f>
        <v>Non trouvé</v>
      </c>
      <c r="I693" s="6" t="str">
        <f>IFERROR(VLOOKUP(LOG_RESEAU[[#This Row],[Cell_ID]],Registre_Maintenance!A:F,6,FALSE),"Non trouvé")</f>
        <v>Non trouvé</v>
      </c>
      <c r="J693" s="6" t="str">
        <f t="shared" si="30"/>
        <v>Antenne inconnue</v>
      </c>
      <c r="K693" s="6">
        <f t="shared" si="31"/>
        <v>5</v>
      </c>
      <c r="L693" s="6">
        <f t="shared" si="32"/>
        <v>311</v>
      </c>
    </row>
    <row r="694" spans="1:12" ht="15.75" x14ac:dyDescent="0.25">
      <c r="A694" s="6" t="s">
        <v>948</v>
      </c>
      <c r="B694" s="7">
        <v>45228.848611111112</v>
      </c>
      <c r="C694" s="6">
        <v>18</v>
      </c>
      <c r="D694" s="6" t="s">
        <v>792</v>
      </c>
      <c r="E694" s="8" t="str">
        <f>IFERROR(VLOOKUP(LOG_RESEAU[[#This Row],[Cell_ID]],Registre_Maintenance!A:B,2,FALSE),"Non trouvé")</f>
        <v>Non trouvé</v>
      </c>
      <c r="F694" s="8" t="str">
        <f>IFERROR(VLOOKUP(LOG_RESEAU[[#This Row],[Cell_ID]],Registre_Maintenance!A:C,3,FALSE),"Non trouvé")</f>
        <v>Non trouvé</v>
      </c>
      <c r="G694" s="8" t="str">
        <f>IFERROR(VLOOKUP(LOG_RESEAU[[#This Row],[Cell_ID]],Registre_Maintenance!A:D,4,FALSE),"Non trouvé")</f>
        <v>Non trouvé</v>
      </c>
      <c r="H694" s="6" t="str">
        <f>IFERROR(VLOOKUP(LOG_RESEAU[[#This Row],[Cell_ID]],Registre_Maintenance!A:E,5,FALSE),"Non trouvé")</f>
        <v>Non trouvé</v>
      </c>
      <c r="I694" s="6" t="str">
        <f>IFERROR(VLOOKUP(LOG_RESEAU[[#This Row],[Cell_ID]],Registre_Maintenance!A:F,6,FALSE),"Non trouvé")</f>
        <v>Non trouvé</v>
      </c>
      <c r="J694" s="6" t="str">
        <f t="shared" si="30"/>
        <v>Antenne inconnue</v>
      </c>
      <c r="K694" s="6">
        <f t="shared" si="31"/>
        <v>5</v>
      </c>
      <c r="L694" s="6">
        <f t="shared" si="32"/>
        <v>311</v>
      </c>
    </row>
    <row r="695" spans="1:12" ht="15.75" x14ac:dyDescent="0.25">
      <c r="A695" s="6" t="s">
        <v>948</v>
      </c>
      <c r="B695" s="7">
        <v>45208.074999999997</v>
      </c>
      <c r="C695" s="6">
        <v>82</v>
      </c>
      <c r="D695" s="6" t="s">
        <v>792</v>
      </c>
      <c r="E695" s="8" t="str">
        <f>IFERROR(VLOOKUP(LOG_RESEAU[[#This Row],[Cell_ID]],Registre_Maintenance!A:B,2,FALSE),"Non trouvé")</f>
        <v>Non trouvé</v>
      </c>
      <c r="F695" s="8" t="str">
        <f>IFERROR(VLOOKUP(LOG_RESEAU[[#This Row],[Cell_ID]],Registre_Maintenance!A:C,3,FALSE),"Non trouvé")</f>
        <v>Non trouvé</v>
      </c>
      <c r="G695" s="8" t="str">
        <f>IFERROR(VLOOKUP(LOG_RESEAU[[#This Row],[Cell_ID]],Registre_Maintenance!A:D,4,FALSE),"Non trouvé")</f>
        <v>Non trouvé</v>
      </c>
      <c r="H695" s="6" t="str">
        <f>IFERROR(VLOOKUP(LOG_RESEAU[[#This Row],[Cell_ID]],Registre_Maintenance!A:E,5,FALSE),"Non trouvé")</f>
        <v>Non trouvé</v>
      </c>
      <c r="I695" s="6" t="str">
        <f>IFERROR(VLOOKUP(LOG_RESEAU[[#This Row],[Cell_ID]],Registre_Maintenance!A:F,6,FALSE),"Non trouvé")</f>
        <v>Non trouvé</v>
      </c>
      <c r="J695" s="6" t="str">
        <f t="shared" si="30"/>
        <v>Antenne inconnue</v>
      </c>
      <c r="K695" s="6">
        <f t="shared" si="31"/>
        <v>5</v>
      </c>
      <c r="L695" s="6">
        <f t="shared" si="32"/>
        <v>311</v>
      </c>
    </row>
    <row r="696" spans="1:12" ht="15.75" x14ac:dyDescent="0.25">
      <c r="A696" s="6" t="s">
        <v>1003</v>
      </c>
      <c r="B696" s="7">
        <v>45210.600694444453</v>
      </c>
      <c r="C696" s="6">
        <v>47</v>
      </c>
      <c r="D696" s="6" t="s">
        <v>792</v>
      </c>
      <c r="E696" s="8" t="str">
        <f>IFERROR(VLOOKUP(LOG_RESEAU[[#This Row],[Cell_ID]],Registre_Maintenance!A:B,2,FALSE),"Non trouvé")</f>
        <v>Sud-Ubangi</v>
      </c>
      <c r="F696" s="8">
        <f>IFERROR(VLOOKUP(LOG_RESEAU[[#This Row],[Cell_ID]],Registre_Maintenance!A:C,3,FALSE),"Non trouvé")</f>
        <v>-9.3652239999999995</v>
      </c>
      <c r="G696" s="8">
        <f>IFERROR(VLOOKUP(LOG_RESEAU[[#This Row],[Cell_ID]],Registre_Maintenance!A:D,4,FALSE),"Non trouvé")</f>
        <v>22.593423999999999</v>
      </c>
      <c r="H696" s="6" t="str">
        <f>IFERROR(VLOOKUP(LOG_RESEAU[[#This Row],[Cell_ID]],Registre_Maintenance!A:E,5,FALSE),"Non trouvé")</f>
        <v>5G</v>
      </c>
      <c r="I696" s="6" t="str">
        <f>IFERROR(VLOOKUP(LOG_RESEAU[[#This Row],[Cell_ID]],Registre_Maintenance!A:F,6,FALSE),"Non trouvé")</f>
        <v>Nokia</v>
      </c>
      <c r="J696" s="6" t="str">
        <f t="shared" si="30"/>
        <v>OK</v>
      </c>
      <c r="K696" s="6">
        <f t="shared" si="31"/>
        <v>5</v>
      </c>
      <c r="L696" s="6">
        <f t="shared" si="32"/>
        <v>328</v>
      </c>
    </row>
    <row r="697" spans="1:12" ht="15.75" x14ac:dyDescent="0.25">
      <c r="A697" s="6" t="s">
        <v>1003</v>
      </c>
      <c r="B697" s="7">
        <v>45220.893750000003</v>
      </c>
      <c r="C697" s="6">
        <v>92</v>
      </c>
      <c r="D697" s="6" t="s">
        <v>800</v>
      </c>
      <c r="E697" s="8" t="str">
        <f>IFERROR(VLOOKUP(LOG_RESEAU[[#This Row],[Cell_ID]],Registre_Maintenance!A:B,2,FALSE),"Non trouvé")</f>
        <v>Sud-Ubangi</v>
      </c>
      <c r="F697" s="8">
        <f>IFERROR(VLOOKUP(LOG_RESEAU[[#This Row],[Cell_ID]],Registre_Maintenance!A:C,3,FALSE),"Non trouvé")</f>
        <v>-9.3652239999999995</v>
      </c>
      <c r="G697" s="8">
        <f>IFERROR(VLOOKUP(LOG_RESEAU[[#This Row],[Cell_ID]],Registre_Maintenance!A:D,4,FALSE),"Non trouvé")</f>
        <v>22.593423999999999</v>
      </c>
      <c r="H697" s="6" t="str">
        <f>IFERROR(VLOOKUP(LOG_RESEAU[[#This Row],[Cell_ID]],Registre_Maintenance!A:E,5,FALSE),"Non trouvé")</f>
        <v>5G</v>
      </c>
      <c r="I697" s="6" t="str">
        <f>IFERROR(VLOOKUP(LOG_RESEAU[[#This Row],[Cell_ID]],Registre_Maintenance!A:F,6,FALSE),"Non trouvé")</f>
        <v>Nokia</v>
      </c>
      <c r="J697" s="6" t="str">
        <f t="shared" si="30"/>
        <v>OK</v>
      </c>
      <c r="K697" s="6">
        <f t="shared" si="31"/>
        <v>5</v>
      </c>
      <c r="L697" s="6">
        <f t="shared" si="32"/>
        <v>328</v>
      </c>
    </row>
    <row r="698" spans="1:12" ht="15.75" x14ac:dyDescent="0.25">
      <c r="A698" s="6" t="s">
        <v>1003</v>
      </c>
      <c r="B698" s="7">
        <v>45222.179166666669</v>
      </c>
      <c r="C698" s="6">
        <v>92</v>
      </c>
      <c r="D698" s="6" t="s">
        <v>794</v>
      </c>
      <c r="E698" s="8" t="str">
        <f>IFERROR(VLOOKUP(LOG_RESEAU[[#This Row],[Cell_ID]],Registre_Maintenance!A:B,2,FALSE),"Non trouvé")</f>
        <v>Sud-Ubangi</v>
      </c>
      <c r="F698" s="8">
        <f>IFERROR(VLOOKUP(LOG_RESEAU[[#This Row],[Cell_ID]],Registre_Maintenance!A:C,3,FALSE),"Non trouvé")</f>
        <v>-9.3652239999999995</v>
      </c>
      <c r="G698" s="8">
        <f>IFERROR(VLOOKUP(LOG_RESEAU[[#This Row],[Cell_ID]],Registre_Maintenance!A:D,4,FALSE),"Non trouvé")</f>
        <v>22.593423999999999</v>
      </c>
      <c r="H698" s="6" t="str">
        <f>IFERROR(VLOOKUP(LOG_RESEAU[[#This Row],[Cell_ID]],Registre_Maintenance!A:E,5,FALSE),"Non trouvé")</f>
        <v>5G</v>
      </c>
      <c r="I698" s="6" t="str">
        <f>IFERROR(VLOOKUP(LOG_RESEAU[[#This Row],[Cell_ID]],Registre_Maintenance!A:F,6,FALSE),"Non trouvé")</f>
        <v>Nokia</v>
      </c>
      <c r="J698" s="6" t="str">
        <f t="shared" si="30"/>
        <v>OK</v>
      </c>
      <c r="K698" s="6">
        <f t="shared" si="31"/>
        <v>5</v>
      </c>
      <c r="L698" s="6">
        <f t="shared" si="32"/>
        <v>328</v>
      </c>
    </row>
    <row r="699" spans="1:12" ht="15.75" x14ac:dyDescent="0.25">
      <c r="A699" s="6" t="s">
        <v>1003</v>
      </c>
      <c r="B699" s="7">
        <v>45214.457638888889</v>
      </c>
      <c r="C699" s="6">
        <v>48</v>
      </c>
      <c r="D699" s="6" t="s">
        <v>792</v>
      </c>
      <c r="E699" s="8" t="str">
        <f>IFERROR(VLOOKUP(LOG_RESEAU[[#This Row],[Cell_ID]],Registre_Maintenance!A:B,2,FALSE),"Non trouvé")</f>
        <v>Sud-Ubangi</v>
      </c>
      <c r="F699" s="8">
        <f>IFERROR(VLOOKUP(LOG_RESEAU[[#This Row],[Cell_ID]],Registre_Maintenance!A:C,3,FALSE),"Non trouvé")</f>
        <v>-9.3652239999999995</v>
      </c>
      <c r="G699" s="8">
        <f>IFERROR(VLOOKUP(LOG_RESEAU[[#This Row],[Cell_ID]],Registre_Maintenance!A:D,4,FALSE),"Non trouvé")</f>
        <v>22.593423999999999</v>
      </c>
      <c r="H699" s="6" t="str">
        <f>IFERROR(VLOOKUP(LOG_RESEAU[[#This Row],[Cell_ID]],Registre_Maintenance!A:E,5,FALSE),"Non trouvé")</f>
        <v>5G</v>
      </c>
      <c r="I699" s="6" t="str">
        <f>IFERROR(VLOOKUP(LOG_RESEAU[[#This Row],[Cell_ID]],Registre_Maintenance!A:F,6,FALSE),"Non trouvé")</f>
        <v>Nokia</v>
      </c>
      <c r="J699" s="6" t="str">
        <f t="shared" si="30"/>
        <v>OK</v>
      </c>
      <c r="K699" s="6">
        <f t="shared" si="31"/>
        <v>5</v>
      </c>
      <c r="L699" s="6">
        <f t="shared" si="32"/>
        <v>328</v>
      </c>
    </row>
    <row r="700" spans="1:12" ht="15.75" x14ac:dyDescent="0.25">
      <c r="A700" s="6" t="s">
        <v>1003</v>
      </c>
      <c r="B700" s="7">
        <v>45220.488888888889</v>
      </c>
      <c r="C700" s="6">
        <v>49</v>
      </c>
      <c r="D700" s="6" t="s">
        <v>792</v>
      </c>
      <c r="E700" s="8" t="str">
        <f>IFERROR(VLOOKUP(LOG_RESEAU[[#This Row],[Cell_ID]],Registre_Maintenance!A:B,2,FALSE),"Non trouvé")</f>
        <v>Sud-Ubangi</v>
      </c>
      <c r="F700" s="8">
        <f>IFERROR(VLOOKUP(LOG_RESEAU[[#This Row],[Cell_ID]],Registre_Maintenance!A:C,3,FALSE),"Non trouvé")</f>
        <v>-9.3652239999999995</v>
      </c>
      <c r="G700" s="8">
        <f>IFERROR(VLOOKUP(LOG_RESEAU[[#This Row],[Cell_ID]],Registre_Maintenance!A:D,4,FALSE),"Non trouvé")</f>
        <v>22.593423999999999</v>
      </c>
      <c r="H700" s="6" t="str">
        <f>IFERROR(VLOOKUP(LOG_RESEAU[[#This Row],[Cell_ID]],Registre_Maintenance!A:E,5,FALSE),"Non trouvé")</f>
        <v>5G</v>
      </c>
      <c r="I700" s="6" t="str">
        <f>IFERROR(VLOOKUP(LOG_RESEAU[[#This Row],[Cell_ID]],Registre_Maintenance!A:F,6,FALSE),"Non trouvé")</f>
        <v>Nokia</v>
      </c>
      <c r="J700" s="6" t="str">
        <f t="shared" si="30"/>
        <v>OK</v>
      </c>
      <c r="K700" s="6">
        <f t="shared" si="31"/>
        <v>5</v>
      </c>
      <c r="L700" s="6">
        <f t="shared" si="32"/>
        <v>328</v>
      </c>
    </row>
    <row r="701" spans="1:12" ht="15.75" x14ac:dyDescent="0.25">
      <c r="A701" s="6" t="s">
        <v>927</v>
      </c>
      <c r="B701" s="7">
        <v>45229.738194444442</v>
      </c>
      <c r="C701" s="6">
        <v>117</v>
      </c>
      <c r="D701" s="6" t="s">
        <v>792</v>
      </c>
      <c r="E701" s="8" t="str">
        <f>IFERROR(VLOOKUP(LOG_RESEAU[[#This Row],[Cell_ID]],Registre_Maintenance!A:B,2,FALSE),"Non trouvé")</f>
        <v>Kwilu</v>
      </c>
      <c r="F701" s="8">
        <f>IFERROR(VLOOKUP(LOG_RESEAU[[#This Row],[Cell_ID]],Registre_Maintenance!A:C,3,FALSE),"Non trouvé")</f>
        <v>1.2691650000000001</v>
      </c>
      <c r="G701" s="8">
        <f>IFERROR(VLOOKUP(LOG_RESEAU[[#This Row],[Cell_ID]],Registre_Maintenance!A:D,4,FALSE),"Non trouvé")</f>
        <v>18.789956</v>
      </c>
      <c r="H701" s="6" t="str">
        <f>IFERROR(VLOOKUP(LOG_RESEAU[[#This Row],[Cell_ID]],Registre_Maintenance!A:E,5,FALSE),"Non trouvé")</f>
        <v>3G</v>
      </c>
      <c r="I701" s="6" t="str">
        <f>IFERROR(VLOOKUP(LOG_RESEAU[[#This Row],[Cell_ID]],Registre_Maintenance!A:F,6,FALSE),"Non trouvé")</f>
        <v>Nokia</v>
      </c>
      <c r="J701" s="6" t="str">
        <f t="shared" si="30"/>
        <v>OK</v>
      </c>
      <c r="K701" s="6">
        <f t="shared" si="31"/>
        <v>3</v>
      </c>
      <c r="L701" s="6">
        <f t="shared" si="32"/>
        <v>192</v>
      </c>
    </row>
    <row r="702" spans="1:12" ht="15.75" x14ac:dyDescent="0.25">
      <c r="A702" s="6" t="s">
        <v>927</v>
      </c>
      <c r="B702" s="7">
        <v>45218.779166666667</v>
      </c>
      <c r="C702" s="6">
        <v>52</v>
      </c>
      <c r="D702" s="6" t="s">
        <v>794</v>
      </c>
      <c r="E702" s="8" t="str">
        <f>IFERROR(VLOOKUP(LOG_RESEAU[[#This Row],[Cell_ID]],Registre_Maintenance!A:B,2,FALSE),"Non trouvé")</f>
        <v>Kwilu</v>
      </c>
      <c r="F702" s="8">
        <f>IFERROR(VLOOKUP(LOG_RESEAU[[#This Row],[Cell_ID]],Registre_Maintenance!A:C,3,FALSE),"Non trouvé")</f>
        <v>1.2691650000000001</v>
      </c>
      <c r="G702" s="8">
        <f>IFERROR(VLOOKUP(LOG_RESEAU[[#This Row],[Cell_ID]],Registre_Maintenance!A:D,4,FALSE),"Non trouvé")</f>
        <v>18.789956</v>
      </c>
      <c r="H702" s="6" t="str">
        <f>IFERROR(VLOOKUP(LOG_RESEAU[[#This Row],[Cell_ID]],Registre_Maintenance!A:E,5,FALSE),"Non trouvé")</f>
        <v>3G</v>
      </c>
      <c r="I702" s="6" t="str">
        <f>IFERROR(VLOOKUP(LOG_RESEAU[[#This Row],[Cell_ID]],Registre_Maintenance!A:F,6,FALSE),"Non trouvé")</f>
        <v>Nokia</v>
      </c>
      <c r="J702" s="6" t="str">
        <f t="shared" si="30"/>
        <v>OK</v>
      </c>
      <c r="K702" s="6">
        <f t="shared" si="31"/>
        <v>3</v>
      </c>
      <c r="L702" s="6">
        <f t="shared" si="32"/>
        <v>192</v>
      </c>
    </row>
    <row r="703" spans="1:12" ht="15.75" x14ac:dyDescent="0.25">
      <c r="A703" s="6" t="s">
        <v>927</v>
      </c>
      <c r="B703" s="7">
        <v>45212.875694444447</v>
      </c>
      <c r="C703" s="6">
        <v>23</v>
      </c>
      <c r="D703" s="6" t="s">
        <v>794</v>
      </c>
      <c r="E703" s="8" t="str">
        <f>IFERROR(VLOOKUP(LOG_RESEAU[[#This Row],[Cell_ID]],Registre_Maintenance!A:B,2,FALSE),"Non trouvé")</f>
        <v>Kwilu</v>
      </c>
      <c r="F703" s="8">
        <f>IFERROR(VLOOKUP(LOG_RESEAU[[#This Row],[Cell_ID]],Registre_Maintenance!A:C,3,FALSE),"Non trouvé")</f>
        <v>1.2691650000000001</v>
      </c>
      <c r="G703" s="8">
        <f>IFERROR(VLOOKUP(LOG_RESEAU[[#This Row],[Cell_ID]],Registre_Maintenance!A:D,4,FALSE),"Non trouvé")</f>
        <v>18.789956</v>
      </c>
      <c r="H703" s="6" t="str">
        <f>IFERROR(VLOOKUP(LOG_RESEAU[[#This Row],[Cell_ID]],Registre_Maintenance!A:E,5,FALSE),"Non trouvé")</f>
        <v>3G</v>
      </c>
      <c r="I703" s="6" t="str">
        <f>IFERROR(VLOOKUP(LOG_RESEAU[[#This Row],[Cell_ID]],Registre_Maintenance!A:F,6,FALSE),"Non trouvé")</f>
        <v>Nokia</v>
      </c>
      <c r="J703" s="6" t="str">
        <f t="shared" si="30"/>
        <v>OK</v>
      </c>
      <c r="K703" s="6">
        <f t="shared" si="31"/>
        <v>3</v>
      </c>
      <c r="L703" s="6">
        <f t="shared" si="32"/>
        <v>192</v>
      </c>
    </row>
    <row r="704" spans="1:12" ht="15.75" x14ac:dyDescent="0.25">
      <c r="A704" s="6" t="s">
        <v>1004</v>
      </c>
      <c r="B704" s="7">
        <v>45210.555555555547</v>
      </c>
      <c r="C704" s="6">
        <v>65</v>
      </c>
      <c r="D704" s="6" t="s">
        <v>792</v>
      </c>
      <c r="E704" s="8" t="str">
        <f>IFERROR(VLOOKUP(LOG_RESEAU[[#This Row],[Cell_ID]],Registre_Maintenance!A:B,2,FALSE),"Non trouvé")</f>
        <v>Non trouvé</v>
      </c>
      <c r="F704" s="8" t="str">
        <f>IFERROR(VLOOKUP(LOG_RESEAU[[#This Row],[Cell_ID]],Registre_Maintenance!A:C,3,FALSE),"Non trouvé")</f>
        <v>Non trouvé</v>
      </c>
      <c r="G704" s="8" t="str">
        <f>IFERROR(VLOOKUP(LOG_RESEAU[[#This Row],[Cell_ID]],Registre_Maintenance!A:D,4,FALSE),"Non trouvé")</f>
        <v>Non trouvé</v>
      </c>
      <c r="H704" s="6" t="str">
        <f>IFERROR(VLOOKUP(LOG_RESEAU[[#This Row],[Cell_ID]],Registre_Maintenance!A:E,5,FALSE),"Non trouvé")</f>
        <v>Non trouvé</v>
      </c>
      <c r="I704" s="6" t="str">
        <f>IFERROR(VLOOKUP(LOG_RESEAU[[#This Row],[Cell_ID]],Registre_Maintenance!A:F,6,FALSE),"Non trouvé")</f>
        <v>Non trouvé</v>
      </c>
      <c r="J704" s="6" t="str">
        <f t="shared" si="30"/>
        <v>Antenne inconnue</v>
      </c>
      <c r="K704" s="6">
        <f t="shared" si="31"/>
        <v>2</v>
      </c>
      <c r="L704" s="6">
        <f t="shared" si="32"/>
        <v>106</v>
      </c>
    </row>
    <row r="705" spans="1:12" ht="15.75" x14ac:dyDescent="0.25">
      <c r="A705" s="6" t="s">
        <v>1004</v>
      </c>
      <c r="B705" s="7">
        <v>45205.183333333327</v>
      </c>
      <c r="C705" s="6">
        <v>41</v>
      </c>
      <c r="D705" s="6" t="s">
        <v>800</v>
      </c>
      <c r="E705" s="8" t="str">
        <f>IFERROR(VLOOKUP(LOG_RESEAU[[#This Row],[Cell_ID]],Registre_Maintenance!A:B,2,FALSE),"Non trouvé")</f>
        <v>Non trouvé</v>
      </c>
      <c r="F705" s="8" t="str">
        <f>IFERROR(VLOOKUP(LOG_RESEAU[[#This Row],[Cell_ID]],Registre_Maintenance!A:C,3,FALSE),"Non trouvé")</f>
        <v>Non trouvé</v>
      </c>
      <c r="G705" s="8" t="str">
        <f>IFERROR(VLOOKUP(LOG_RESEAU[[#This Row],[Cell_ID]],Registre_Maintenance!A:D,4,FALSE),"Non trouvé")</f>
        <v>Non trouvé</v>
      </c>
      <c r="H705" s="6" t="str">
        <f>IFERROR(VLOOKUP(LOG_RESEAU[[#This Row],[Cell_ID]],Registre_Maintenance!A:E,5,FALSE),"Non trouvé")</f>
        <v>Non trouvé</v>
      </c>
      <c r="I705" s="6" t="str">
        <f>IFERROR(VLOOKUP(LOG_RESEAU[[#This Row],[Cell_ID]],Registre_Maintenance!A:F,6,FALSE),"Non trouvé")</f>
        <v>Non trouvé</v>
      </c>
      <c r="J705" s="6" t="str">
        <f t="shared" si="30"/>
        <v>Antenne inconnue</v>
      </c>
      <c r="K705" s="6">
        <f t="shared" si="31"/>
        <v>2</v>
      </c>
      <c r="L705" s="6">
        <f t="shared" si="32"/>
        <v>106</v>
      </c>
    </row>
    <row r="706" spans="1:12" ht="15.75" x14ac:dyDescent="0.25">
      <c r="A706" s="6" t="s">
        <v>877</v>
      </c>
      <c r="B706" s="7">
        <v>45220.837500000001</v>
      </c>
      <c r="C706" s="6">
        <v>22</v>
      </c>
      <c r="D706" s="6" t="s">
        <v>792</v>
      </c>
      <c r="E706" s="8" t="str">
        <f>IFERROR(VLOOKUP(LOG_RESEAU[[#This Row],[Cell_ID]],Registre_Maintenance!A:B,2,FALSE),"Non trouvé")</f>
        <v>Kwango</v>
      </c>
      <c r="F706" s="8">
        <f>IFERROR(VLOOKUP(LOG_RESEAU[[#This Row],[Cell_ID]],Registre_Maintenance!A:C,3,FALSE),"Non trouvé")</f>
        <v>-10.963041</v>
      </c>
      <c r="G706" s="8">
        <f>IFERROR(VLOOKUP(LOG_RESEAU[[#This Row],[Cell_ID]],Registre_Maintenance!A:D,4,FALSE),"Non trouvé")</f>
        <v>12.269857</v>
      </c>
      <c r="H706" s="6" t="str">
        <f>IFERROR(VLOOKUP(LOG_RESEAU[[#This Row],[Cell_ID]],Registre_Maintenance!A:E,5,FALSE),"Non trouvé")</f>
        <v>4G</v>
      </c>
      <c r="I706" s="6" t="str">
        <f>IFERROR(VLOOKUP(LOG_RESEAU[[#This Row],[Cell_ID]],Registre_Maintenance!A:F,6,FALSE),"Non trouvé")</f>
        <v>Huawei</v>
      </c>
      <c r="J706" s="6" t="str">
        <f t="shared" ref="J706:J769" si="33">IF(ISERROR(SEARCH("Non trouvé",F706)),"OK","Antenne inconnue")</f>
        <v>OK</v>
      </c>
      <c r="K706" s="6">
        <f t="shared" ref="K706:K769" si="34">COUNTIF(A:A,A706)</f>
        <v>5</v>
      </c>
      <c r="L706" s="6">
        <f t="shared" ref="L706:L769" si="35">SUMIF(A:A,A706,C:C)</f>
        <v>230</v>
      </c>
    </row>
    <row r="707" spans="1:12" ht="15.75" x14ac:dyDescent="0.25">
      <c r="A707" s="6" t="s">
        <v>877</v>
      </c>
      <c r="B707" s="7">
        <v>45200.115972222222</v>
      </c>
      <c r="C707" s="6">
        <v>9</v>
      </c>
      <c r="D707" s="6" t="s">
        <v>794</v>
      </c>
      <c r="E707" s="8" t="str">
        <f>IFERROR(VLOOKUP(LOG_RESEAU[[#This Row],[Cell_ID]],Registre_Maintenance!A:B,2,FALSE),"Non trouvé")</f>
        <v>Kwango</v>
      </c>
      <c r="F707" s="8">
        <f>IFERROR(VLOOKUP(LOG_RESEAU[[#This Row],[Cell_ID]],Registre_Maintenance!A:C,3,FALSE),"Non trouvé")</f>
        <v>-10.963041</v>
      </c>
      <c r="G707" s="8">
        <f>IFERROR(VLOOKUP(LOG_RESEAU[[#This Row],[Cell_ID]],Registre_Maintenance!A:D,4,FALSE),"Non trouvé")</f>
        <v>12.269857</v>
      </c>
      <c r="H707" s="6" t="str">
        <f>IFERROR(VLOOKUP(LOG_RESEAU[[#This Row],[Cell_ID]],Registre_Maintenance!A:E,5,FALSE),"Non trouvé")</f>
        <v>4G</v>
      </c>
      <c r="I707" s="6" t="str">
        <f>IFERROR(VLOOKUP(LOG_RESEAU[[#This Row],[Cell_ID]],Registre_Maintenance!A:F,6,FALSE),"Non trouvé")</f>
        <v>Huawei</v>
      </c>
      <c r="J707" s="6" t="str">
        <f t="shared" si="33"/>
        <v>OK</v>
      </c>
      <c r="K707" s="6">
        <f t="shared" si="34"/>
        <v>5</v>
      </c>
      <c r="L707" s="6">
        <f t="shared" si="35"/>
        <v>230</v>
      </c>
    </row>
    <row r="708" spans="1:12" ht="15.75" x14ac:dyDescent="0.25">
      <c r="A708" s="6" t="s">
        <v>877</v>
      </c>
      <c r="B708" s="7">
        <v>45206.539583333331</v>
      </c>
      <c r="C708" s="6">
        <v>43</v>
      </c>
      <c r="D708" s="6" t="s">
        <v>794</v>
      </c>
      <c r="E708" s="8" t="str">
        <f>IFERROR(VLOOKUP(LOG_RESEAU[[#This Row],[Cell_ID]],Registre_Maintenance!A:B,2,FALSE),"Non trouvé")</f>
        <v>Kwango</v>
      </c>
      <c r="F708" s="8">
        <f>IFERROR(VLOOKUP(LOG_RESEAU[[#This Row],[Cell_ID]],Registre_Maintenance!A:C,3,FALSE),"Non trouvé")</f>
        <v>-10.963041</v>
      </c>
      <c r="G708" s="8">
        <f>IFERROR(VLOOKUP(LOG_RESEAU[[#This Row],[Cell_ID]],Registre_Maintenance!A:D,4,FALSE),"Non trouvé")</f>
        <v>12.269857</v>
      </c>
      <c r="H708" s="6" t="str">
        <f>IFERROR(VLOOKUP(LOG_RESEAU[[#This Row],[Cell_ID]],Registre_Maintenance!A:E,5,FALSE),"Non trouvé")</f>
        <v>4G</v>
      </c>
      <c r="I708" s="6" t="str">
        <f>IFERROR(VLOOKUP(LOG_RESEAU[[#This Row],[Cell_ID]],Registre_Maintenance!A:F,6,FALSE),"Non trouvé")</f>
        <v>Huawei</v>
      </c>
      <c r="J708" s="6" t="str">
        <f t="shared" si="33"/>
        <v>OK</v>
      </c>
      <c r="K708" s="6">
        <f t="shared" si="34"/>
        <v>5</v>
      </c>
      <c r="L708" s="6">
        <f t="shared" si="35"/>
        <v>230</v>
      </c>
    </row>
    <row r="709" spans="1:12" ht="15.75" x14ac:dyDescent="0.25">
      <c r="A709" s="6" t="s">
        <v>877</v>
      </c>
      <c r="B709" s="7">
        <v>45228.621527777781</v>
      </c>
      <c r="C709" s="6">
        <v>98</v>
      </c>
      <c r="D709" s="6" t="s">
        <v>792</v>
      </c>
      <c r="E709" s="8" t="str">
        <f>IFERROR(VLOOKUP(LOG_RESEAU[[#This Row],[Cell_ID]],Registre_Maintenance!A:B,2,FALSE),"Non trouvé")</f>
        <v>Kwango</v>
      </c>
      <c r="F709" s="8">
        <f>IFERROR(VLOOKUP(LOG_RESEAU[[#This Row],[Cell_ID]],Registre_Maintenance!A:C,3,FALSE),"Non trouvé")</f>
        <v>-10.963041</v>
      </c>
      <c r="G709" s="8">
        <f>IFERROR(VLOOKUP(LOG_RESEAU[[#This Row],[Cell_ID]],Registre_Maintenance!A:D,4,FALSE),"Non trouvé")</f>
        <v>12.269857</v>
      </c>
      <c r="H709" s="6" t="str">
        <f>IFERROR(VLOOKUP(LOG_RESEAU[[#This Row],[Cell_ID]],Registre_Maintenance!A:E,5,FALSE),"Non trouvé")</f>
        <v>4G</v>
      </c>
      <c r="I709" s="6" t="str">
        <f>IFERROR(VLOOKUP(LOG_RESEAU[[#This Row],[Cell_ID]],Registre_Maintenance!A:F,6,FALSE),"Non trouvé")</f>
        <v>Huawei</v>
      </c>
      <c r="J709" s="6" t="str">
        <f t="shared" si="33"/>
        <v>OK</v>
      </c>
      <c r="K709" s="6">
        <f t="shared" si="34"/>
        <v>5</v>
      </c>
      <c r="L709" s="6">
        <f t="shared" si="35"/>
        <v>230</v>
      </c>
    </row>
    <row r="710" spans="1:12" ht="15.75" x14ac:dyDescent="0.25">
      <c r="A710" s="6" t="s">
        <v>877</v>
      </c>
      <c r="B710" s="7">
        <v>45212.901388888888</v>
      </c>
      <c r="C710" s="6">
        <v>58</v>
      </c>
      <c r="D710" s="6" t="s">
        <v>794</v>
      </c>
      <c r="E710" s="8" t="str">
        <f>IFERROR(VLOOKUP(LOG_RESEAU[[#This Row],[Cell_ID]],Registre_Maintenance!A:B,2,FALSE),"Non trouvé")</f>
        <v>Kwango</v>
      </c>
      <c r="F710" s="8">
        <f>IFERROR(VLOOKUP(LOG_RESEAU[[#This Row],[Cell_ID]],Registre_Maintenance!A:C,3,FALSE),"Non trouvé")</f>
        <v>-10.963041</v>
      </c>
      <c r="G710" s="8">
        <f>IFERROR(VLOOKUP(LOG_RESEAU[[#This Row],[Cell_ID]],Registre_Maintenance!A:D,4,FALSE),"Non trouvé")</f>
        <v>12.269857</v>
      </c>
      <c r="H710" s="6" t="str">
        <f>IFERROR(VLOOKUP(LOG_RESEAU[[#This Row],[Cell_ID]],Registre_Maintenance!A:E,5,FALSE),"Non trouvé")</f>
        <v>4G</v>
      </c>
      <c r="I710" s="6" t="str">
        <f>IFERROR(VLOOKUP(LOG_RESEAU[[#This Row],[Cell_ID]],Registre_Maintenance!A:F,6,FALSE),"Non trouvé")</f>
        <v>Huawei</v>
      </c>
      <c r="J710" s="6" t="str">
        <f t="shared" si="33"/>
        <v>OK</v>
      </c>
      <c r="K710" s="6">
        <f t="shared" si="34"/>
        <v>5</v>
      </c>
      <c r="L710" s="6">
        <f t="shared" si="35"/>
        <v>230</v>
      </c>
    </row>
    <row r="711" spans="1:12" ht="15.75" x14ac:dyDescent="0.25">
      <c r="A711" s="6" t="s">
        <v>890</v>
      </c>
      <c r="B711" s="7">
        <v>45230.067361111112</v>
      </c>
      <c r="C711" s="6">
        <v>95</v>
      </c>
      <c r="D711" s="6" t="s">
        <v>792</v>
      </c>
      <c r="E711" s="8" t="str">
        <f>IFERROR(VLOOKUP(LOG_RESEAU[[#This Row],[Cell_ID]],Registre_Maintenance!A:B,2,FALSE),"Non trouvé")</f>
        <v>Non trouvé</v>
      </c>
      <c r="F711" s="8" t="str">
        <f>IFERROR(VLOOKUP(LOG_RESEAU[[#This Row],[Cell_ID]],Registre_Maintenance!A:C,3,FALSE),"Non trouvé")</f>
        <v>Non trouvé</v>
      </c>
      <c r="G711" s="8" t="str">
        <f>IFERROR(VLOOKUP(LOG_RESEAU[[#This Row],[Cell_ID]],Registre_Maintenance!A:D,4,FALSE),"Non trouvé")</f>
        <v>Non trouvé</v>
      </c>
      <c r="H711" s="6" t="str">
        <f>IFERROR(VLOOKUP(LOG_RESEAU[[#This Row],[Cell_ID]],Registre_Maintenance!A:E,5,FALSE),"Non trouvé")</f>
        <v>Non trouvé</v>
      </c>
      <c r="I711" s="6" t="str">
        <f>IFERROR(VLOOKUP(LOG_RESEAU[[#This Row],[Cell_ID]],Registre_Maintenance!A:F,6,FALSE),"Non trouvé")</f>
        <v>Non trouvé</v>
      </c>
      <c r="J711" s="6" t="str">
        <f t="shared" si="33"/>
        <v>Antenne inconnue</v>
      </c>
      <c r="K711" s="6">
        <f t="shared" si="34"/>
        <v>6</v>
      </c>
      <c r="L711" s="6">
        <f t="shared" si="35"/>
        <v>564</v>
      </c>
    </row>
    <row r="712" spans="1:12" ht="15.75" x14ac:dyDescent="0.25">
      <c r="A712" s="6" t="s">
        <v>890</v>
      </c>
      <c r="B712" s="7">
        <v>45222.197916666657</v>
      </c>
      <c r="C712" s="6">
        <v>115</v>
      </c>
      <c r="D712" s="6" t="s">
        <v>800</v>
      </c>
      <c r="E712" s="8" t="str">
        <f>IFERROR(VLOOKUP(LOG_RESEAU[[#This Row],[Cell_ID]],Registre_Maintenance!A:B,2,FALSE),"Non trouvé")</f>
        <v>Non trouvé</v>
      </c>
      <c r="F712" s="8" t="str">
        <f>IFERROR(VLOOKUP(LOG_RESEAU[[#This Row],[Cell_ID]],Registre_Maintenance!A:C,3,FALSE),"Non trouvé")</f>
        <v>Non trouvé</v>
      </c>
      <c r="G712" s="8" t="str">
        <f>IFERROR(VLOOKUP(LOG_RESEAU[[#This Row],[Cell_ID]],Registre_Maintenance!A:D,4,FALSE),"Non trouvé")</f>
        <v>Non trouvé</v>
      </c>
      <c r="H712" s="6" t="str">
        <f>IFERROR(VLOOKUP(LOG_RESEAU[[#This Row],[Cell_ID]],Registre_Maintenance!A:E,5,FALSE),"Non trouvé")</f>
        <v>Non trouvé</v>
      </c>
      <c r="I712" s="6" t="str">
        <f>IFERROR(VLOOKUP(LOG_RESEAU[[#This Row],[Cell_ID]],Registre_Maintenance!A:F,6,FALSE),"Non trouvé")</f>
        <v>Non trouvé</v>
      </c>
      <c r="J712" s="6" t="str">
        <f t="shared" si="33"/>
        <v>Antenne inconnue</v>
      </c>
      <c r="K712" s="6">
        <f t="shared" si="34"/>
        <v>6</v>
      </c>
      <c r="L712" s="6">
        <f t="shared" si="35"/>
        <v>564</v>
      </c>
    </row>
    <row r="713" spans="1:12" ht="15.75" x14ac:dyDescent="0.25">
      <c r="A713" s="6" t="s">
        <v>890</v>
      </c>
      <c r="B713" s="7">
        <v>45226.84375</v>
      </c>
      <c r="C713" s="6">
        <v>98</v>
      </c>
      <c r="D713" s="6" t="s">
        <v>794</v>
      </c>
      <c r="E713" s="8" t="str">
        <f>IFERROR(VLOOKUP(LOG_RESEAU[[#This Row],[Cell_ID]],Registre_Maintenance!A:B,2,FALSE),"Non trouvé")</f>
        <v>Non trouvé</v>
      </c>
      <c r="F713" s="8" t="str">
        <f>IFERROR(VLOOKUP(LOG_RESEAU[[#This Row],[Cell_ID]],Registre_Maintenance!A:C,3,FALSE),"Non trouvé")</f>
        <v>Non trouvé</v>
      </c>
      <c r="G713" s="8" t="str">
        <f>IFERROR(VLOOKUP(LOG_RESEAU[[#This Row],[Cell_ID]],Registre_Maintenance!A:D,4,FALSE),"Non trouvé")</f>
        <v>Non trouvé</v>
      </c>
      <c r="H713" s="6" t="str">
        <f>IFERROR(VLOOKUP(LOG_RESEAU[[#This Row],[Cell_ID]],Registre_Maintenance!A:E,5,FALSE),"Non trouvé")</f>
        <v>Non trouvé</v>
      </c>
      <c r="I713" s="6" t="str">
        <f>IFERROR(VLOOKUP(LOG_RESEAU[[#This Row],[Cell_ID]],Registre_Maintenance!A:F,6,FALSE),"Non trouvé")</f>
        <v>Non trouvé</v>
      </c>
      <c r="J713" s="6" t="str">
        <f t="shared" si="33"/>
        <v>Antenne inconnue</v>
      </c>
      <c r="K713" s="6">
        <f t="shared" si="34"/>
        <v>6</v>
      </c>
      <c r="L713" s="6">
        <f t="shared" si="35"/>
        <v>564</v>
      </c>
    </row>
    <row r="714" spans="1:12" ht="15.75" x14ac:dyDescent="0.25">
      <c r="A714" s="6" t="s">
        <v>890</v>
      </c>
      <c r="B714" s="7">
        <v>45217.570833333331</v>
      </c>
      <c r="C714" s="6">
        <v>102</v>
      </c>
      <c r="D714" s="6" t="s">
        <v>800</v>
      </c>
      <c r="E714" s="8" t="str">
        <f>IFERROR(VLOOKUP(LOG_RESEAU[[#This Row],[Cell_ID]],Registre_Maintenance!A:B,2,FALSE),"Non trouvé")</f>
        <v>Non trouvé</v>
      </c>
      <c r="F714" s="8" t="str">
        <f>IFERROR(VLOOKUP(LOG_RESEAU[[#This Row],[Cell_ID]],Registre_Maintenance!A:C,3,FALSE),"Non trouvé")</f>
        <v>Non trouvé</v>
      </c>
      <c r="G714" s="8" t="str">
        <f>IFERROR(VLOOKUP(LOG_RESEAU[[#This Row],[Cell_ID]],Registre_Maintenance!A:D,4,FALSE),"Non trouvé")</f>
        <v>Non trouvé</v>
      </c>
      <c r="H714" s="6" t="str">
        <f>IFERROR(VLOOKUP(LOG_RESEAU[[#This Row],[Cell_ID]],Registre_Maintenance!A:E,5,FALSE),"Non trouvé")</f>
        <v>Non trouvé</v>
      </c>
      <c r="I714" s="6" t="str">
        <f>IFERROR(VLOOKUP(LOG_RESEAU[[#This Row],[Cell_ID]],Registre_Maintenance!A:F,6,FALSE),"Non trouvé")</f>
        <v>Non trouvé</v>
      </c>
      <c r="J714" s="6" t="str">
        <f t="shared" si="33"/>
        <v>Antenne inconnue</v>
      </c>
      <c r="K714" s="6">
        <f t="shared" si="34"/>
        <v>6</v>
      </c>
      <c r="L714" s="6">
        <f t="shared" si="35"/>
        <v>564</v>
      </c>
    </row>
    <row r="715" spans="1:12" ht="15.75" x14ac:dyDescent="0.25">
      <c r="A715" s="6" t="s">
        <v>890</v>
      </c>
      <c r="B715" s="7">
        <v>45203.718055555553</v>
      </c>
      <c r="C715" s="6">
        <v>114</v>
      </c>
      <c r="D715" s="6" t="s">
        <v>800</v>
      </c>
      <c r="E715" s="8" t="str">
        <f>IFERROR(VLOOKUP(LOG_RESEAU[[#This Row],[Cell_ID]],Registre_Maintenance!A:B,2,FALSE),"Non trouvé")</f>
        <v>Non trouvé</v>
      </c>
      <c r="F715" s="8" t="str">
        <f>IFERROR(VLOOKUP(LOG_RESEAU[[#This Row],[Cell_ID]],Registre_Maintenance!A:C,3,FALSE),"Non trouvé")</f>
        <v>Non trouvé</v>
      </c>
      <c r="G715" s="8" t="str">
        <f>IFERROR(VLOOKUP(LOG_RESEAU[[#This Row],[Cell_ID]],Registre_Maintenance!A:D,4,FALSE),"Non trouvé")</f>
        <v>Non trouvé</v>
      </c>
      <c r="H715" s="6" t="str">
        <f>IFERROR(VLOOKUP(LOG_RESEAU[[#This Row],[Cell_ID]],Registre_Maintenance!A:E,5,FALSE),"Non trouvé")</f>
        <v>Non trouvé</v>
      </c>
      <c r="I715" s="6" t="str">
        <f>IFERROR(VLOOKUP(LOG_RESEAU[[#This Row],[Cell_ID]],Registre_Maintenance!A:F,6,FALSE),"Non trouvé")</f>
        <v>Non trouvé</v>
      </c>
      <c r="J715" s="6" t="str">
        <f t="shared" si="33"/>
        <v>Antenne inconnue</v>
      </c>
      <c r="K715" s="6">
        <f t="shared" si="34"/>
        <v>6</v>
      </c>
      <c r="L715" s="6">
        <f t="shared" si="35"/>
        <v>564</v>
      </c>
    </row>
    <row r="716" spans="1:12" ht="15.75" x14ac:dyDescent="0.25">
      <c r="A716" s="6" t="s">
        <v>890</v>
      </c>
      <c r="B716" s="7">
        <v>45230.444444444453</v>
      </c>
      <c r="C716" s="6">
        <v>40</v>
      </c>
      <c r="D716" s="6" t="s">
        <v>794</v>
      </c>
      <c r="E716" s="8" t="str">
        <f>IFERROR(VLOOKUP(LOG_RESEAU[[#This Row],[Cell_ID]],Registre_Maintenance!A:B,2,FALSE),"Non trouvé")</f>
        <v>Non trouvé</v>
      </c>
      <c r="F716" s="8" t="str">
        <f>IFERROR(VLOOKUP(LOG_RESEAU[[#This Row],[Cell_ID]],Registre_Maintenance!A:C,3,FALSE),"Non trouvé")</f>
        <v>Non trouvé</v>
      </c>
      <c r="G716" s="8" t="str">
        <f>IFERROR(VLOOKUP(LOG_RESEAU[[#This Row],[Cell_ID]],Registre_Maintenance!A:D,4,FALSE),"Non trouvé")</f>
        <v>Non trouvé</v>
      </c>
      <c r="H716" s="6" t="str">
        <f>IFERROR(VLOOKUP(LOG_RESEAU[[#This Row],[Cell_ID]],Registre_Maintenance!A:E,5,FALSE),"Non trouvé")</f>
        <v>Non trouvé</v>
      </c>
      <c r="I716" s="6" t="str">
        <f>IFERROR(VLOOKUP(LOG_RESEAU[[#This Row],[Cell_ID]],Registre_Maintenance!A:F,6,FALSE),"Non trouvé")</f>
        <v>Non trouvé</v>
      </c>
      <c r="J716" s="6" t="str">
        <f t="shared" si="33"/>
        <v>Antenne inconnue</v>
      </c>
      <c r="K716" s="6">
        <f t="shared" si="34"/>
        <v>6</v>
      </c>
      <c r="L716" s="6">
        <f t="shared" si="35"/>
        <v>564</v>
      </c>
    </row>
    <row r="717" spans="1:12" ht="15.75" x14ac:dyDescent="0.25">
      <c r="A717" s="6" t="s">
        <v>831</v>
      </c>
      <c r="B717" s="7">
        <v>45210.511805555558</v>
      </c>
      <c r="C717" s="6">
        <v>82</v>
      </c>
      <c r="D717" s="6" t="s">
        <v>800</v>
      </c>
      <c r="E717" s="8" t="str">
        <f>IFERROR(VLOOKUP(LOG_RESEAU[[#This Row],[Cell_ID]],Registre_Maintenance!A:B,2,FALSE),"Non trouvé")</f>
        <v>Sud-Kivu</v>
      </c>
      <c r="F717" s="8">
        <f>IFERROR(VLOOKUP(LOG_RESEAU[[#This Row],[Cell_ID]],Registre_Maintenance!A:C,3,FALSE),"Non trouvé")</f>
        <v>-9.3900009999999998</v>
      </c>
      <c r="G717" s="8">
        <f>IFERROR(VLOOKUP(LOG_RESEAU[[#This Row],[Cell_ID]],Registre_Maintenance!A:D,4,FALSE),"Non trouvé")</f>
        <v>30.001517</v>
      </c>
      <c r="H717" s="6" t="str">
        <f>IFERROR(VLOOKUP(LOG_RESEAU[[#This Row],[Cell_ID]],Registre_Maintenance!A:E,5,FALSE),"Non trouvé")</f>
        <v>3G</v>
      </c>
      <c r="I717" s="6" t="str">
        <f>IFERROR(VLOOKUP(LOG_RESEAU[[#This Row],[Cell_ID]],Registre_Maintenance!A:F,6,FALSE),"Non trouvé")</f>
        <v>Nokia</v>
      </c>
      <c r="J717" s="6" t="str">
        <f t="shared" si="33"/>
        <v>OK</v>
      </c>
      <c r="K717" s="6">
        <f t="shared" si="34"/>
        <v>7</v>
      </c>
      <c r="L717" s="6">
        <f t="shared" si="35"/>
        <v>416</v>
      </c>
    </row>
    <row r="718" spans="1:12" ht="15.75" x14ac:dyDescent="0.25">
      <c r="A718" s="6" t="s">
        <v>831</v>
      </c>
      <c r="B718" s="7">
        <v>45204.49722222222</v>
      </c>
      <c r="C718" s="6">
        <v>49</v>
      </c>
      <c r="D718" s="6" t="s">
        <v>794</v>
      </c>
      <c r="E718" s="8" t="str">
        <f>IFERROR(VLOOKUP(LOG_RESEAU[[#This Row],[Cell_ID]],Registre_Maintenance!A:B,2,FALSE),"Non trouvé")</f>
        <v>Sud-Kivu</v>
      </c>
      <c r="F718" s="8">
        <f>IFERROR(VLOOKUP(LOG_RESEAU[[#This Row],[Cell_ID]],Registre_Maintenance!A:C,3,FALSE),"Non trouvé")</f>
        <v>-9.3900009999999998</v>
      </c>
      <c r="G718" s="8">
        <f>IFERROR(VLOOKUP(LOG_RESEAU[[#This Row],[Cell_ID]],Registre_Maintenance!A:D,4,FALSE),"Non trouvé")</f>
        <v>30.001517</v>
      </c>
      <c r="H718" s="6" t="str">
        <f>IFERROR(VLOOKUP(LOG_RESEAU[[#This Row],[Cell_ID]],Registre_Maintenance!A:E,5,FALSE),"Non trouvé")</f>
        <v>3G</v>
      </c>
      <c r="I718" s="6" t="str">
        <f>IFERROR(VLOOKUP(LOG_RESEAU[[#This Row],[Cell_ID]],Registre_Maintenance!A:F,6,FALSE),"Non trouvé")</f>
        <v>Nokia</v>
      </c>
      <c r="J718" s="6" t="str">
        <f t="shared" si="33"/>
        <v>OK</v>
      </c>
      <c r="K718" s="6">
        <f t="shared" si="34"/>
        <v>7</v>
      </c>
      <c r="L718" s="6">
        <f t="shared" si="35"/>
        <v>416</v>
      </c>
    </row>
    <row r="719" spans="1:12" ht="15.75" x14ac:dyDescent="0.25">
      <c r="A719" s="6" t="s">
        <v>831</v>
      </c>
      <c r="B719" s="7">
        <v>45206.027083333327</v>
      </c>
      <c r="C719" s="6">
        <v>25</v>
      </c>
      <c r="D719" s="6" t="s">
        <v>794</v>
      </c>
      <c r="E719" s="8" t="str">
        <f>IFERROR(VLOOKUP(LOG_RESEAU[[#This Row],[Cell_ID]],Registre_Maintenance!A:B,2,FALSE),"Non trouvé")</f>
        <v>Sud-Kivu</v>
      </c>
      <c r="F719" s="8">
        <f>IFERROR(VLOOKUP(LOG_RESEAU[[#This Row],[Cell_ID]],Registre_Maintenance!A:C,3,FALSE),"Non trouvé")</f>
        <v>-9.3900009999999998</v>
      </c>
      <c r="G719" s="8">
        <f>IFERROR(VLOOKUP(LOG_RESEAU[[#This Row],[Cell_ID]],Registre_Maintenance!A:D,4,FALSE),"Non trouvé")</f>
        <v>30.001517</v>
      </c>
      <c r="H719" s="6" t="str">
        <f>IFERROR(VLOOKUP(LOG_RESEAU[[#This Row],[Cell_ID]],Registre_Maintenance!A:E,5,FALSE),"Non trouvé")</f>
        <v>3G</v>
      </c>
      <c r="I719" s="6" t="str">
        <f>IFERROR(VLOOKUP(LOG_RESEAU[[#This Row],[Cell_ID]],Registre_Maintenance!A:F,6,FALSE),"Non trouvé")</f>
        <v>Nokia</v>
      </c>
      <c r="J719" s="6" t="str">
        <f t="shared" si="33"/>
        <v>OK</v>
      </c>
      <c r="K719" s="6">
        <f t="shared" si="34"/>
        <v>7</v>
      </c>
      <c r="L719" s="6">
        <f t="shared" si="35"/>
        <v>416</v>
      </c>
    </row>
    <row r="720" spans="1:12" ht="15.75" x14ac:dyDescent="0.25">
      <c r="A720" s="6" t="s">
        <v>831</v>
      </c>
      <c r="B720" s="7">
        <v>45208.296527777777</v>
      </c>
      <c r="C720" s="6">
        <v>68</v>
      </c>
      <c r="D720" s="6" t="s">
        <v>800</v>
      </c>
      <c r="E720" s="8" t="str">
        <f>IFERROR(VLOOKUP(LOG_RESEAU[[#This Row],[Cell_ID]],Registre_Maintenance!A:B,2,FALSE),"Non trouvé")</f>
        <v>Sud-Kivu</v>
      </c>
      <c r="F720" s="8">
        <f>IFERROR(VLOOKUP(LOG_RESEAU[[#This Row],[Cell_ID]],Registre_Maintenance!A:C,3,FALSE),"Non trouvé")</f>
        <v>-9.3900009999999998</v>
      </c>
      <c r="G720" s="8">
        <f>IFERROR(VLOOKUP(LOG_RESEAU[[#This Row],[Cell_ID]],Registre_Maintenance!A:D,4,FALSE),"Non trouvé")</f>
        <v>30.001517</v>
      </c>
      <c r="H720" s="6" t="str">
        <f>IFERROR(VLOOKUP(LOG_RESEAU[[#This Row],[Cell_ID]],Registre_Maintenance!A:E,5,FALSE),"Non trouvé")</f>
        <v>3G</v>
      </c>
      <c r="I720" s="6" t="str">
        <f>IFERROR(VLOOKUP(LOG_RESEAU[[#This Row],[Cell_ID]],Registre_Maintenance!A:F,6,FALSE),"Non trouvé")</f>
        <v>Nokia</v>
      </c>
      <c r="J720" s="6" t="str">
        <f t="shared" si="33"/>
        <v>OK</v>
      </c>
      <c r="K720" s="6">
        <f t="shared" si="34"/>
        <v>7</v>
      </c>
      <c r="L720" s="6">
        <f t="shared" si="35"/>
        <v>416</v>
      </c>
    </row>
    <row r="721" spans="1:12" ht="15.75" x14ac:dyDescent="0.25">
      <c r="A721" s="6" t="s">
        <v>831</v>
      </c>
      <c r="B721" s="7">
        <v>45230.997916666667</v>
      </c>
      <c r="C721" s="6">
        <v>17</v>
      </c>
      <c r="D721" s="6" t="s">
        <v>794</v>
      </c>
      <c r="E721" s="8" t="str">
        <f>IFERROR(VLOOKUP(LOG_RESEAU[[#This Row],[Cell_ID]],Registre_Maintenance!A:B,2,FALSE),"Non trouvé")</f>
        <v>Sud-Kivu</v>
      </c>
      <c r="F721" s="8">
        <f>IFERROR(VLOOKUP(LOG_RESEAU[[#This Row],[Cell_ID]],Registre_Maintenance!A:C,3,FALSE),"Non trouvé")</f>
        <v>-9.3900009999999998</v>
      </c>
      <c r="G721" s="8">
        <f>IFERROR(VLOOKUP(LOG_RESEAU[[#This Row],[Cell_ID]],Registre_Maintenance!A:D,4,FALSE),"Non trouvé")</f>
        <v>30.001517</v>
      </c>
      <c r="H721" s="6" t="str">
        <f>IFERROR(VLOOKUP(LOG_RESEAU[[#This Row],[Cell_ID]],Registre_Maintenance!A:E,5,FALSE),"Non trouvé")</f>
        <v>3G</v>
      </c>
      <c r="I721" s="6" t="str">
        <f>IFERROR(VLOOKUP(LOG_RESEAU[[#This Row],[Cell_ID]],Registre_Maintenance!A:F,6,FALSE),"Non trouvé")</f>
        <v>Nokia</v>
      </c>
      <c r="J721" s="6" t="str">
        <f t="shared" si="33"/>
        <v>OK</v>
      </c>
      <c r="K721" s="6">
        <f t="shared" si="34"/>
        <v>7</v>
      </c>
      <c r="L721" s="6">
        <f t="shared" si="35"/>
        <v>416</v>
      </c>
    </row>
    <row r="722" spans="1:12" ht="15.75" x14ac:dyDescent="0.25">
      <c r="A722" s="6" t="s">
        <v>831</v>
      </c>
      <c r="B722" s="7">
        <v>45228.001388888893</v>
      </c>
      <c r="C722" s="6">
        <v>100</v>
      </c>
      <c r="D722" s="6" t="s">
        <v>800</v>
      </c>
      <c r="E722" s="8" t="str">
        <f>IFERROR(VLOOKUP(LOG_RESEAU[[#This Row],[Cell_ID]],Registre_Maintenance!A:B,2,FALSE),"Non trouvé")</f>
        <v>Sud-Kivu</v>
      </c>
      <c r="F722" s="8">
        <f>IFERROR(VLOOKUP(LOG_RESEAU[[#This Row],[Cell_ID]],Registre_Maintenance!A:C,3,FALSE),"Non trouvé")</f>
        <v>-9.3900009999999998</v>
      </c>
      <c r="G722" s="8">
        <f>IFERROR(VLOOKUP(LOG_RESEAU[[#This Row],[Cell_ID]],Registre_Maintenance!A:D,4,FALSE),"Non trouvé")</f>
        <v>30.001517</v>
      </c>
      <c r="H722" s="6" t="str">
        <f>IFERROR(VLOOKUP(LOG_RESEAU[[#This Row],[Cell_ID]],Registre_Maintenance!A:E,5,FALSE),"Non trouvé")</f>
        <v>3G</v>
      </c>
      <c r="I722" s="6" t="str">
        <f>IFERROR(VLOOKUP(LOG_RESEAU[[#This Row],[Cell_ID]],Registre_Maintenance!A:F,6,FALSE),"Non trouvé")</f>
        <v>Nokia</v>
      </c>
      <c r="J722" s="6" t="str">
        <f t="shared" si="33"/>
        <v>OK</v>
      </c>
      <c r="K722" s="6">
        <f t="shared" si="34"/>
        <v>7</v>
      </c>
      <c r="L722" s="6">
        <f t="shared" si="35"/>
        <v>416</v>
      </c>
    </row>
    <row r="723" spans="1:12" ht="15.75" x14ac:dyDescent="0.25">
      <c r="A723" s="6" t="s">
        <v>831</v>
      </c>
      <c r="B723" s="7">
        <v>45210.49722222222</v>
      </c>
      <c r="C723" s="6">
        <v>75</v>
      </c>
      <c r="D723" s="6" t="s">
        <v>792</v>
      </c>
      <c r="E723" s="8" t="str">
        <f>IFERROR(VLOOKUP(LOG_RESEAU[[#This Row],[Cell_ID]],Registre_Maintenance!A:B,2,FALSE),"Non trouvé")</f>
        <v>Sud-Kivu</v>
      </c>
      <c r="F723" s="8">
        <f>IFERROR(VLOOKUP(LOG_RESEAU[[#This Row],[Cell_ID]],Registre_Maintenance!A:C,3,FALSE),"Non trouvé")</f>
        <v>-9.3900009999999998</v>
      </c>
      <c r="G723" s="8">
        <f>IFERROR(VLOOKUP(LOG_RESEAU[[#This Row],[Cell_ID]],Registre_Maintenance!A:D,4,FALSE),"Non trouvé")</f>
        <v>30.001517</v>
      </c>
      <c r="H723" s="6" t="str">
        <f>IFERROR(VLOOKUP(LOG_RESEAU[[#This Row],[Cell_ID]],Registre_Maintenance!A:E,5,FALSE),"Non trouvé")</f>
        <v>3G</v>
      </c>
      <c r="I723" s="6" t="str">
        <f>IFERROR(VLOOKUP(LOG_RESEAU[[#This Row],[Cell_ID]],Registre_Maintenance!A:F,6,FALSE),"Non trouvé")</f>
        <v>Nokia</v>
      </c>
      <c r="J723" s="6" t="str">
        <f t="shared" si="33"/>
        <v>OK</v>
      </c>
      <c r="K723" s="6">
        <f t="shared" si="34"/>
        <v>7</v>
      </c>
      <c r="L723" s="6">
        <f t="shared" si="35"/>
        <v>416</v>
      </c>
    </row>
    <row r="724" spans="1:12" ht="15.75" x14ac:dyDescent="0.25">
      <c r="A724" s="6" t="s">
        <v>841</v>
      </c>
      <c r="B724" s="7">
        <v>45201.131249999999</v>
      </c>
      <c r="C724" s="6">
        <v>82</v>
      </c>
      <c r="D724" s="6" t="s">
        <v>792</v>
      </c>
      <c r="E724" s="8" t="str">
        <f>IFERROR(VLOOKUP(LOG_RESEAU[[#This Row],[Cell_ID]],Registre_Maintenance!A:B,2,FALSE),"Non trouvé")</f>
        <v>Non trouvé</v>
      </c>
      <c r="F724" s="8" t="str">
        <f>IFERROR(VLOOKUP(LOG_RESEAU[[#This Row],[Cell_ID]],Registre_Maintenance!A:C,3,FALSE),"Non trouvé")</f>
        <v>Non trouvé</v>
      </c>
      <c r="G724" s="8" t="str">
        <f>IFERROR(VLOOKUP(LOG_RESEAU[[#This Row],[Cell_ID]],Registre_Maintenance!A:D,4,FALSE),"Non trouvé")</f>
        <v>Non trouvé</v>
      </c>
      <c r="H724" s="6" t="str">
        <f>IFERROR(VLOOKUP(LOG_RESEAU[[#This Row],[Cell_ID]],Registre_Maintenance!A:E,5,FALSE),"Non trouvé")</f>
        <v>Non trouvé</v>
      </c>
      <c r="I724" s="6" t="str">
        <f>IFERROR(VLOOKUP(LOG_RESEAU[[#This Row],[Cell_ID]],Registre_Maintenance!A:F,6,FALSE),"Non trouvé")</f>
        <v>Non trouvé</v>
      </c>
      <c r="J724" s="6" t="str">
        <f t="shared" si="33"/>
        <v>Antenne inconnue</v>
      </c>
      <c r="K724" s="6">
        <f t="shared" si="34"/>
        <v>4</v>
      </c>
      <c r="L724" s="6">
        <f t="shared" si="35"/>
        <v>266</v>
      </c>
    </row>
    <row r="725" spans="1:12" ht="15.75" x14ac:dyDescent="0.25">
      <c r="A725" s="6" t="s">
        <v>841</v>
      </c>
      <c r="B725" s="7">
        <v>45211.993055555547</v>
      </c>
      <c r="C725" s="6">
        <v>62</v>
      </c>
      <c r="D725" s="6" t="s">
        <v>794</v>
      </c>
      <c r="E725" s="8" t="str">
        <f>IFERROR(VLOOKUP(LOG_RESEAU[[#This Row],[Cell_ID]],Registre_Maintenance!A:B,2,FALSE),"Non trouvé")</f>
        <v>Non trouvé</v>
      </c>
      <c r="F725" s="8" t="str">
        <f>IFERROR(VLOOKUP(LOG_RESEAU[[#This Row],[Cell_ID]],Registre_Maintenance!A:C,3,FALSE),"Non trouvé")</f>
        <v>Non trouvé</v>
      </c>
      <c r="G725" s="8" t="str">
        <f>IFERROR(VLOOKUP(LOG_RESEAU[[#This Row],[Cell_ID]],Registre_Maintenance!A:D,4,FALSE),"Non trouvé")</f>
        <v>Non trouvé</v>
      </c>
      <c r="H725" s="6" t="str">
        <f>IFERROR(VLOOKUP(LOG_RESEAU[[#This Row],[Cell_ID]],Registre_Maintenance!A:E,5,FALSE),"Non trouvé")</f>
        <v>Non trouvé</v>
      </c>
      <c r="I725" s="6" t="str">
        <f>IFERROR(VLOOKUP(LOG_RESEAU[[#This Row],[Cell_ID]],Registre_Maintenance!A:F,6,FALSE),"Non trouvé")</f>
        <v>Non trouvé</v>
      </c>
      <c r="J725" s="6" t="str">
        <f t="shared" si="33"/>
        <v>Antenne inconnue</v>
      </c>
      <c r="K725" s="6">
        <f t="shared" si="34"/>
        <v>4</v>
      </c>
      <c r="L725" s="6">
        <f t="shared" si="35"/>
        <v>266</v>
      </c>
    </row>
    <row r="726" spans="1:12" ht="15.75" x14ac:dyDescent="0.25">
      <c r="A726" s="6" t="s">
        <v>841</v>
      </c>
      <c r="B726" s="7">
        <v>45224.201388888891</v>
      </c>
      <c r="C726" s="6">
        <v>10</v>
      </c>
      <c r="D726" s="6" t="s">
        <v>800</v>
      </c>
      <c r="E726" s="8" t="str">
        <f>IFERROR(VLOOKUP(LOG_RESEAU[[#This Row],[Cell_ID]],Registre_Maintenance!A:B,2,FALSE),"Non trouvé")</f>
        <v>Non trouvé</v>
      </c>
      <c r="F726" s="8" t="str">
        <f>IFERROR(VLOOKUP(LOG_RESEAU[[#This Row],[Cell_ID]],Registre_Maintenance!A:C,3,FALSE),"Non trouvé")</f>
        <v>Non trouvé</v>
      </c>
      <c r="G726" s="8" t="str">
        <f>IFERROR(VLOOKUP(LOG_RESEAU[[#This Row],[Cell_ID]],Registre_Maintenance!A:D,4,FALSE),"Non trouvé")</f>
        <v>Non trouvé</v>
      </c>
      <c r="H726" s="6" t="str">
        <f>IFERROR(VLOOKUP(LOG_RESEAU[[#This Row],[Cell_ID]],Registre_Maintenance!A:E,5,FALSE),"Non trouvé")</f>
        <v>Non trouvé</v>
      </c>
      <c r="I726" s="6" t="str">
        <f>IFERROR(VLOOKUP(LOG_RESEAU[[#This Row],[Cell_ID]],Registre_Maintenance!A:F,6,FALSE),"Non trouvé")</f>
        <v>Non trouvé</v>
      </c>
      <c r="J726" s="6" t="str">
        <f t="shared" si="33"/>
        <v>Antenne inconnue</v>
      </c>
      <c r="K726" s="6">
        <f t="shared" si="34"/>
        <v>4</v>
      </c>
      <c r="L726" s="6">
        <f t="shared" si="35"/>
        <v>266</v>
      </c>
    </row>
    <row r="727" spans="1:12" ht="15.75" x14ac:dyDescent="0.25">
      <c r="A727" s="6" t="s">
        <v>841</v>
      </c>
      <c r="B727" s="7">
        <v>45212.174305555563</v>
      </c>
      <c r="C727" s="6">
        <v>112</v>
      </c>
      <c r="D727" s="6" t="s">
        <v>792</v>
      </c>
      <c r="E727" s="8" t="str">
        <f>IFERROR(VLOOKUP(LOG_RESEAU[[#This Row],[Cell_ID]],Registre_Maintenance!A:B,2,FALSE),"Non trouvé")</f>
        <v>Non trouvé</v>
      </c>
      <c r="F727" s="8" t="str">
        <f>IFERROR(VLOOKUP(LOG_RESEAU[[#This Row],[Cell_ID]],Registre_Maintenance!A:C,3,FALSE),"Non trouvé")</f>
        <v>Non trouvé</v>
      </c>
      <c r="G727" s="8" t="str">
        <f>IFERROR(VLOOKUP(LOG_RESEAU[[#This Row],[Cell_ID]],Registre_Maintenance!A:D,4,FALSE),"Non trouvé")</f>
        <v>Non trouvé</v>
      </c>
      <c r="H727" s="6" t="str">
        <f>IFERROR(VLOOKUP(LOG_RESEAU[[#This Row],[Cell_ID]],Registre_Maintenance!A:E,5,FALSE),"Non trouvé")</f>
        <v>Non trouvé</v>
      </c>
      <c r="I727" s="6" t="str">
        <f>IFERROR(VLOOKUP(LOG_RESEAU[[#This Row],[Cell_ID]],Registre_Maintenance!A:F,6,FALSE),"Non trouvé")</f>
        <v>Non trouvé</v>
      </c>
      <c r="J727" s="6" t="str">
        <f t="shared" si="33"/>
        <v>Antenne inconnue</v>
      </c>
      <c r="K727" s="6">
        <f t="shared" si="34"/>
        <v>4</v>
      </c>
      <c r="L727" s="6">
        <f t="shared" si="35"/>
        <v>266</v>
      </c>
    </row>
    <row r="728" spans="1:12" ht="15.75" x14ac:dyDescent="0.25">
      <c r="A728" s="6" t="s">
        <v>829</v>
      </c>
      <c r="B728" s="7">
        <v>45210.051388888889</v>
      </c>
      <c r="C728" s="6">
        <v>15</v>
      </c>
      <c r="D728" s="6" t="s">
        <v>800</v>
      </c>
      <c r="E728" s="8" t="str">
        <f>IFERROR(VLOOKUP(LOG_RESEAU[[#This Row],[Cell_ID]],Registre_Maintenance!A:B,2,FALSE),"Non trouvé")</f>
        <v>Sud-Kivu</v>
      </c>
      <c r="F728" s="8">
        <f>IFERROR(VLOOKUP(LOG_RESEAU[[#This Row],[Cell_ID]],Registre_Maintenance!A:C,3,FALSE),"Non trouvé")</f>
        <v>-3.6233270000000002</v>
      </c>
      <c r="G728" s="8">
        <f>IFERROR(VLOOKUP(LOG_RESEAU[[#This Row],[Cell_ID]],Registre_Maintenance!A:D,4,FALSE),"Non trouvé")</f>
        <v>25.915645999999999</v>
      </c>
      <c r="H728" s="6" t="str">
        <f>IFERROR(VLOOKUP(LOG_RESEAU[[#This Row],[Cell_ID]],Registre_Maintenance!A:E,5,FALSE),"Non trouvé")</f>
        <v>3G</v>
      </c>
      <c r="I728" s="6" t="str">
        <f>IFERROR(VLOOKUP(LOG_RESEAU[[#This Row],[Cell_ID]],Registre_Maintenance!A:F,6,FALSE),"Non trouvé")</f>
        <v>Huawei</v>
      </c>
      <c r="J728" s="6" t="str">
        <f t="shared" si="33"/>
        <v>OK</v>
      </c>
      <c r="K728" s="6">
        <f t="shared" si="34"/>
        <v>8</v>
      </c>
      <c r="L728" s="6">
        <f t="shared" si="35"/>
        <v>596</v>
      </c>
    </row>
    <row r="729" spans="1:12" ht="15.75" x14ac:dyDescent="0.25">
      <c r="A729" s="6" t="s">
        <v>829</v>
      </c>
      <c r="B729" s="7">
        <v>45218.793055555558</v>
      </c>
      <c r="C729" s="6">
        <v>114</v>
      </c>
      <c r="D729" s="6" t="s">
        <v>794</v>
      </c>
      <c r="E729" s="8" t="str">
        <f>IFERROR(VLOOKUP(LOG_RESEAU[[#This Row],[Cell_ID]],Registre_Maintenance!A:B,2,FALSE),"Non trouvé")</f>
        <v>Sud-Kivu</v>
      </c>
      <c r="F729" s="8">
        <f>IFERROR(VLOOKUP(LOG_RESEAU[[#This Row],[Cell_ID]],Registre_Maintenance!A:C,3,FALSE),"Non trouvé")</f>
        <v>-3.6233270000000002</v>
      </c>
      <c r="G729" s="8">
        <f>IFERROR(VLOOKUP(LOG_RESEAU[[#This Row],[Cell_ID]],Registre_Maintenance!A:D,4,FALSE),"Non trouvé")</f>
        <v>25.915645999999999</v>
      </c>
      <c r="H729" s="6" t="str">
        <f>IFERROR(VLOOKUP(LOG_RESEAU[[#This Row],[Cell_ID]],Registre_Maintenance!A:E,5,FALSE),"Non trouvé")</f>
        <v>3G</v>
      </c>
      <c r="I729" s="6" t="str">
        <f>IFERROR(VLOOKUP(LOG_RESEAU[[#This Row],[Cell_ID]],Registre_Maintenance!A:F,6,FALSE),"Non trouvé")</f>
        <v>Huawei</v>
      </c>
      <c r="J729" s="6" t="str">
        <f t="shared" si="33"/>
        <v>OK</v>
      </c>
      <c r="K729" s="6">
        <f t="shared" si="34"/>
        <v>8</v>
      </c>
      <c r="L729" s="6">
        <f t="shared" si="35"/>
        <v>596</v>
      </c>
    </row>
    <row r="730" spans="1:12" ht="15.75" x14ac:dyDescent="0.25">
      <c r="A730" s="6" t="s">
        <v>829</v>
      </c>
      <c r="B730" s="7">
        <v>45222.425694444442</v>
      </c>
      <c r="C730" s="6">
        <v>94</v>
      </c>
      <c r="D730" s="6" t="s">
        <v>792</v>
      </c>
      <c r="E730" s="8" t="str">
        <f>IFERROR(VLOOKUP(LOG_RESEAU[[#This Row],[Cell_ID]],Registre_Maintenance!A:B,2,FALSE),"Non trouvé")</f>
        <v>Sud-Kivu</v>
      </c>
      <c r="F730" s="8">
        <f>IFERROR(VLOOKUP(LOG_RESEAU[[#This Row],[Cell_ID]],Registre_Maintenance!A:C,3,FALSE),"Non trouvé")</f>
        <v>-3.6233270000000002</v>
      </c>
      <c r="G730" s="8">
        <f>IFERROR(VLOOKUP(LOG_RESEAU[[#This Row],[Cell_ID]],Registre_Maintenance!A:D,4,FALSE),"Non trouvé")</f>
        <v>25.915645999999999</v>
      </c>
      <c r="H730" s="6" t="str">
        <f>IFERROR(VLOOKUP(LOG_RESEAU[[#This Row],[Cell_ID]],Registre_Maintenance!A:E,5,FALSE),"Non trouvé")</f>
        <v>3G</v>
      </c>
      <c r="I730" s="6" t="str">
        <f>IFERROR(VLOOKUP(LOG_RESEAU[[#This Row],[Cell_ID]],Registre_Maintenance!A:F,6,FALSE),"Non trouvé")</f>
        <v>Huawei</v>
      </c>
      <c r="J730" s="6" t="str">
        <f t="shared" si="33"/>
        <v>OK</v>
      </c>
      <c r="K730" s="6">
        <f t="shared" si="34"/>
        <v>8</v>
      </c>
      <c r="L730" s="6">
        <f t="shared" si="35"/>
        <v>596</v>
      </c>
    </row>
    <row r="731" spans="1:12" ht="15.75" x14ac:dyDescent="0.25">
      <c r="A731" s="6" t="s">
        <v>829</v>
      </c>
      <c r="B731" s="7">
        <v>45218.270138888889</v>
      </c>
      <c r="C731" s="6">
        <v>66</v>
      </c>
      <c r="D731" s="6" t="s">
        <v>800</v>
      </c>
      <c r="E731" s="8" t="str">
        <f>IFERROR(VLOOKUP(LOG_RESEAU[[#This Row],[Cell_ID]],Registre_Maintenance!A:B,2,FALSE),"Non trouvé")</f>
        <v>Sud-Kivu</v>
      </c>
      <c r="F731" s="8">
        <f>IFERROR(VLOOKUP(LOG_RESEAU[[#This Row],[Cell_ID]],Registre_Maintenance!A:C,3,FALSE),"Non trouvé")</f>
        <v>-3.6233270000000002</v>
      </c>
      <c r="G731" s="8">
        <f>IFERROR(VLOOKUP(LOG_RESEAU[[#This Row],[Cell_ID]],Registre_Maintenance!A:D,4,FALSE),"Non trouvé")</f>
        <v>25.915645999999999</v>
      </c>
      <c r="H731" s="6" t="str">
        <f>IFERROR(VLOOKUP(LOG_RESEAU[[#This Row],[Cell_ID]],Registre_Maintenance!A:E,5,FALSE),"Non trouvé")</f>
        <v>3G</v>
      </c>
      <c r="I731" s="6" t="str">
        <f>IFERROR(VLOOKUP(LOG_RESEAU[[#This Row],[Cell_ID]],Registre_Maintenance!A:F,6,FALSE),"Non trouvé")</f>
        <v>Huawei</v>
      </c>
      <c r="J731" s="6" t="str">
        <f t="shared" si="33"/>
        <v>OK</v>
      </c>
      <c r="K731" s="6">
        <f t="shared" si="34"/>
        <v>8</v>
      </c>
      <c r="L731" s="6">
        <f t="shared" si="35"/>
        <v>596</v>
      </c>
    </row>
    <row r="732" spans="1:12" ht="15.75" x14ac:dyDescent="0.25">
      <c r="A732" s="6" t="s">
        <v>829</v>
      </c>
      <c r="B732" s="7">
        <v>45210.007638888892</v>
      </c>
      <c r="C732" s="6">
        <v>100</v>
      </c>
      <c r="D732" s="6" t="s">
        <v>794</v>
      </c>
      <c r="E732" s="8" t="str">
        <f>IFERROR(VLOOKUP(LOG_RESEAU[[#This Row],[Cell_ID]],Registre_Maintenance!A:B,2,FALSE),"Non trouvé")</f>
        <v>Sud-Kivu</v>
      </c>
      <c r="F732" s="8">
        <f>IFERROR(VLOOKUP(LOG_RESEAU[[#This Row],[Cell_ID]],Registre_Maintenance!A:C,3,FALSE),"Non trouvé")</f>
        <v>-3.6233270000000002</v>
      </c>
      <c r="G732" s="8">
        <f>IFERROR(VLOOKUP(LOG_RESEAU[[#This Row],[Cell_ID]],Registre_Maintenance!A:D,4,FALSE),"Non trouvé")</f>
        <v>25.915645999999999</v>
      </c>
      <c r="H732" s="6" t="str">
        <f>IFERROR(VLOOKUP(LOG_RESEAU[[#This Row],[Cell_ID]],Registre_Maintenance!A:E,5,FALSE),"Non trouvé")</f>
        <v>3G</v>
      </c>
      <c r="I732" s="6" t="str">
        <f>IFERROR(VLOOKUP(LOG_RESEAU[[#This Row],[Cell_ID]],Registre_Maintenance!A:F,6,FALSE),"Non trouvé")</f>
        <v>Huawei</v>
      </c>
      <c r="J732" s="6" t="str">
        <f t="shared" si="33"/>
        <v>OK</v>
      </c>
      <c r="K732" s="6">
        <f t="shared" si="34"/>
        <v>8</v>
      </c>
      <c r="L732" s="6">
        <f t="shared" si="35"/>
        <v>596</v>
      </c>
    </row>
    <row r="733" spans="1:12" ht="15.75" x14ac:dyDescent="0.25">
      <c r="A733" s="6" t="s">
        <v>829</v>
      </c>
      <c r="B733" s="7">
        <v>45204.586111111108</v>
      </c>
      <c r="C733" s="6">
        <v>86</v>
      </c>
      <c r="D733" s="6" t="s">
        <v>792</v>
      </c>
      <c r="E733" s="8" t="str">
        <f>IFERROR(VLOOKUP(LOG_RESEAU[[#This Row],[Cell_ID]],Registre_Maintenance!A:B,2,FALSE),"Non trouvé")</f>
        <v>Sud-Kivu</v>
      </c>
      <c r="F733" s="8">
        <f>IFERROR(VLOOKUP(LOG_RESEAU[[#This Row],[Cell_ID]],Registre_Maintenance!A:C,3,FALSE),"Non trouvé")</f>
        <v>-3.6233270000000002</v>
      </c>
      <c r="G733" s="8">
        <f>IFERROR(VLOOKUP(LOG_RESEAU[[#This Row],[Cell_ID]],Registre_Maintenance!A:D,4,FALSE),"Non trouvé")</f>
        <v>25.915645999999999</v>
      </c>
      <c r="H733" s="6" t="str">
        <f>IFERROR(VLOOKUP(LOG_RESEAU[[#This Row],[Cell_ID]],Registre_Maintenance!A:E,5,FALSE),"Non trouvé")</f>
        <v>3G</v>
      </c>
      <c r="I733" s="6" t="str">
        <f>IFERROR(VLOOKUP(LOG_RESEAU[[#This Row],[Cell_ID]],Registre_Maintenance!A:F,6,FALSE),"Non trouvé")</f>
        <v>Huawei</v>
      </c>
      <c r="J733" s="6" t="str">
        <f t="shared" si="33"/>
        <v>OK</v>
      </c>
      <c r="K733" s="6">
        <f t="shared" si="34"/>
        <v>8</v>
      </c>
      <c r="L733" s="6">
        <f t="shared" si="35"/>
        <v>596</v>
      </c>
    </row>
    <row r="734" spans="1:12" ht="15.75" x14ac:dyDescent="0.25">
      <c r="A734" s="6" t="s">
        <v>829</v>
      </c>
      <c r="B734" s="7">
        <v>45224.797222222223</v>
      </c>
      <c r="C734" s="6">
        <v>52</v>
      </c>
      <c r="D734" s="6" t="s">
        <v>794</v>
      </c>
      <c r="E734" s="8" t="str">
        <f>IFERROR(VLOOKUP(LOG_RESEAU[[#This Row],[Cell_ID]],Registre_Maintenance!A:B,2,FALSE),"Non trouvé")</f>
        <v>Sud-Kivu</v>
      </c>
      <c r="F734" s="8">
        <f>IFERROR(VLOOKUP(LOG_RESEAU[[#This Row],[Cell_ID]],Registre_Maintenance!A:C,3,FALSE),"Non trouvé")</f>
        <v>-3.6233270000000002</v>
      </c>
      <c r="G734" s="8">
        <f>IFERROR(VLOOKUP(LOG_RESEAU[[#This Row],[Cell_ID]],Registre_Maintenance!A:D,4,FALSE),"Non trouvé")</f>
        <v>25.915645999999999</v>
      </c>
      <c r="H734" s="6" t="str">
        <f>IFERROR(VLOOKUP(LOG_RESEAU[[#This Row],[Cell_ID]],Registre_Maintenance!A:E,5,FALSE),"Non trouvé")</f>
        <v>3G</v>
      </c>
      <c r="I734" s="6" t="str">
        <f>IFERROR(VLOOKUP(LOG_RESEAU[[#This Row],[Cell_ID]],Registre_Maintenance!A:F,6,FALSE),"Non trouvé")</f>
        <v>Huawei</v>
      </c>
      <c r="J734" s="6" t="str">
        <f t="shared" si="33"/>
        <v>OK</v>
      </c>
      <c r="K734" s="6">
        <f t="shared" si="34"/>
        <v>8</v>
      </c>
      <c r="L734" s="6">
        <f t="shared" si="35"/>
        <v>596</v>
      </c>
    </row>
    <row r="735" spans="1:12" ht="15.75" x14ac:dyDescent="0.25">
      <c r="A735" s="6" t="s">
        <v>829</v>
      </c>
      <c r="B735" s="7">
        <v>45206.190972222219</v>
      </c>
      <c r="C735" s="6">
        <v>69</v>
      </c>
      <c r="D735" s="6" t="s">
        <v>800</v>
      </c>
      <c r="E735" s="8" t="str">
        <f>IFERROR(VLOOKUP(LOG_RESEAU[[#This Row],[Cell_ID]],Registre_Maintenance!A:B,2,FALSE),"Non trouvé")</f>
        <v>Sud-Kivu</v>
      </c>
      <c r="F735" s="8">
        <f>IFERROR(VLOOKUP(LOG_RESEAU[[#This Row],[Cell_ID]],Registre_Maintenance!A:C,3,FALSE),"Non trouvé")</f>
        <v>-3.6233270000000002</v>
      </c>
      <c r="G735" s="8">
        <f>IFERROR(VLOOKUP(LOG_RESEAU[[#This Row],[Cell_ID]],Registre_Maintenance!A:D,4,FALSE),"Non trouvé")</f>
        <v>25.915645999999999</v>
      </c>
      <c r="H735" s="6" t="str">
        <f>IFERROR(VLOOKUP(LOG_RESEAU[[#This Row],[Cell_ID]],Registre_Maintenance!A:E,5,FALSE),"Non trouvé")</f>
        <v>3G</v>
      </c>
      <c r="I735" s="6" t="str">
        <f>IFERROR(VLOOKUP(LOG_RESEAU[[#This Row],[Cell_ID]],Registre_Maintenance!A:F,6,FALSE),"Non trouvé")</f>
        <v>Huawei</v>
      </c>
      <c r="J735" s="6" t="str">
        <f t="shared" si="33"/>
        <v>OK</v>
      </c>
      <c r="K735" s="6">
        <f t="shared" si="34"/>
        <v>8</v>
      </c>
      <c r="L735" s="6">
        <f t="shared" si="35"/>
        <v>596</v>
      </c>
    </row>
    <row r="736" spans="1:12" ht="15.75" x14ac:dyDescent="0.25">
      <c r="A736" s="6" t="s">
        <v>805</v>
      </c>
      <c r="B736" s="7">
        <v>45214.761805555558</v>
      </c>
      <c r="C736" s="6">
        <v>104</v>
      </c>
      <c r="D736" s="6" t="s">
        <v>800</v>
      </c>
      <c r="E736" s="8" t="str">
        <f>IFERROR(VLOOKUP(LOG_RESEAU[[#This Row],[Cell_ID]],Registre_Maintenance!A:B,2,FALSE),"Non trouvé")</f>
        <v>Non trouvé</v>
      </c>
      <c r="F736" s="8" t="str">
        <f>IFERROR(VLOOKUP(LOG_RESEAU[[#This Row],[Cell_ID]],Registre_Maintenance!A:C,3,FALSE),"Non trouvé")</f>
        <v>Non trouvé</v>
      </c>
      <c r="G736" s="8" t="str">
        <f>IFERROR(VLOOKUP(LOG_RESEAU[[#This Row],[Cell_ID]],Registre_Maintenance!A:D,4,FALSE),"Non trouvé")</f>
        <v>Non trouvé</v>
      </c>
      <c r="H736" s="6" t="str">
        <f>IFERROR(VLOOKUP(LOG_RESEAU[[#This Row],[Cell_ID]],Registre_Maintenance!A:E,5,FALSE),"Non trouvé")</f>
        <v>Non trouvé</v>
      </c>
      <c r="I736" s="6" t="str">
        <f>IFERROR(VLOOKUP(LOG_RESEAU[[#This Row],[Cell_ID]],Registre_Maintenance!A:F,6,FALSE),"Non trouvé")</f>
        <v>Non trouvé</v>
      </c>
      <c r="J736" s="6" t="str">
        <f t="shared" si="33"/>
        <v>Antenne inconnue</v>
      </c>
      <c r="K736" s="6">
        <f t="shared" si="34"/>
        <v>6</v>
      </c>
      <c r="L736" s="6">
        <f t="shared" si="35"/>
        <v>374</v>
      </c>
    </row>
    <row r="737" spans="1:12" ht="15.75" x14ac:dyDescent="0.25">
      <c r="A737" s="6" t="s">
        <v>805</v>
      </c>
      <c r="B737" s="7">
        <v>45221.836111111108</v>
      </c>
      <c r="C737" s="6">
        <v>71</v>
      </c>
      <c r="D737" s="6" t="s">
        <v>800</v>
      </c>
      <c r="E737" s="8" t="str">
        <f>IFERROR(VLOOKUP(LOG_RESEAU[[#This Row],[Cell_ID]],Registre_Maintenance!A:B,2,FALSE),"Non trouvé")</f>
        <v>Non trouvé</v>
      </c>
      <c r="F737" s="8" t="str">
        <f>IFERROR(VLOOKUP(LOG_RESEAU[[#This Row],[Cell_ID]],Registre_Maintenance!A:C,3,FALSE),"Non trouvé")</f>
        <v>Non trouvé</v>
      </c>
      <c r="G737" s="8" t="str">
        <f>IFERROR(VLOOKUP(LOG_RESEAU[[#This Row],[Cell_ID]],Registre_Maintenance!A:D,4,FALSE),"Non trouvé")</f>
        <v>Non trouvé</v>
      </c>
      <c r="H737" s="6" t="str">
        <f>IFERROR(VLOOKUP(LOG_RESEAU[[#This Row],[Cell_ID]],Registre_Maintenance!A:E,5,FALSE),"Non trouvé")</f>
        <v>Non trouvé</v>
      </c>
      <c r="I737" s="6" t="str">
        <f>IFERROR(VLOOKUP(LOG_RESEAU[[#This Row],[Cell_ID]],Registre_Maintenance!A:F,6,FALSE),"Non trouvé")</f>
        <v>Non trouvé</v>
      </c>
      <c r="J737" s="6" t="str">
        <f t="shared" si="33"/>
        <v>Antenne inconnue</v>
      </c>
      <c r="K737" s="6">
        <f t="shared" si="34"/>
        <v>6</v>
      </c>
      <c r="L737" s="6">
        <f t="shared" si="35"/>
        <v>374</v>
      </c>
    </row>
    <row r="738" spans="1:12" ht="15.75" x14ac:dyDescent="0.25">
      <c r="A738" s="6" t="s">
        <v>805</v>
      </c>
      <c r="B738" s="7">
        <v>45222.392361111109</v>
      </c>
      <c r="C738" s="6">
        <v>9</v>
      </c>
      <c r="D738" s="6" t="s">
        <v>792</v>
      </c>
      <c r="E738" s="8" t="str">
        <f>IFERROR(VLOOKUP(LOG_RESEAU[[#This Row],[Cell_ID]],Registre_Maintenance!A:B,2,FALSE),"Non trouvé")</f>
        <v>Non trouvé</v>
      </c>
      <c r="F738" s="8" t="str">
        <f>IFERROR(VLOOKUP(LOG_RESEAU[[#This Row],[Cell_ID]],Registre_Maintenance!A:C,3,FALSE),"Non trouvé")</f>
        <v>Non trouvé</v>
      </c>
      <c r="G738" s="8" t="str">
        <f>IFERROR(VLOOKUP(LOG_RESEAU[[#This Row],[Cell_ID]],Registre_Maintenance!A:D,4,FALSE),"Non trouvé")</f>
        <v>Non trouvé</v>
      </c>
      <c r="H738" s="6" t="str">
        <f>IFERROR(VLOOKUP(LOG_RESEAU[[#This Row],[Cell_ID]],Registre_Maintenance!A:E,5,FALSE),"Non trouvé")</f>
        <v>Non trouvé</v>
      </c>
      <c r="I738" s="6" t="str">
        <f>IFERROR(VLOOKUP(LOG_RESEAU[[#This Row],[Cell_ID]],Registre_Maintenance!A:F,6,FALSE),"Non trouvé")</f>
        <v>Non trouvé</v>
      </c>
      <c r="J738" s="6" t="str">
        <f t="shared" si="33"/>
        <v>Antenne inconnue</v>
      </c>
      <c r="K738" s="6">
        <f t="shared" si="34"/>
        <v>6</v>
      </c>
      <c r="L738" s="6">
        <f t="shared" si="35"/>
        <v>374</v>
      </c>
    </row>
    <row r="739" spans="1:12" ht="15.75" x14ac:dyDescent="0.25">
      <c r="A739" s="6" t="s">
        <v>805</v>
      </c>
      <c r="B739" s="7">
        <v>45210.456250000003</v>
      </c>
      <c r="C739" s="6">
        <v>77</v>
      </c>
      <c r="D739" s="6" t="s">
        <v>800</v>
      </c>
      <c r="E739" s="8" t="str">
        <f>IFERROR(VLOOKUP(LOG_RESEAU[[#This Row],[Cell_ID]],Registre_Maintenance!A:B,2,FALSE),"Non trouvé")</f>
        <v>Non trouvé</v>
      </c>
      <c r="F739" s="8" t="str">
        <f>IFERROR(VLOOKUP(LOG_RESEAU[[#This Row],[Cell_ID]],Registre_Maintenance!A:C,3,FALSE),"Non trouvé")</f>
        <v>Non trouvé</v>
      </c>
      <c r="G739" s="8" t="str">
        <f>IFERROR(VLOOKUP(LOG_RESEAU[[#This Row],[Cell_ID]],Registre_Maintenance!A:D,4,FALSE),"Non trouvé")</f>
        <v>Non trouvé</v>
      </c>
      <c r="H739" s="6" t="str">
        <f>IFERROR(VLOOKUP(LOG_RESEAU[[#This Row],[Cell_ID]],Registre_Maintenance!A:E,5,FALSE),"Non trouvé")</f>
        <v>Non trouvé</v>
      </c>
      <c r="I739" s="6" t="str">
        <f>IFERROR(VLOOKUP(LOG_RESEAU[[#This Row],[Cell_ID]],Registre_Maintenance!A:F,6,FALSE),"Non trouvé")</f>
        <v>Non trouvé</v>
      </c>
      <c r="J739" s="6" t="str">
        <f t="shared" si="33"/>
        <v>Antenne inconnue</v>
      </c>
      <c r="K739" s="6">
        <f t="shared" si="34"/>
        <v>6</v>
      </c>
      <c r="L739" s="6">
        <f t="shared" si="35"/>
        <v>374</v>
      </c>
    </row>
    <row r="740" spans="1:12" ht="15.75" x14ac:dyDescent="0.25">
      <c r="A740" s="6" t="s">
        <v>805</v>
      </c>
      <c r="B740" s="7">
        <v>45203.277777777781</v>
      </c>
      <c r="C740" s="6">
        <v>51</v>
      </c>
      <c r="D740" s="6" t="s">
        <v>800</v>
      </c>
      <c r="E740" s="8" t="str">
        <f>IFERROR(VLOOKUP(LOG_RESEAU[[#This Row],[Cell_ID]],Registre_Maintenance!A:B,2,FALSE),"Non trouvé")</f>
        <v>Non trouvé</v>
      </c>
      <c r="F740" s="8" t="str">
        <f>IFERROR(VLOOKUP(LOG_RESEAU[[#This Row],[Cell_ID]],Registre_Maintenance!A:C,3,FALSE),"Non trouvé")</f>
        <v>Non trouvé</v>
      </c>
      <c r="G740" s="8" t="str">
        <f>IFERROR(VLOOKUP(LOG_RESEAU[[#This Row],[Cell_ID]],Registre_Maintenance!A:D,4,FALSE),"Non trouvé")</f>
        <v>Non trouvé</v>
      </c>
      <c r="H740" s="6" t="str">
        <f>IFERROR(VLOOKUP(LOG_RESEAU[[#This Row],[Cell_ID]],Registre_Maintenance!A:E,5,FALSE),"Non trouvé")</f>
        <v>Non trouvé</v>
      </c>
      <c r="I740" s="6" t="str">
        <f>IFERROR(VLOOKUP(LOG_RESEAU[[#This Row],[Cell_ID]],Registre_Maintenance!A:F,6,FALSE),"Non trouvé")</f>
        <v>Non trouvé</v>
      </c>
      <c r="J740" s="6" t="str">
        <f t="shared" si="33"/>
        <v>Antenne inconnue</v>
      </c>
      <c r="K740" s="6">
        <f t="shared" si="34"/>
        <v>6</v>
      </c>
      <c r="L740" s="6">
        <f t="shared" si="35"/>
        <v>374</v>
      </c>
    </row>
    <row r="741" spans="1:12" ht="15.75" x14ac:dyDescent="0.25">
      <c r="A741" s="6" t="s">
        <v>805</v>
      </c>
      <c r="B741" s="7">
        <v>45212.626388888893</v>
      </c>
      <c r="C741" s="6">
        <v>62</v>
      </c>
      <c r="D741" s="6" t="s">
        <v>800</v>
      </c>
      <c r="E741" s="8" t="str">
        <f>IFERROR(VLOOKUP(LOG_RESEAU[[#This Row],[Cell_ID]],Registre_Maintenance!A:B,2,FALSE),"Non trouvé")</f>
        <v>Non trouvé</v>
      </c>
      <c r="F741" s="8" t="str">
        <f>IFERROR(VLOOKUP(LOG_RESEAU[[#This Row],[Cell_ID]],Registre_Maintenance!A:C,3,FALSE),"Non trouvé")</f>
        <v>Non trouvé</v>
      </c>
      <c r="G741" s="8" t="str">
        <f>IFERROR(VLOOKUP(LOG_RESEAU[[#This Row],[Cell_ID]],Registre_Maintenance!A:D,4,FALSE),"Non trouvé")</f>
        <v>Non trouvé</v>
      </c>
      <c r="H741" s="6" t="str">
        <f>IFERROR(VLOOKUP(LOG_RESEAU[[#This Row],[Cell_ID]],Registre_Maintenance!A:E,5,FALSE),"Non trouvé")</f>
        <v>Non trouvé</v>
      </c>
      <c r="I741" s="6" t="str">
        <f>IFERROR(VLOOKUP(LOG_RESEAU[[#This Row],[Cell_ID]],Registre_Maintenance!A:F,6,FALSE),"Non trouvé")</f>
        <v>Non trouvé</v>
      </c>
      <c r="J741" s="6" t="str">
        <f t="shared" si="33"/>
        <v>Antenne inconnue</v>
      </c>
      <c r="K741" s="6">
        <f t="shared" si="34"/>
        <v>6</v>
      </c>
      <c r="L741" s="6">
        <f t="shared" si="35"/>
        <v>374</v>
      </c>
    </row>
    <row r="742" spans="1:12" ht="15.75" x14ac:dyDescent="0.25">
      <c r="A742" s="6" t="s">
        <v>840</v>
      </c>
      <c r="B742" s="7">
        <v>45207.188888888893</v>
      </c>
      <c r="C742" s="6">
        <v>44</v>
      </c>
      <c r="D742" s="6" t="s">
        <v>800</v>
      </c>
      <c r="E742" s="8" t="str">
        <f>IFERROR(VLOOKUP(LOG_RESEAU[[#This Row],[Cell_ID]],Registre_Maintenance!A:B,2,FALSE),"Non trouvé")</f>
        <v>Non trouvé</v>
      </c>
      <c r="F742" s="8" t="str">
        <f>IFERROR(VLOOKUP(LOG_RESEAU[[#This Row],[Cell_ID]],Registre_Maintenance!A:C,3,FALSE),"Non trouvé")</f>
        <v>Non trouvé</v>
      </c>
      <c r="G742" s="8" t="str">
        <f>IFERROR(VLOOKUP(LOG_RESEAU[[#This Row],[Cell_ID]],Registre_Maintenance!A:D,4,FALSE),"Non trouvé")</f>
        <v>Non trouvé</v>
      </c>
      <c r="H742" s="6" t="str">
        <f>IFERROR(VLOOKUP(LOG_RESEAU[[#This Row],[Cell_ID]],Registre_Maintenance!A:E,5,FALSE),"Non trouvé")</f>
        <v>Non trouvé</v>
      </c>
      <c r="I742" s="6" t="str">
        <f>IFERROR(VLOOKUP(LOG_RESEAU[[#This Row],[Cell_ID]],Registre_Maintenance!A:F,6,FALSE),"Non trouvé")</f>
        <v>Non trouvé</v>
      </c>
      <c r="J742" s="6" t="str">
        <f t="shared" si="33"/>
        <v>Antenne inconnue</v>
      </c>
      <c r="K742" s="6">
        <f t="shared" si="34"/>
        <v>7</v>
      </c>
      <c r="L742" s="6">
        <f t="shared" si="35"/>
        <v>434</v>
      </c>
    </row>
    <row r="743" spans="1:12" ht="15.75" x14ac:dyDescent="0.25">
      <c r="A743" s="6" t="s">
        <v>840</v>
      </c>
      <c r="B743" s="7">
        <v>45220.303472222222</v>
      </c>
      <c r="C743" s="6">
        <v>82</v>
      </c>
      <c r="D743" s="6" t="s">
        <v>800</v>
      </c>
      <c r="E743" s="8" t="str">
        <f>IFERROR(VLOOKUP(LOG_RESEAU[[#This Row],[Cell_ID]],Registre_Maintenance!A:B,2,FALSE),"Non trouvé")</f>
        <v>Non trouvé</v>
      </c>
      <c r="F743" s="8" t="str">
        <f>IFERROR(VLOOKUP(LOG_RESEAU[[#This Row],[Cell_ID]],Registre_Maintenance!A:C,3,FALSE),"Non trouvé")</f>
        <v>Non trouvé</v>
      </c>
      <c r="G743" s="8" t="str">
        <f>IFERROR(VLOOKUP(LOG_RESEAU[[#This Row],[Cell_ID]],Registre_Maintenance!A:D,4,FALSE),"Non trouvé")</f>
        <v>Non trouvé</v>
      </c>
      <c r="H743" s="6" t="str">
        <f>IFERROR(VLOOKUP(LOG_RESEAU[[#This Row],[Cell_ID]],Registre_Maintenance!A:E,5,FALSE),"Non trouvé")</f>
        <v>Non trouvé</v>
      </c>
      <c r="I743" s="6" t="str">
        <f>IFERROR(VLOOKUP(LOG_RESEAU[[#This Row],[Cell_ID]],Registre_Maintenance!A:F,6,FALSE),"Non trouvé")</f>
        <v>Non trouvé</v>
      </c>
      <c r="J743" s="6" t="str">
        <f t="shared" si="33"/>
        <v>Antenne inconnue</v>
      </c>
      <c r="K743" s="6">
        <f t="shared" si="34"/>
        <v>7</v>
      </c>
      <c r="L743" s="6">
        <f t="shared" si="35"/>
        <v>434</v>
      </c>
    </row>
    <row r="744" spans="1:12" ht="15.75" x14ac:dyDescent="0.25">
      <c r="A744" s="6" t="s">
        <v>840</v>
      </c>
      <c r="B744" s="7">
        <v>45201.720833333333</v>
      </c>
      <c r="C744" s="6">
        <v>41</v>
      </c>
      <c r="D744" s="6" t="s">
        <v>800</v>
      </c>
      <c r="E744" s="8" t="str">
        <f>IFERROR(VLOOKUP(LOG_RESEAU[[#This Row],[Cell_ID]],Registre_Maintenance!A:B,2,FALSE),"Non trouvé")</f>
        <v>Non trouvé</v>
      </c>
      <c r="F744" s="8" t="str">
        <f>IFERROR(VLOOKUP(LOG_RESEAU[[#This Row],[Cell_ID]],Registre_Maintenance!A:C,3,FALSE),"Non trouvé")</f>
        <v>Non trouvé</v>
      </c>
      <c r="G744" s="8" t="str">
        <f>IFERROR(VLOOKUP(LOG_RESEAU[[#This Row],[Cell_ID]],Registre_Maintenance!A:D,4,FALSE),"Non trouvé")</f>
        <v>Non trouvé</v>
      </c>
      <c r="H744" s="6" t="str">
        <f>IFERROR(VLOOKUP(LOG_RESEAU[[#This Row],[Cell_ID]],Registre_Maintenance!A:E,5,FALSE),"Non trouvé")</f>
        <v>Non trouvé</v>
      </c>
      <c r="I744" s="6" t="str">
        <f>IFERROR(VLOOKUP(LOG_RESEAU[[#This Row],[Cell_ID]],Registre_Maintenance!A:F,6,FALSE),"Non trouvé")</f>
        <v>Non trouvé</v>
      </c>
      <c r="J744" s="6" t="str">
        <f t="shared" si="33"/>
        <v>Antenne inconnue</v>
      </c>
      <c r="K744" s="6">
        <f t="shared" si="34"/>
        <v>7</v>
      </c>
      <c r="L744" s="6">
        <f t="shared" si="35"/>
        <v>434</v>
      </c>
    </row>
    <row r="745" spans="1:12" ht="15.75" x14ac:dyDescent="0.25">
      <c r="A745" s="6" t="s">
        <v>840</v>
      </c>
      <c r="B745" s="7">
        <v>45221.3125</v>
      </c>
      <c r="C745" s="6">
        <v>40</v>
      </c>
      <c r="D745" s="6" t="s">
        <v>794</v>
      </c>
      <c r="E745" s="8" t="str">
        <f>IFERROR(VLOOKUP(LOG_RESEAU[[#This Row],[Cell_ID]],Registre_Maintenance!A:B,2,FALSE),"Non trouvé")</f>
        <v>Non trouvé</v>
      </c>
      <c r="F745" s="8" t="str">
        <f>IFERROR(VLOOKUP(LOG_RESEAU[[#This Row],[Cell_ID]],Registre_Maintenance!A:C,3,FALSE),"Non trouvé")</f>
        <v>Non trouvé</v>
      </c>
      <c r="G745" s="8" t="str">
        <f>IFERROR(VLOOKUP(LOG_RESEAU[[#This Row],[Cell_ID]],Registre_Maintenance!A:D,4,FALSE),"Non trouvé")</f>
        <v>Non trouvé</v>
      </c>
      <c r="H745" s="6" t="str">
        <f>IFERROR(VLOOKUP(LOG_RESEAU[[#This Row],[Cell_ID]],Registre_Maintenance!A:E,5,FALSE),"Non trouvé")</f>
        <v>Non trouvé</v>
      </c>
      <c r="I745" s="6" t="str">
        <f>IFERROR(VLOOKUP(LOG_RESEAU[[#This Row],[Cell_ID]],Registre_Maintenance!A:F,6,FALSE),"Non trouvé")</f>
        <v>Non trouvé</v>
      </c>
      <c r="J745" s="6" t="str">
        <f t="shared" si="33"/>
        <v>Antenne inconnue</v>
      </c>
      <c r="K745" s="6">
        <f t="shared" si="34"/>
        <v>7</v>
      </c>
      <c r="L745" s="6">
        <f t="shared" si="35"/>
        <v>434</v>
      </c>
    </row>
    <row r="746" spans="1:12" ht="15.75" x14ac:dyDescent="0.25">
      <c r="A746" s="6" t="s">
        <v>840</v>
      </c>
      <c r="B746" s="7">
        <v>45205.154166666667</v>
      </c>
      <c r="C746" s="6">
        <v>49</v>
      </c>
      <c r="D746" s="6" t="s">
        <v>792</v>
      </c>
      <c r="E746" s="8" t="str">
        <f>IFERROR(VLOOKUP(LOG_RESEAU[[#This Row],[Cell_ID]],Registre_Maintenance!A:B,2,FALSE),"Non trouvé")</f>
        <v>Non trouvé</v>
      </c>
      <c r="F746" s="8" t="str">
        <f>IFERROR(VLOOKUP(LOG_RESEAU[[#This Row],[Cell_ID]],Registre_Maintenance!A:C,3,FALSE),"Non trouvé")</f>
        <v>Non trouvé</v>
      </c>
      <c r="G746" s="8" t="str">
        <f>IFERROR(VLOOKUP(LOG_RESEAU[[#This Row],[Cell_ID]],Registre_Maintenance!A:D,4,FALSE),"Non trouvé")</f>
        <v>Non trouvé</v>
      </c>
      <c r="H746" s="6" t="str">
        <f>IFERROR(VLOOKUP(LOG_RESEAU[[#This Row],[Cell_ID]],Registre_Maintenance!A:E,5,FALSE),"Non trouvé")</f>
        <v>Non trouvé</v>
      </c>
      <c r="I746" s="6" t="str">
        <f>IFERROR(VLOOKUP(LOG_RESEAU[[#This Row],[Cell_ID]],Registre_Maintenance!A:F,6,FALSE),"Non trouvé")</f>
        <v>Non trouvé</v>
      </c>
      <c r="J746" s="6" t="str">
        <f t="shared" si="33"/>
        <v>Antenne inconnue</v>
      </c>
      <c r="K746" s="6">
        <f t="shared" si="34"/>
        <v>7</v>
      </c>
      <c r="L746" s="6">
        <f t="shared" si="35"/>
        <v>434</v>
      </c>
    </row>
    <row r="747" spans="1:12" ht="15.75" x14ac:dyDescent="0.25">
      <c r="A747" s="6" t="s">
        <v>840</v>
      </c>
      <c r="B747" s="7">
        <v>45217.701388888891</v>
      </c>
      <c r="C747" s="6">
        <v>120</v>
      </c>
      <c r="D747" s="6" t="s">
        <v>800</v>
      </c>
      <c r="E747" s="8" t="str">
        <f>IFERROR(VLOOKUP(LOG_RESEAU[[#This Row],[Cell_ID]],Registre_Maintenance!A:B,2,FALSE),"Non trouvé")</f>
        <v>Non trouvé</v>
      </c>
      <c r="F747" s="8" t="str">
        <f>IFERROR(VLOOKUP(LOG_RESEAU[[#This Row],[Cell_ID]],Registre_Maintenance!A:C,3,FALSE),"Non trouvé")</f>
        <v>Non trouvé</v>
      </c>
      <c r="G747" s="8" t="str">
        <f>IFERROR(VLOOKUP(LOG_RESEAU[[#This Row],[Cell_ID]],Registre_Maintenance!A:D,4,FALSE),"Non trouvé")</f>
        <v>Non trouvé</v>
      </c>
      <c r="H747" s="6" t="str">
        <f>IFERROR(VLOOKUP(LOG_RESEAU[[#This Row],[Cell_ID]],Registre_Maintenance!A:E,5,FALSE),"Non trouvé")</f>
        <v>Non trouvé</v>
      </c>
      <c r="I747" s="6" t="str">
        <f>IFERROR(VLOOKUP(LOG_RESEAU[[#This Row],[Cell_ID]],Registre_Maintenance!A:F,6,FALSE),"Non trouvé")</f>
        <v>Non trouvé</v>
      </c>
      <c r="J747" s="6" t="str">
        <f t="shared" si="33"/>
        <v>Antenne inconnue</v>
      </c>
      <c r="K747" s="6">
        <f t="shared" si="34"/>
        <v>7</v>
      </c>
      <c r="L747" s="6">
        <f t="shared" si="35"/>
        <v>434</v>
      </c>
    </row>
    <row r="748" spans="1:12" ht="15.75" x14ac:dyDescent="0.25">
      <c r="A748" s="6" t="s">
        <v>840</v>
      </c>
      <c r="B748" s="7">
        <v>45218.991666666669</v>
      </c>
      <c r="C748" s="6">
        <v>58</v>
      </c>
      <c r="D748" s="6" t="s">
        <v>794</v>
      </c>
      <c r="E748" s="8" t="str">
        <f>IFERROR(VLOOKUP(LOG_RESEAU[[#This Row],[Cell_ID]],Registre_Maintenance!A:B,2,FALSE),"Non trouvé")</f>
        <v>Non trouvé</v>
      </c>
      <c r="F748" s="8" t="str">
        <f>IFERROR(VLOOKUP(LOG_RESEAU[[#This Row],[Cell_ID]],Registre_Maintenance!A:C,3,FALSE),"Non trouvé")</f>
        <v>Non trouvé</v>
      </c>
      <c r="G748" s="8" t="str">
        <f>IFERROR(VLOOKUP(LOG_RESEAU[[#This Row],[Cell_ID]],Registre_Maintenance!A:D,4,FALSE),"Non trouvé")</f>
        <v>Non trouvé</v>
      </c>
      <c r="H748" s="6" t="str">
        <f>IFERROR(VLOOKUP(LOG_RESEAU[[#This Row],[Cell_ID]],Registre_Maintenance!A:E,5,FALSE),"Non trouvé")</f>
        <v>Non trouvé</v>
      </c>
      <c r="I748" s="6" t="str">
        <f>IFERROR(VLOOKUP(LOG_RESEAU[[#This Row],[Cell_ID]],Registre_Maintenance!A:F,6,FALSE),"Non trouvé")</f>
        <v>Non trouvé</v>
      </c>
      <c r="J748" s="6" t="str">
        <f t="shared" si="33"/>
        <v>Antenne inconnue</v>
      </c>
      <c r="K748" s="6">
        <f t="shared" si="34"/>
        <v>7</v>
      </c>
      <c r="L748" s="6">
        <f t="shared" si="35"/>
        <v>434</v>
      </c>
    </row>
    <row r="749" spans="1:12" ht="15.75" x14ac:dyDescent="0.25">
      <c r="A749" s="6" t="s">
        <v>936</v>
      </c>
      <c r="B749" s="7">
        <v>45207.195138888892</v>
      </c>
      <c r="C749" s="6">
        <v>40</v>
      </c>
      <c r="D749" s="6" t="s">
        <v>800</v>
      </c>
      <c r="E749" s="8" t="str">
        <f>IFERROR(VLOOKUP(LOG_RESEAU[[#This Row],[Cell_ID]],Registre_Maintenance!A:B,2,FALSE),"Non trouvé")</f>
        <v>Non trouvé</v>
      </c>
      <c r="F749" s="8" t="str">
        <f>IFERROR(VLOOKUP(LOG_RESEAU[[#This Row],[Cell_ID]],Registre_Maintenance!A:C,3,FALSE),"Non trouvé")</f>
        <v>Non trouvé</v>
      </c>
      <c r="G749" s="8" t="str">
        <f>IFERROR(VLOOKUP(LOG_RESEAU[[#This Row],[Cell_ID]],Registre_Maintenance!A:D,4,FALSE),"Non trouvé")</f>
        <v>Non trouvé</v>
      </c>
      <c r="H749" s="6" t="str">
        <f>IFERROR(VLOOKUP(LOG_RESEAU[[#This Row],[Cell_ID]],Registre_Maintenance!A:E,5,FALSE),"Non trouvé")</f>
        <v>Non trouvé</v>
      </c>
      <c r="I749" s="6" t="str">
        <f>IFERROR(VLOOKUP(LOG_RESEAU[[#This Row],[Cell_ID]],Registre_Maintenance!A:F,6,FALSE),"Non trouvé")</f>
        <v>Non trouvé</v>
      </c>
      <c r="J749" s="6" t="str">
        <f t="shared" si="33"/>
        <v>Antenne inconnue</v>
      </c>
      <c r="K749" s="6">
        <f t="shared" si="34"/>
        <v>6</v>
      </c>
      <c r="L749" s="6">
        <f t="shared" si="35"/>
        <v>303</v>
      </c>
    </row>
    <row r="750" spans="1:12" ht="15.75" x14ac:dyDescent="0.25">
      <c r="A750" s="6" t="s">
        <v>936</v>
      </c>
      <c r="B750" s="7">
        <v>45220.111111111109</v>
      </c>
      <c r="C750" s="6">
        <v>43</v>
      </c>
      <c r="D750" s="6" t="s">
        <v>792</v>
      </c>
      <c r="E750" s="8" t="str">
        <f>IFERROR(VLOOKUP(LOG_RESEAU[[#This Row],[Cell_ID]],Registre_Maintenance!A:B,2,FALSE),"Non trouvé")</f>
        <v>Non trouvé</v>
      </c>
      <c r="F750" s="8" t="str">
        <f>IFERROR(VLOOKUP(LOG_RESEAU[[#This Row],[Cell_ID]],Registre_Maintenance!A:C,3,FALSE),"Non trouvé")</f>
        <v>Non trouvé</v>
      </c>
      <c r="G750" s="8" t="str">
        <f>IFERROR(VLOOKUP(LOG_RESEAU[[#This Row],[Cell_ID]],Registre_Maintenance!A:D,4,FALSE),"Non trouvé")</f>
        <v>Non trouvé</v>
      </c>
      <c r="H750" s="6" t="str">
        <f>IFERROR(VLOOKUP(LOG_RESEAU[[#This Row],[Cell_ID]],Registre_Maintenance!A:E,5,FALSE),"Non trouvé")</f>
        <v>Non trouvé</v>
      </c>
      <c r="I750" s="6" t="str">
        <f>IFERROR(VLOOKUP(LOG_RESEAU[[#This Row],[Cell_ID]],Registre_Maintenance!A:F,6,FALSE),"Non trouvé")</f>
        <v>Non trouvé</v>
      </c>
      <c r="J750" s="6" t="str">
        <f t="shared" si="33"/>
        <v>Antenne inconnue</v>
      </c>
      <c r="K750" s="6">
        <f t="shared" si="34"/>
        <v>6</v>
      </c>
      <c r="L750" s="6">
        <f t="shared" si="35"/>
        <v>303</v>
      </c>
    </row>
    <row r="751" spans="1:12" ht="15.75" x14ac:dyDescent="0.25">
      <c r="A751" s="6" t="s">
        <v>936</v>
      </c>
      <c r="B751" s="7">
        <v>45216.760416666657</v>
      </c>
      <c r="C751" s="6">
        <v>19</v>
      </c>
      <c r="D751" s="6" t="s">
        <v>794</v>
      </c>
      <c r="E751" s="8" t="str">
        <f>IFERROR(VLOOKUP(LOG_RESEAU[[#This Row],[Cell_ID]],Registre_Maintenance!A:B,2,FALSE),"Non trouvé")</f>
        <v>Non trouvé</v>
      </c>
      <c r="F751" s="8" t="str">
        <f>IFERROR(VLOOKUP(LOG_RESEAU[[#This Row],[Cell_ID]],Registre_Maintenance!A:C,3,FALSE),"Non trouvé")</f>
        <v>Non trouvé</v>
      </c>
      <c r="G751" s="8" t="str">
        <f>IFERROR(VLOOKUP(LOG_RESEAU[[#This Row],[Cell_ID]],Registre_Maintenance!A:D,4,FALSE),"Non trouvé")</f>
        <v>Non trouvé</v>
      </c>
      <c r="H751" s="6" t="str">
        <f>IFERROR(VLOOKUP(LOG_RESEAU[[#This Row],[Cell_ID]],Registre_Maintenance!A:E,5,FALSE),"Non trouvé")</f>
        <v>Non trouvé</v>
      </c>
      <c r="I751" s="6" t="str">
        <f>IFERROR(VLOOKUP(LOG_RESEAU[[#This Row],[Cell_ID]],Registre_Maintenance!A:F,6,FALSE),"Non trouvé")</f>
        <v>Non trouvé</v>
      </c>
      <c r="J751" s="6" t="str">
        <f t="shared" si="33"/>
        <v>Antenne inconnue</v>
      </c>
      <c r="K751" s="6">
        <f t="shared" si="34"/>
        <v>6</v>
      </c>
      <c r="L751" s="6">
        <f t="shared" si="35"/>
        <v>303</v>
      </c>
    </row>
    <row r="752" spans="1:12" ht="15.75" x14ac:dyDescent="0.25">
      <c r="A752" s="6" t="s">
        <v>936</v>
      </c>
      <c r="B752" s="7">
        <v>45222.51666666667</v>
      </c>
      <c r="C752" s="6">
        <v>66</v>
      </c>
      <c r="D752" s="6" t="s">
        <v>794</v>
      </c>
      <c r="E752" s="8" t="str">
        <f>IFERROR(VLOOKUP(LOG_RESEAU[[#This Row],[Cell_ID]],Registre_Maintenance!A:B,2,FALSE),"Non trouvé")</f>
        <v>Non trouvé</v>
      </c>
      <c r="F752" s="8" t="str">
        <f>IFERROR(VLOOKUP(LOG_RESEAU[[#This Row],[Cell_ID]],Registre_Maintenance!A:C,3,FALSE),"Non trouvé")</f>
        <v>Non trouvé</v>
      </c>
      <c r="G752" s="8" t="str">
        <f>IFERROR(VLOOKUP(LOG_RESEAU[[#This Row],[Cell_ID]],Registre_Maintenance!A:D,4,FALSE),"Non trouvé")</f>
        <v>Non trouvé</v>
      </c>
      <c r="H752" s="6" t="str">
        <f>IFERROR(VLOOKUP(LOG_RESEAU[[#This Row],[Cell_ID]],Registre_Maintenance!A:E,5,FALSE),"Non trouvé")</f>
        <v>Non trouvé</v>
      </c>
      <c r="I752" s="6" t="str">
        <f>IFERROR(VLOOKUP(LOG_RESEAU[[#This Row],[Cell_ID]],Registre_Maintenance!A:F,6,FALSE),"Non trouvé")</f>
        <v>Non trouvé</v>
      </c>
      <c r="J752" s="6" t="str">
        <f t="shared" si="33"/>
        <v>Antenne inconnue</v>
      </c>
      <c r="K752" s="6">
        <f t="shared" si="34"/>
        <v>6</v>
      </c>
      <c r="L752" s="6">
        <f t="shared" si="35"/>
        <v>303</v>
      </c>
    </row>
    <row r="753" spans="1:12" ht="15.75" x14ac:dyDescent="0.25">
      <c r="A753" s="6" t="s">
        <v>936</v>
      </c>
      <c r="B753" s="7">
        <v>45219.636111111111</v>
      </c>
      <c r="C753" s="6">
        <v>49</v>
      </c>
      <c r="D753" s="6" t="s">
        <v>794</v>
      </c>
      <c r="E753" s="8" t="str">
        <f>IFERROR(VLOOKUP(LOG_RESEAU[[#This Row],[Cell_ID]],Registre_Maintenance!A:B,2,FALSE),"Non trouvé")</f>
        <v>Non trouvé</v>
      </c>
      <c r="F753" s="8" t="str">
        <f>IFERROR(VLOOKUP(LOG_RESEAU[[#This Row],[Cell_ID]],Registre_Maintenance!A:C,3,FALSE),"Non trouvé")</f>
        <v>Non trouvé</v>
      </c>
      <c r="G753" s="8" t="str">
        <f>IFERROR(VLOOKUP(LOG_RESEAU[[#This Row],[Cell_ID]],Registre_Maintenance!A:D,4,FALSE),"Non trouvé")</f>
        <v>Non trouvé</v>
      </c>
      <c r="H753" s="6" t="str">
        <f>IFERROR(VLOOKUP(LOG_RESEAU[[#This Row],[Cell_ID]],Registre_Maintenance!A:E,5,FALSE),"Non trouvé")</f>
        <v>Non trouvé</v>
      </c>
      <c r="I753" s="6" t="str">
        <f>IFERROR(VLOOKUP(LOG_RESEAU[[#This Row],[Cell_ID]],Registre_Maintenance!A:F,6,FALSE),"Non trouvé")</f>
        <v>Non trouvé</v>
      </c>
      <c r="J753" s="6" t="str">
        <f t="shared" si="33"/>
        <v>Antenne inconnue</v>
      </c>
      <c r="K753" s="6">
        <f t="shared" si="34"/>
        <v>6</v>
      </c>
      <c r="L753" s="6">
        <f t="shared" si="35"/>
        <v>303</v>
      </c>
    </row>
    <row r="754" spans="1:12" ht="15.75" x14ac:dyDescent="0.25">
      <c r="A754" s="6" t="s">
        <v>936</v>
      </c>
      <c r="B754" s="7">
        <v>45210.675000000003</v>
      </c>
      <c r="C754" s="6">
        <v>86</v>
      </c>
      <c r="D754" s="6" t="s">
        <v>792</v>
      </c>
      <c r="E754" s="8" t="str">
        <f>IFERROR(VLOOKUP(LOG_RESEAU[[#This Row],[Cell_ID]],Registre_Maintenance!A:B,2,FALSE),"Non trouvé")</f>
        <v>Non trouvé</v>
      </c>
      <c r="F754" s="8" t="str">
        <f>IFERROR(VLOOKUP(LOG_RESEAU[[#This Row],[Cell_ID]],Registre_Maintenance!A:C,3,FALSE),"Non trouvé")</f>
        <v>Non trouvé</v>
      </c>
      <c r="G754" s="8" t="str">
        <f>IFERROR(VLOOKUP(LOG_RESEAU[[#This Row],[Cell_ID]],Registre_Maintenance!A:D,4,FALSE),"Non trouvé")</f>
        <v>Non trouvé</v>
      </c>
      <c r="H754" s="6" t="str">
        <f>IFERROR(VLOOKUP(LOG_RESEAU[[#This Row],[Cell_ID]],Registre_Maintenance!A:E,5,FALSE),"Non trouvé")</f>
        <v>Non trouvé</v>
      </c>
      <c r="I754" s="6" t="str">
        <f>IFERROR(VLOOKUP(LOG_RESEAU[[#This Row],[Cell_ID]],Registre_Maintenance!A:F,6,FALSE),"Non trouvé")</f>
        <v>Non trouvé</v>
      </c>
      <c r="J754" s="6" t="str">
        <f t="shared" si="33"/>
        <v>Antenne inconnue</v>
      </c>
      <c r="K754" s="6">
        <f t="shared" si="34"/>
        <v>6</v>
      </c>
      <c r="L754" s="6">
        <f t="shared" si="35"/>
        <v>303</v>
      </c>
    </row>
    <row r="755" spans="1:12" ht="15.75" x14ac:dyDescent="0.25">
      <c r="A755" s="6" t="s">
        <v>918</v>
      </c>
      <c r="B755" s="7">
        <v>45216.529861111107</v>
      </c>
      <c r="C755" s="6">
        <v>78</v>
      </c>
      <c r="D755" s="6" t="s">
        <v>792</v>
      </c>
      <c r="E755" s="8" t="str">
        <f>IFERROR(VLOOKUP(LOG_RESEAU[[#This Row],[Cell_ID]],Registre_Maintenance!A:B,2,FALSE),"Non trouvé")</f>
        <v>Tanganyika</v>
      </c>
      <c r="F755" s="8">
        <f>IFERROR(VLOOKUP(LOG_RESEAU[[#This Row],[Cell_ID]],Registre_Maintenance!A:C,3,FALSE),"Non trouvé")</f>
        <v>-12.229338</v>
      </c>
      <c r="G755" s="8">
        <f>IFERROR(VLOOKUP(LOG_RESEAU[[#This Row],[Cell_ID]],Registre_Maintenance!A:D,4,FALSE),"Non trouvé")</f>
        <v>29.587834999999998</v>
      </c>
      <c r="H755" s="6" t="str">
        <f>IFERROR(VLOOKUP(LOG_RESEAU[[#This Row],[Cell_ID]],Registre_Maintenance!A:E,5,FALSE),"Non trouvé")</f>
        <v>4G</v>
      </c>
      <c r="I755" s="6" t="str">
        <f>IFERROR(VLOOKUP(LOG_RESEAU[[#This Row],[Cell_ID]],Registre_Maintenance!A:F,6,FALSE),"Non trouvé")</f>
        <v>Nokia</v>
      </c>
      <c r="J755" s="6" t="str">
        <f t="shared" si="33"/>
        <v>OK</v>
      </c>
      <c r="K755" s="6">
        <f t="shared" si="34"/>
        <v>8</v>
      </c>
      <c r="L755" s="6">
        <f t="shared" si="35"/>
        <v>497</v>
      </c>
    </row>
    <row r="756" spans="1:12" ht="15.75" x14ac:dyDescent="0.25">
      <c r="A756" s="6" t="s">
        <v>918</v>
      </c>
      <c r="B756" s="7">
        <v>45214.613194444442</v>
      </c>
      <c r="C756" s="6">
        <v>25</v>
      </c>
      <c r="D756" s="6" t="s">
        <v>794</v>
      </c>
      <c r="E756" s="8" t="str">
        <f>IFERROR(VLOOKUP(LOG_RESEAU[[#This Row],[Cell_ID]],Registre_Maintenance!A:B,2,FALSE),"Non trouvé")</f>
        <v>Tanganyika</v>
      </c>
      <c r="F756" s="8">
        <f>IFERROR(VLOOKUP(LOG_RESEAU[[#This Row],[Cell_ID]],Registre_Maintenance!A:C,3,FALSE),"Non trouvé")</f>
        <v>-12.229338</v>
      </c>
      <c r="G756" s="8">
        <f>IFERROR(VLOOKUP(LOG_RESEAU[[#This Row],[Cell_ID]],Registre_Maintenance!A:D,4,FALSE),"Non trouvé")</f>
        <v>29.587834999999998</v>
      </c>
      <c r="H756" s="6" t="str">
        <f>IFERROR(VLOOKUP(LOG_RESEAU[[#This Row],[Cell_ID]],Registre_Maintenance!A:E,5,FALSE),"Non trouvé")</f>
        <v>4G</v>
      </c>
      <c r="I756" s="6" t="str">
        <f>IFERROR(VLOOKUP(LOG_RESEAU[[#This Row],[Cell_ID]],Registre_Maintenance!A:F,6,FALSE),"Non trouvé")</f>
        <v>Nokia</v>
      </c>
      <c r="J756" s="6" t="str">
        <f t="shared" si="33"/>
        <v>OK</v>
      </c>
      <c r="K756" s="6">
        <f t="shared" si="34"/>
        <v>8</v>
      </c>
      <c r="L756" s="6">
        <f t="shared" si="35"/>
        <v>497</v>
      </c>
    </row>
    <row r="757" spans="1:12" ht="15.75" x14ac:dyDescent="0.25">
      <c r="A757" s="6" t="s">
        <v>918</v>
      </c>
      <c r="B757" s="7">
        <v>45201.468055555553</v>
      </c>
      <c r="C757" s="6">
        <v>63</v>
      </c>
      <c r="D757" s="6" t="s">
        <v>794</v>
      </c>
      <c r="E757" s="8" t="str">
        <f>IFERROR(VLOOKUP(LOG_RESEAU[[#This Row],[Cell_ID]],Registre_Maintenance!A:B,2,FALSE),"Non trouvé")</f>
        <v>Tanganyika</v>
      </c>
      <c r="F757" s="8">
        <f>IFERROR(VLOOKUP(LOG_RESEAU[[#This Row],[Cell_ID]],Registre_Maintenance!A:C,3,FALSE),"Non trouvé")</f>
        <v>-12.229338</v>
      </c>
      <c r="G757" s="8">
        <f>IFERROR(VLOOKUP(LOG_RESEAU[[#This Row],[Cell_ID]],Registre_Maintenance!A:D,4,FALSE),"Non trouvé")</f>
        <v>29.587834999999998</v>
      </c>
      <c r="H757" s="6" t="str">
        <f>IFERROR(VLOOKUP(LOG_RESEAU[[#This Row],[Cell_ID]],Registre_Maintenance!A:E,5,FALSE),"Non trouvé")</f>
        <v>4G</v>
      </c>
      <c r="I757" s="6" t="str">
        <f>IFERROR(VLOOKUP(LOG_RESEAU[[#This Row],[Cell_ID]],Registre_Maintenance!A:F,6,FALSE),"Non trouvé")</f>
        <v>Nokia</v>
      </c>
      <c r="J757" s="6" t="str">
        <f t="shared" si="33"/>
        <v>OK</v>
      </c>
      <c r="K757" s="6">
        <f t="shared" si="34"/>
        <v>8</v>
      </c>
      <c r="L757" s="6">
        <f t="shared" si="35"/>
        <v>497</v>
      </c>
    </row>
    <row r="758" spans="1:12" ht="15.75" x14ac:dyDescent="0.25">
      <c r="A758" s="6" t="s">
        <v>918</v>
      </c>
      <c r="B758" s="7">
        <v>45200.675000000003</v>
      </c>
      <c r="C758" s="6">
        <v>109</v>
      </c>
      <c r="D758" s="6" t="s">
        <v>794</v>
      </c>
      <c r="E758" s="8" t="str">
        <f>IFERROR(VLOOKUP(LOG_RESEAU[[#This Row],[Cell_ID]],Registre_Maintenance!A:B,2,FALSE),"Non trouvé")</f>
        <v>Tanganyika</v>
      </c>
      <c r="F758" s="8">
        <f>IFERROR(VLOOKUP(LOG_RESEAU[[#This Row],[Cell_ID]],Registre_Maintenance!A:C,3,FALSE),"Non trouvé")</f>
        <v>-12.229338</v>
      </c>
      <c r="G758" s="8">
        <f>IFERROR(VLOOKUP(LOG_RESEAU[[#This Row],[Cell_ID]],Registre_Maintenance!A:D,4,FALSE),"Non trouvé")</f>
        <v>29.587834999999998</v>
      </c>
      <c r="H758" s="6" t="str">
        <f>IFERROR(VLOOKUP(LOG_RESEAU[[#This Row],[Cell_ID]],Registre_Maintenance!A:E,5,FALSE),"Non trouvé")</f>
        <v>4G</v>
      </c>
      <c r="I758" s="6" t="str">
        <f>IFERROR(VLOOKUP(LOG_RESEAU[[#This Row],[Cell_ID]],Registre_Maintenance!A:F,6,FALSE),"Non trouvé")</f>
        <v>Nokia</v>
      </c>
      <c r="J758" s="6" t="str">
        <f t="shared" si="33"/>
        <v>OK</v>
      </c>
      <c r="K758" s="6">
        <f t="shared" si="34"/>
        <v>8</v>
      </c>
      <c r="L758" s="6">
        <f t="shared" si="35"/>
        <v>497</v>
      </c>
    </row>
    <row r="759" spans="1:12" ht="15.75" x14ac:dyDescent="0.25">
      <c r="A759" s="6" t="s">
        <v>918</v>
      </c>
      <c r="B759" s="7">
        <v>45216.852777777778</v>
      </c>
      <c r="C759" s="6">
        <v>30</v>
      </c>
      <c r="D759" s="6" t="s">
        <v>794</v>
      </c>
      <c r="E759" s="8" t="str">
        <f>IFERROR(VLOOKUP(LOG_RESEAU[[#This Row],[Cell_ID]],Registre_Maintenance!A:B,2,FALSE),"Non trouvé")</f>
        <v>Tanganyika</v>
      </c>
      <c r="F759" s="8">
        <f>IFERROR(VLOOKUP(LOG_RESEAU[[#This Row],[Cell_ID]],Registre_Maintenance!A:C,3,FALSE),"Non trouvé")</f>
        <v>-12.229338</v>
      </c>
      <c r="G759" s="8">
        <f>IFERROR(VLOOKUP(LOG_RESEAU[[#This Row],[Cell_ID]],Registre_Maintenance!A:D,4,FALSE),"Non trouvé")</f>
        <v>29.587834999999998</v>
      </c>
      <c r="H759" s="6" t="str">
        <f>IFERROR(VLOOKUP(LOG_RESEAU[[#This Row],[Cell_ID]],Registre_Maintenance!A:E,5,FALSE),"Non trouvé")</f>
        <v>4G</v>
      </c>
      <c r="I759" s="6" t="str">
        <f>IFERROR(VLOOKUP(LOG_RESEAU[[#This Row],[Cell_ID]],Registre_Maintenance!A:F,6,FALSE),"Non trouvé")</f>
        <v>Nokia</v>
      </c>
      <c r="J759" s="6" t="str">
        <f t="shared" si="33"/>
        <v>OK</v>
      </c>
      <c r="K759" s="6">
        <f t="shared" si="34"/>
        <v>8</v>
      </c>
      <c r="L759" s="6">
        <f t="shared" si="35"/>
        <v>497</v>
      </c>
    </row>
    <row r="760" spans="1:12" ht="15.75" x14ac:dyDescent="0.25">
      <c r="A760" s="6" t="s">
        <v>918</v>
      </c>
      <c r="B760" s="7">
        <v>45206.927083333343</v>
      </c>
      <c r="C760" s="6">
        <v>44</v>
      </c>
      <c r="D760" s="6" t="s">
        <v>792</v>
      </c>
      <c r="E760" s="8" t="str">
        <f>IFERROR(VLOOKUP(LOG_RESEAU[[#This Row],[Cell_ID]],Registre_Maintenance!A:B,2,FALSE),"Non trouvé")</f>
        <v>Tanganyika</v>
      </c>
      <c r="F760" s="8">
        <f>IFERROR(VLOOKUP(LOG_RESEAU[[#This Row],[Cell_ID]],Registre_Maintenance!A:C,3,FALSE),"Non trouvé")</f>
        <v>-12.229338</v>
      </c>
      <c r="G760" s="8">
        <f>IFERROR(VLOOKUP(LOG_RESEAU[[#This Row],[Cell_ID]],Registre_Maintenance!A:D,4,FALSE),"Non trouvé")</f>
        <v>29.587834999999998</v>
      </c>
      <c r="H760" s="6" t="str">
        <f>IFERROR(VLOOKUP(LOG_RESEAU[[#This Row],[Cell_ID]],Registre_Maintenance!A:E,5,FALSE),"Non trouvé")</f>
        <v>4G</v>
      </c>
      <c r="I760" s="6" t="str">
        <f>IFERROR(VLOOKUP(LOG_RESEAU[[#This Row],[Cell_ID]],Registre_Maintenance!A:F,6,FALSE),"Non trouvé")</f>
        <v>Nokia</v>
      </c>
      <c r="J760" s="6" t="str">
        <f t="shared" si="33"/>
        <v>OK</v>
      </c>
      <c r="K760" s="6">
        <f t="shared" si="34"/>
        <v>8</v>
      </c>
      <c r="L760" s="6">
        <f t="shared" si="35"/>
        <v>497</v>
      </c>
    </row>
    <row r="761" spans="1:12" ht="15.75" x14ac:dyDescent="0.25">
      <c r="A761" s="6" t="s">
        <v>918</v>
      </c>
      <c r="B761" s="7">
        <v>45216.745138888888</v>
      </c>
      <c r="C761" s="6">
        <v>87</v>
      </c>
      <c r="D761" s="6" t="s">
        <v>792</v>
      </c>
      <c r="E761" s="8" t="str">
        <f>IFERROR(VLOOKUP(LOG_RESEAU[[#This Row],[Cell_ID]],Registre_Maintenance!A:B,2,FALSE),"Non trouvé")</f>
        <v>Tanganyika</v>
      </c>
      <c r="F761" s="8">
        <f>IFERROR(VLOOKUP(LOG_RESEAU[[#This Row],[Cell_ID]],Registre_Maintenance!A:C,3,FALSE),"Non trouvé")</f>
        <v>-12.229338</v>
      </c>
      <c r="G761" s="8">
        <f>IFERROR(VLOOKUP(LOG_RESEAU[[#This Row],[Cell_ID]],Registre_Maintenance!A:D,4,FALSE),"Non trouvé")</f>
        <v>29.587834999999998</v>
      </c>
      <c r="H761" s="6" t="str">
        <f>IFERROR(VLOOKUP(LOG_RESEAU[[#This Row],[Cell_ID]],Registre_Maintenance!A:E,5,FALSE),"Non trouvé")</f>
        <v>4G</v>
      </c>
      <c r="I761" s="6" t="str">
        <f>IFERROR(VLOOKUP(LOG_RESEAU[[#This Row],[Cell_ID]],Registre_Maintenance!A:F,6,FALSE),"Non trouvé")</f>
        <v>Nokia</v>
      </c>
      <c r="J761" s="6" t="str">
        <f t="shared" si="33"/>
        <v>OK</v>
      </c>
      <c r="K761" s="6">
        <f t="shared" si="34"/>
        <v>8</v>
      </c>
      <c r="L761" s="6">
        <f t="shared" si="35"/>
        <v>497</v>
      </c>
    </row>
    <row r="762" spans="1:12" ht="15.75" x14ac:dyDescent="0.25">
      <c r="A762" s="6" t="s">
        <v>918</v>
      </c>
      <c r="B762" s="7">
        <v>45202.779166666667</v>
      </c>
      <c r="C762" s="6">
        <v>61</v>
      </c>
      <c r="D762" s="6" t="s">
        <v>792</v>
      </c>
      <c r="E762" s="8" t="str">
        <f>IFERROR(VLOOKUP(LOG_RESEAU[[#This Row],[Cell_ID]],Registre_Maintenance!A:B,2,FALSE),"Non trouvé")</f>
        <v>Tanganyika</v>
      </c>
      <c r="F762" s="8">
        <f>IFERROR(VLOOKUP(LOG_RESEAU[[#This Row],[Cell_ID]],Registre_Maintenance!A:C,3,FALSE),"Non trouvé")</f>
        <v>-12.229338</v>
      </c>
      <c r="G762" s="8">
        <f>IFERROR(VLOOKUP(LOG_RESEAU[[#This Row],[Cell_ID]],Registre_Maintenance!A:D,4,FALSE),"Non trouvé")</f>
        <v>29.587834999999998</v>
      </c>
      <c r="H762" s="6" t="str">
        <f>IFERROR(VLOOKUP(LOG_RESEAU[[#This Row],[Cell_ID]],Registre_Maintenance!A:E,5,FALSE),"Non trouvé")</f>
        <v>4G</v>
      </c>
      <c r="I762" s="6" t="str">
        <f>IFERROR(VLOOKUP(LOG_RESEAU[[#This Row],[Cell_ID]],Registre_Maintenance!A:F,6,FALSE),"Non trouvé")</f>
        <v>Nokia</v>
      </c>
      <c r="J762" s="6" t="str">
        <f t="shared" si="33"/>
        <v>OK</v>
      </c>
      <c r="K762" s="6">
        <f t="shared" si="34"/>
        <v>8</v>
      </c>
      <c r="L762" s="6">
        <f t="shared" si="35"/>
        <v>497</v>
      </c>
    </row>
    <row r="763" spans="1:12" ht="15.75" x14ac:dyDescent="0.25">
      <c r="A763" s="6" t="s">
        <v>880</v>
      </c>
      <c r="B763" s="7">
        <v>45207.102777777778</v>
      </c>
      <c r="C763" s="6">
        <v>40</v>
      </c>
      <c r="D763" s="6" t="s">
        <v>794</v>
      </c>
      <c r="E763" s="8" t="str">
        <f>IFERROR(VLOOKUP(LOG_RESEAU[[#This Row],[Cell_ID]],Registre_Maintenance!A:B,2,FALSE),"Non trouvé")</f>
        <v>Maniema</v>
      </c>
      <c r="F763" s="8">
        <f>IFERROR(VLOOKUP(LOG_RESEAU[[#This Row],[Cell_ID]],Registre_Maintenance!A:C,3,FALSE),"Non trouvé")</f>
        <v>4.8228650000000002</v>
      </c>
      <c r="G763" s="8">
        <f>IFERROR(VLOOKUP(LOG_RESEAU[[#This Row],[Cell_ID]],Registre_Maintenance!A:D,4,FALSE),"Non trouvé")</f>
        <v>30.555627000000001</v>
      </c>
      <c r="H763" s="6" t="str">
        <f>IFERROR(VLOOKUP(LOG_RESEAU[[#This Row],[Cell_ID]],Registre_Maintenance!A:E,5,FALSE),"Non trouvé")</f>
        <v>4G</v>
      </c>
      <c r="I763" s="6" t="str">
        <f>IFERROR(VLOOKUP(LOG_RESEAU[[#This Row],[Cell_ID]],Registre_Maintenance!A:F,6,FALSE),"Non trouvé")</f>
        <v>Huawei</v>
      </c>
      <c r="J763" s="6" t="str">
        <f t="shared" si="33"/>
        <v>OK</v>
      </c>
      <c r="K763" s="6">
        <f t="shared" si="34"/>
        <v>8</v>
      </c>
      <c r="L763" s="6">
        <f t="shared" si="35"/>
        <v>442</v>
      </c>
    </row>
    <row r="764" spans="1:12" ht="15.75" x14ac:dyDescent="0.25">
      <c r="A764" s="6" t="s">
        <v>880</v>
      </c>
      <c r="B764" s="7">
        <v>45201.224999999999</v>
      </c>
      <c r="C764" s="6">
        <v>71</v>
      </c>
      <c r="D764" s="6" t="s">
        <v>792</v>
      </c>
      <c r="E764" s="8" t="str">
        <f>IFERROR(VLOOKUP(LOG_RESEAU[[#This Row],[Cell_ID]],Registre_Maintenance!A:B,2,FALSE),"Non trouvé")</f>
        <v>Maniema</v>
      </c>
      <c r="F764" s="8">
        <f>IFERROR(VLOOKUP(LOG_RESEAU[[#This Row],[Cell_ID]],Registre_Maintenance!A:C,3,FALSE),"Non trouvé")</f>
        <v>4.8228650000000002</v>
      </c>
      <c r="G764" s="8">
        <f>IFERROR(VLOOKUP(LOG_RESEAU[[#This Row],[Cell_ID]],Registre_Maintenance!A:D,4,FALSE),"Non trouvé")</f>
        <v>30.555627000000001</v>
      </c>
      <c r="H764" s="6" t="str">
        <f>IFERROR(VLOOKUP(LOG_RESEAU[[#This Row],[Cell_ID]],Registre_Maintenance!A:E,5,FALSE),"Non trouvé")</f>
        <v>4G</v>
      </c>
      <c r="I764" s="6" t="str">
        <f>IFERROR(VLOOKUP(LOG_RESEAU[[#This Row],[Cell_ID]],Registre_Maintenance!A:F,6,FALSE),"Non trouvé")</f>
        <v>Huawei</v>
      </c>
      <c r="J764" s="6" t="str">
        <f t="shared" si="33"/>
        <v>OK</v>
      </c>
      <c r="K764" s="6">
        <f t="shared" si="34"/>
        <v>8</v>
      </c>
      <c r="L764" s="6">
        <f t="shared" si="35"/>
        <v>442</v>
      </c>
    </row>
    <row r="765" spans="1:12" ht="15.75" x14ac:dyDescent="0.25">
      <c r="A765" s="6" t="s">
        <v>880</v>
      </c>
      <c r="B765" s="7">
        <v>45206.677777777782</v>
      </c>
      <c r="C765" s="6">
        <v>90</v>
      </c>
      <c r="D765" s="6" t="s">
        <v>792</v>
      </c>
      <c r="E765" s="8" t="str">
        <f>IFERROR(VLOOKUP(LOG_RESEAU[[#This Row],[Cell_ID]],Registre_Maintenance!A:B,2,FALSE),"Non trouvé")</f>
        <v>Maniema</v>
      </c>
      <c r="F765" s="8">
        <f>IFERROR(VLOOKUP(LOG_RESEAU[[#This Row],[Cell_ID]],Registre_Maintenance!A:C,3,FALSE),"Non trouvé")</f>
        <v>4.8228650000000002</v>
      </c>
      <c r="G765" s="8">
        <f>IFERROR(VLOOKUP(LOG_RESEAU[[#This Row],[Cell_ID]],Registre_Maintenance!A:D,4,FALSE),"Non trouvé")</f>
        <v>30.555627000000001</v>
      </c>
      <c r="H765" s="6" t="str">
        <f>IFERROR(VLOOKUP(LOG_RESEAU[[#This Row],[Cell_ID]],Registre_Maintenance!A:E,5,FALSE),"Non trouvé")</f>
        <v>4G</v>
      </c>
      <c r="I765" s="6" t="str">
        <f>IFERROR(VLOOKUP(LOG_RESEAU[[#This Row],[Cell_ID]],Registre_Maintenance!A:F,6,FALSE),"Non trouvé")</f>
        <v>Huawei</v>
      </c>
      <c r="J765" s="6" t="str">
        <f t="shared" si="33"/>
        <v>OK</v>
      </c>
      <c r="K765" s="6">
        <f t="shared" si="34"/>
        <v>8</v>
      </c>
      <c r="L765" s="6">
        <f t="shared" si="35"/>
        <v>442</v>
      </c>
    </row>
    <row r="766" spans="1:12" ht="15.75" x14ac:dyDescent="0.25">
      <c r="A766" s="6" t="s">
        <v>880</v>
      </c>
      <c r="B766" s="7">
        <v>45226.012499999997</v>
      </c>
      <c r="C766" s="6">
        <v>109</v>
      </c>
      <c r="D766" s="6" t="s">
        <v>800</v>
      </c>
      <c r="E766" s="8" t="str">
        <f>IFERROR(VLOOKUP(LOG_RESEAU[[#This Row],[Cell_ID]],Registre_Maintenance!A:B,2,FALSE),"Non trouvé")</f>
        <v>Maniema</v>
      </c>
      <c r="F766" s="8">
        <f>IFERROR(VLOOKUP(LOG_RESEAU[[#This Row],[Cell_ID]],Registre_Maintenance!A:C,3,FALSE),"Non trouvé")</f>
        <v>4.8228650000000002</v>
      </c>
      <c r="G766" s="8">
        <f>IFERROR(VLOOKUP(LOG_RESEAU[[#This Row],[Cell_ID]],Registre_Maintenance!A:D,4,FALSE),"Non trouvé")</f>
        <v>30.555627000000001</v>
      </c>
      <c r="H766" s="6" t="str">
        <f>IFERROR(VLOOKUP(LOG_RESEAU[[#This Row],[Cell_ID]],Registre_Maintenance!A:E,5,FALSE),"Non trouvé")</f>
        <v>4G</v>
      </c>
      <c r="I766" s="6" t="str">
        <f>IFERROR(VLOOKUP(LOG_RESEAU[[#This Row],[Cell_ID]],Registre_Maintenance!A:F,6,FALSE),"Non trouvé")</f>
        <v>Huawei</v>
      </c>
      <c r="J766" s="6" t="str">
        <f t="shared" si="33"/>
        <v>OK</v>
      </c>
      <c r="K766" s="6">
        <f t="shared" si="34"/>
        <v>8</v>
      </c>
      <c r="L766" s="6">
        <f t="shared" si="35"/>
        <v>442</v>
      </c>
    </row>
    <row r="767" spans="1:12" ht="15.75" x14ac:dyDescent="0.25">
      <c r="A767" s="6" t="s">
        <v>880</v>
      </c>
      <c r="B767" s="7">
        <v>45223.411805555559</v>
      </c>
      <c r="C767" s="6">
        <v>7</v>
      </c>
      <c r="D767" s="6" t="s">
        <v>800</v>
      </c>
      <c r="E767" s="8" t="str">
        <f>IFERROR(VLOOKUP(LOG_RESEAU[[#This Row],[Cell_ID]],Registre_Maintenance!A:B,2,FALSE),"Non trouvé")</f>
        <v>Maniema</v>
      </c>
      <c r="F767" s="8">
        <f>IFERROR(VLOOKUP(LOG_RESEAU[[#This Row],[Cell_ID]],Registre_Maintenance!A:C,3,FALSE),"Non trouvé")</f>
        <v>4.8228650000000002</v>
      </c>
      <c r="G767" s="8">
        <f>IFERROR(VLOOKUP(LOG_RESEAU[[#This Row],[Cell_ID]],Registre_Maintenance!A:D,4,FALSE),"Non trouvé")</f>
        <v>30.555627000000001</v>
      </c>
      <c r="H767" s="6" t="str">
        <f>IFERROR(VLOOKUP(LOG_RESEAU[[#This Row],[Cell_ID]],Registre_Maintenance!A:E,5,FALSE),"Non trouvé")</f>
        <v>4G</v>
      </c>
      <c r="I767" s="6" t="str">
        <f>IFERROR(VLOOKUP(LOG_RESEAU[[#This Row],[Cell_ID]],Registre_Maintenance!A:F,6,FALSE),"Non trouvé")</f>
        <v>Huawei</v>
      </c>
      <c r="J767" s="6" t="str">
        <f t="shared" si="33"/>
        <v>OK</v>
      </c>
      <c r="K767" s="6">
        <f t="shared" si="34"/>
        <v>8</v>
      </c>
      <c r="L767" s="6">
        <f t="shared" si="35"/>
        <v>442</v>
      </c>
    </row>
    <row r="768" spans="1:12" ht="15.75" x14ac:dyDescent="0.25">
      <c r="A768" s="6" t="s">
        <v>880</v>
      </c>
      <c r="B768" s="7">
        <v>45221.349305555559</v>
      </c>
      <c r="C768" s="6">
        <v>17</v>
      </c>
      <c r="D768" s="6" t="s">
        <v>800</v>
      </c>
      <c r="E768" s="8" t="str">
        <f>IFERROR(VLOOKUP(LOG_RESEAU[[#This Row],[Cell_ID]],Registre_Maintenance!A:B,2,FALSE),"Non trouvé")</f>
        <v>Maniema</v>
      </c>
      <c r="F768" s="8">
        <f>IFERROR(VLOOKUP(LOG_RESEAU[[#This Row],[Cell_ID]],Registre_Maintenance!A:C,3,FALSE),"Non trouvé")</f>
        <v>4.8228650000000002</v>
      </c>
      <c r="G768" s="8">
        <f>IFERROR(VLOOKUP(LOG_RESEAU[[#This Row],[Cell_ID]],Registre_Maintenance!A:D,4,FALSE),"Non trouvé")</f>
        <v>30.555627000000001</v>
      </c>
      <c r="H768" s="6" t="str">
        <f>IFERROR(VLOOKUP(LOG_RESEAU[[#This Row],[Cell_ID]],Registre_Maintenance!A:E,5,FALSE),"Non trouvé")</f>
        <v>4G</v>
      </c>
      <c r="I768" s="6" t="str">
        <f>IFERROR(VLOOKUP(LOG_RESEAU[[#This Row],[Cell_ID]],Registre_Maintenance!A:F,6,FALSE),"Non trouvé")</f>
        <v>Huawei</v>
      </c>
      <c r="J768" s="6" t="str">
        <f t="shared" si="33"/>
        <v>OK</v>
      </c>
      <c r="K768" s="6">
        <f t="shared" si="34"/>
        <v>8</v>
      </c>
      <c r="L768" s="6">
        <f t="shared" si="35"/>
        <v>442</v>
      </c>
    </row>
    <row r="769" spans="1:12" ht="15.75" x14ac:dyDescent="0.25">
      <c r="A769" s="6" t="s">
        <v>880</v>
      </c>
      <c r="B769" s="7">
        <v>45228.240277777782</v>
      </c>
      <c r="C769" s="6">
        <v>22</v>
      </c>
      <c r="D769" s="6" t="s">
        <v>792</v>
      </c>
      <c r="E769" s="8" t="str">
        <f>IFERROR(VLOOKUP(LOG_RESEAU[[#This Row],[Cell_ID]],Registre_Maintenance!A:B,2,FALSE),"Non trouvé")</f>
        <v>Maniema</v>
      </c>
      <c r="F769" s="8">
        <f>IFERROR(VLOOKUP(LOG_RESEAU[[#This Row],[Cell_ID]],Registre_Maintenance!A:C,3,FALSE),"Non trouvé")</f>
        <v>4.8228650000000002</v>
      </c>
      <c r="G769" s="8">
        <f>IFERROR(VLOOKUP(LOG_RESEAU[[#This Row],[Cell_ID]],Registre_Maintenance!A:D,4,FALSE),"Non trouvé")</f>
        <v>30.555627000000001</v>
      </c>
      <c r="H769" s="6" t="str">
        <f>IFERROR(VLOOKUP(LOG_RESEAU[[#This Row],[Cell_ID]],Registre_Maintenance!A:E,5,FALSE),"Non trouvé")</f>
        <v>4G</v>
      </c>
      <c r="I769" s="6" t="str">
        <f>IFERROR(VLOOKUP(LOG_RESEAU[[#This Row],[Cell_ID]],Registre_Maintenance!A:F,6,FALSE),"Non trouvé")</f>
        <v>Huawei</v>
      </c>
      <c r="J769" s="6" t="str">
        <f t="shared" si="33"/>
        <v>OK</v>
      </c>
      <c r="K769" s="6">
        <f t="shared" si="34"/>
        <v>8</v>
      </c>
      <c r="L769" s="6">
        <f t="shared" si="35"/>
        <v>442</v>
      </c>
    </row>
    <row r="770" spans="1:12" ht="15.75" x14ac:dyDescent="0.25">
      <c r="A770" s="6" t="s">
        <v>880</v>
      </c>
      <c r="B770" s="7">
        <v>45213.351388888892</v>
      </c>
      <c r="C770" s="6">
        <v>86</v>
      </c>
      <c r="D770" s="6" t="s">
        <v>792</v>
      </c>
      <c r="E770" s="8" t="str">
        <f>IFERROR(VLOOKUP(LOG_RESEAU[[#This Row],[Cell_ID]],Registre_Maintenance!A:B,2,FALSE),"Non trouvé")</f>
        <v>Maniema</v>
      </c>
      <c r="F770" s="8">
        <f>IFERROR(VLOOKUP(LOG_RESEAU[[#This Row],[Cell_ID]],Registre_Maintenance!A:C,3,FALSE),"Non trouvé")</f>
        <v>4.8228650000000002</v>
      </c>
      <c r="G770" s="8">
        <f>IFERROR(VLOOKUP(LOG_RESEAU[[#This Row],[Cell_ID]],Registre_Maintenance!A:D,4,FALSE),"Non trouvé")</f>
        <v>30.555627000000001</v>
      </c>
      <c r="H770" s="6" t="str">
        <f>IFERROR(VLOOKUP(LOG_RESEAU[[#This Row],[Cell_ID]],Registre_Maintenance!A:E,5,FALSE),"Non trouvé")</f>
        <v>4G</v>
      </c>
      <c r="I770" s="6" t="str">
        <f>IFERROR(VLOOKUP(LOG_RESEAU[[#This Row],[Cell_ID]],Registre_Maintenance!A:F,6,FALSE),"Non trouvé")</f>
        <v>Huawei</v>
      </c>
      <c r="J770" s="6" t="str">
        <f t="shared" ref="J770:J833" si="36">IF(ISERROR(SEARCH("Non trouvé",F770)),"OK","Antenne inconnue")</f>
        <v>OK</v>
      </c>
      <c r="K770" s="6">
        <f t="shared" ref="K770:K833" si="37">COUNTIF(A:A,A770)</f>
        <v>8</v>
      </c>
      <c r="L770" s="6">
        <f t="shared" ref="L770:L833" si="38">SUMIF(A:A,A770,C:C)</f>
        <v>442</v>
      </c>
    </row>
    <row r="771" spans="1:12" ht="15.75" x14ac:dyDescent="0.25">
      <c r="A771" s="6" t="s">
        <v>897</v>
      </c>
      <c r="B771" s="7">
        <v>45224.083333333343</v>
      </c>
      <c r="C771" s="6">
        <v>92</v>
      </c>
      <c r="D771" s="6" t="s">
        <v>794</v>
      </c>
      <c r="E771" s="8" t="str">
        <f>IFERROR(VLOOKUP(LOG_RESEAU[[#This Row],[Cell_ID]],Registre_Maintenance!A:B,2,FALSE),"Non trouvé")</f>
        <v>Tanganyika</v>
      </c>
      <c r="F771" s="8">
        <f>IFERROR(VLOOKUP(LOG_RESEAU[[#This Row],[Cell_ID]],Registre_Maintenance!A:C,3,FALSE),"Non trouvé")</f>
        <v>-12.824638999999999</v>
      </c>
      <c r="G771" s="8">
        <f>IFERROR(VLOOKUP(LOG_RESEAU[[#This Row],[Cell_ID]],Registre_Maintenance!A:D,4,FALSE),"Non trouvé")</f>
        <v>24.407249</v>
      </c>
      <c r="H771" s="6" t="str">
        <f>IFERROR(VLOOKUP(LOG_RESEAU[[#This Row],[Cell_ID]],Registre_Maintenance!A:E,5,FALSE),"Non trouvé")</f>
        <v>5G</v>
      </c>
      <c r="I771" s="6" t="str">
        <f>IFERROR(VLOOKUP(LOG_RESEAU[[#This Row],[Cell_ID]],Registre_Maintenance!A:F,6,FALSE),"Non trouvé")</f>
        <v>Huawei</v>
      </c>
      <c r="J771" s="6" t="str">
        <f t="shared" si="36"/>
        <v>OK</v>
      </c>
      <c r="K771" s="6">
        <f t="shared" si="37"/>
        <v>5</v>
      </c>
      <c r="L771" s="6">
        <f t="shared" si="38"/>
        <v>371</v>
      </c>
    </row>
    <row r="772" spans="1:12" ht="15.75" x14ac:dyDescent="0.25">
      <c r="A772" s="6" t="s">
        <v>897</v>
      </c>
      <c r="B772" s="7">
        <v>45211.279861111107</v>
      </c>
      <c r="C772" s="6">
        <v>75</v>
      </c>
      <c r="D772" s="6" t="s">
        <v>792</v>
      </c>
      <c r="E772" s="8" t="str">
        <f>IFERROR(VLOOKUP(LOG_RESEAU[[#This Row],[Cell_ID]],Registre_Maintenance!A:B,2,FALSE),"Non trouvé")</f>
        <v>Tanganyika</v>
      </c>
      <c r="F772" s="8">
        <f>IFERROR(VLOOKUP(LOG_RESEAU[[#This Row],[Cell_ID]],Registre_Maintenance!A:C,3,FALSE),"Non trouvé")</f>
        <v>-12.824638999999999</v>
      </c>
      <c r="G772" s="8">
        <f>IFERROR(VLOOKUP(LOG_RESEAU[[#This Row],[Cell_ID]],Registre_Maintenance!A:D,4,FALSE),"Non trouvé")</f>
        <v>24.407249</v>
      </c>
      <c r="H772" s="6" t="str">
        <f>IFERROR(VLOOKUP(LOG_RESEAU[[#This Row],[Cell_ID]],Registre_Maintenance!A:E,5,FALSE),"Non trouvé")</f>
        <v>5G</v>
      </c>
      <c r="I772" s="6" t="str">
        <f>IFERROR(VLOOKUP(LOG_RESEAU[[#This Row],[Cell_ID]],Registre_Maintenance!A:F,6,FALSE),"Non trouvé")</f>
        <v>Huawei</v>
      </c>
      <c r="J772" s="6" t="str">
        <f t="shared" si="36"/>
        <v>OK</v>
      </c>
      <c r="K772" s="6">
        <f t="shared" si="37"/>
        <v>5</v>
      </c>
      <c r="L772" s="6">
        <f t="shared" si="38"/>
        <v>371</v>
      </c>
    </row>
    <row r="773" spans="1:12" ht="15.75" x14ac:dyDescent="0.25">
      <c r="A773" s="6" t="s">
        <v>897</v>
      </c>
      <c r="B773" s="7">
        <v>45202.659722222219</v>
      </c>
      <c r="C773" s="6">
        <v>104</v>
      </c>
      <c r="D773" s="6" t="s">
        <v>800</v>
      </c>
      <c r="E773" s="8" t="str">
        <f>IFERROR(VLOOKUP(LOG_RESEAU[[#This Row],[Cell_ID]],Registre_Maintenance!A:B,2,FALSE),"Non trouvé")</f>
        <v>Tanganyika</v>
      </c>
      <c r="F773" s="8">
        <f>IFERROR(VLOOKUP(LOG_RESEAU[[#This Row],[Cell_ID]],Registre_Maintenance!A:C,3,FALSE),"Non trouvé")</f>
        <v>-12.824638999999999</v>
      </c>
      <c r="G773" s="8">
        <f>IFERROR(VLOOKUP(LOG_RESEAU[[#This Row],[Cell_ID]],Registre_Maintenance!A:D,4,FALSE),"Non trouvé")</f>
        <v>24.407249</v>
      </c>
      <c r="H773" s="6" t="str">
        <f>IFERROR(VLOOKUP(LOG_RESEAU[[#This Row],[Cell_ID]],Registre_Maintenance!A:E,5,FALSE),"Non trouvé")</f>
        <v>5G</v>
      </c>
      <c r="I773" s="6" t="str">
        <f>IFERROR(VLOOKUP(LOG_RESEAU[[#This Row],[Cell_ID]],Registre_Maintenance!A:F,6,FALSE),"Non trouvé")</f>
        <v>Huawei</v>
      </c>
      <c r="J773" s="6" t="str">
        <f t="shared" si="36"/>
        <v>OK</v>
      </c>
      <c r="K773" s="6">
        <f t="shared" si="37"/>
        <v>5</v>
      </c>
      <c r="L773" s="6">
        <f t="shared" si="38"/>
        <v>371</v>
      </c>
    </row>
    <row r="774" spans="1:12" ht="15.75" x14ac:dyDescent="0.25">
      <c r="A774" s="6" t="s">
        <v>897</v>
      </c>
      <c r="B774" s="7">
        <v>45213.020138888889</v>
      </c>
      <c r="C774" s="6">
        <v>68</v>
      </c>
      <c r="D774" s="6" t="s">
        <v>794</v>
      </c>
      <c r="E774" s="8" t="str">
        <f>IFERROR(VLOOKUP(LOG_RESEAU[[#This Row],[Cell_ID]],Registre_Maintenance!A:B,2,FALSE),"Non trouvé")</f>
        <v>Tanganyika</v>
      </c>
      <c r="F774" s="8">
        <f>IFERROR(VLOOKUP(LOG_RESEAU[[#This Row],[Cell_ID]],Registre_Maintenance!A:C,3,FALSE),"Non trouvé")</f>
        <v>-12.824638999999999</v>
      </c>
      <c r="G774" s="8">
        <f>IFERROR(VLOOKUP(LOG_RESEAU[[#This Row],[Cell_ID]],Registre_Maintenance!A:D,4,FALSE),"Non trouvé")</f>
        <v>24.407249</v>
      </c>
      <c r="H774" s="6" t="str">
        <f>IFERROR(VLOOKUP(LOG_RESEAU[[#This Row],[Cell_ID]],Registre_Maintenance!A:E,5,FALSE),"Non trouvé")</f>
        <v>5G</v>
      </c>
      <c r="I774" s="6" t="str">
        <f>IFERROR(VLOOKUP(LOG_RESEAU[[#This Row],[Cell_ID]],Registre_Maintenance!A:F,6,FALSE),"Non trouvé")</f>
        <v>Huawei</v>
      </c>
      <c r="J774" s="6" t="str">
        <f t="shared" si="36"/>
        <v>OK</v>
      </c>
      <c r="K774" s="6">
        <f t="shared" si="37"/>
        <v>5</v>
      </c>
      <c r="L774" s="6">
        <f t="shared" si="38"/>
        <v>371</v>
      </c>
    </row>
    <row r="775" spans="1:12" ht="15.75" x14ac:dyDescent="0.25">
      <c r="A775" s="6" t="s">
        <v>897</v>
      </c>
      <c r="B775" s="7">
        <v>45211.749305555553</v>
      </c>
      <c r="C775" s="6">
        <v>32</v>
      </c>
      <c r="D775" s="6" t="s">
        <v>794</v>
      </c>
      <c r="E775" s="8" t="str">
        <f>IFERROR(VLOOKUP(LOG_RESEAU[[#This Row],[Cell_ID]],Registre_Maintenance!A:B,2,FALSE),"Non trouvé")</f>
        <v>Tanganyika</v>
      </c>
      <c r="F775" s="8">
        <f>IFERROR(VLOOKUP(LOG_RESEAU[[#This Row],[Cell_ID]],Registre_Maintenance!A:C,3,FALSE),"Non trouvé")</f>
        <v>-12.824638999999999</v>
      </c>
      <c r="G775" s="8">
        <f>IFERROR(VLOOKUP(LOG_RESEAU[[#This Row],[Cell_ID]],Registre_Maintenance!A:D,4,FALSE),"Non trouvé")</f>
        <v>24.407249</v>
      </c>
      <c r="H775" s="6" t="str">
        <f>IFERROR(VLOOKUP(LOG_RESEAU[[#This Row],[Cell_ID]],Registre_Maintenance!A:E,5,FALSE),"Non trouvé")</f>
        <v>5G</v>
      </c>
      <c r="I775" s="6" t="str">
        <f>IFERROR(VLOOKUP(LOG_RESEAU[[#This Row],[Cell_ID]],Registre_Maintenance!A:F,6,FALSE),"Non trouvé")</f>
        <v>Huawei</v>
      </c>
      <c r="J775" s="6" t="str">
        <f t="shared" si="36"/>
        <v>OK</v>
      </c>
      <c r="K775" s="6">
        <f t="shared" si="37"/>
        <v>5</v>
      </c>
      <c r="L775" s="6">
        <f t="shared" si="38"/>
        <v>371</v>
      </c>
    </row>
    <row r="776" spans="1:12" ht="15.75" x14ac:dyDescent="0.25">
      <c r="A776" s="6" t="s">
        <v>930</v>
      </c>
      <c r="B776" s="7">
        <v>45205.816666666673</v>
      </c>
      <c r="C776" s="6">
        <v>111</v>
      </c>
      <c r="D776" s="6" t="s">
        <v>800</v>
      </c>
      <c r="E776" s="8" t="str">
        <f>IFERROR(VLOOKUP(LOG_RESEAU[[#This Row],[Cell_ID]],Registre_Maintenance!A:B,2,FALSE),"Non trouvé")</f>
        <v>Non trouvé</v>
      </c>
      <c r="F776" s="8" t="str">
        <f>IFERROR(VLOOKUP(LOG_RESEAU[[#This Row],[Cell_ID]],Registre_Maintenance!A:C,3,FALSE),"Non trouvé")</f>
        <v>Non trouvé</v>
      </c>
      <c r="G776" s="8" t="str">
        <f>IFERROR(VLOOKUP(LOG_RESEAU[[#This Row],[Cell_ID]],Registre_Maintenance!A:D,4,FALSE),"Non trouvé")</f>
        <v>Non trouvé</v>
      </c>
      <c r="H776" s="6" t="str">
        <f>IFERROR(VLOOKUP(LOG_RESEAU[[#This Row],[Cell_ID]],Registre_Maintenance!A:E,5,FALSE),"Non trouvé")</f>
        <v>Non trouvé</v>
      </c>
      <c r="I776" s="6" t="str">
        <f>IFERROR(VLOOKUP(LOG_RESEAU[[#This Row],[Cell_ID]],Registre_Maintenance!A:F,6,FALSE),"Non trouvé")</f>
        <v>Non trouvé</v>
      </c>
      <c r="J776" s="6" t="str">
        <f t="shared" si="36"/>
        <v>Antenne inconnue</v>
      </c>
      <c r="K776" s="6">
        <f t="shared" si="37"/>
        <v>10</v>
      </c>
      <c r="L776" s="6">
        <f t="shared" si="38"/>
        <v>638</v>
      </c>
    </row>
    <row r="777" spans="1:12" ht="15.75" x14ac:dyDescent="0.25">
      <c r="A777" s="6" t="s">
        <v>930</v>
      </c>
      <c r="B777" s="7">
        <v>45208.82708333333</v>
      </c>
      <c r="C777" s="6">
        <v>39</v>
      </c>
      <c r="D777" s="6" t="s">
        <v>794</v>
      </c>
      <c r="E777" s="8" t="str">
        <f>IFERROR(VLOOKUP(LOG_RESEAU[[#This Row],[Cell_ID]],Registre_Maintenance!A:B,2,FALSE),"Non trouvé")</f>
        <v>Non trouvé</v>
      </c>
      <c r="F777" s="8" t="str">
        <f>IFERROR(VLOOKUP(LOG_RESEAU[[#This Row],[Cell_ID]],Registre_Maintenance!A:C,3,FALSE),"Non trouvé")</f>
        <v>Non trouvé</v>
      </c>
      <c r="G777" s="8" t="str">
        <f>IFERROR(VLOOKUP(LOG_RESEAU[[#This Row],[Cell_ID]],Registre_Maintenance!A:D,4,FALSE),"Non trouvé")</f>
        <v>Non trouvé</v>
      </c>
      <c r="H777" s="6" t="str">
        <f>IFERROR(VLOOKUP(LOG_RESEAU[[#This Row],[Cell_ID]],Registre_Maintenance!A:E,5,FALSE),"Non trouvé")</f>
        <v>Non trouvé</v>
      </c>
      <c r="I777" s="6" t="str">
        <f>IFERROR(VLOOKUP(LOG_RESEAU[[#This Row],[Cell_ID]],Registre_Maintenance!A:F,6,FALSE),"Non trouvé")</f>
        <v>Non trouvé</v>
      </c>
      <c r="J777" s="6" t="str">
        <f t="shared" si="36"/>
        <v>Antenne inconnue</v>
      </c>
      <c r="K777" s="6">
        <f t="shared" si="37"/>
        <v>10</v>
      </c>
      <c r="L777" s="6">
        <f t="shared" si="38"/>
        <v>638</v>
      </c>
    </row>
    <row r="778" spans="1:12" ht="15.75" x14ac:dyDescent="0.25">
      <c r="A778" s="6" t="s">
        <v>930</v>
      </c>
      <c r="B778" s="7">
        <v>45210.488888888889</v>
      </c>
      <c r="C778" s="6">
        <v>117</v>
      </c>
      <c r="D778" s="6" t="s">
        <v>794</v>
      </c>
      <c r="E778" s="8" t="str">
        <f>IFERROR(VLOOKUP(LOG_RESEAU[[#This Row],[Cell_ID]],Registre_Maintenance!A:B,2,FALSE),"Non trouvé")</f>
        <v>Non trouvé</v>
      </c>
      <c r="F778" s="8" t="str">
        <f>IFERROR(VLOOKUP(LOG_RESEAU[[#This Row],[Cell_ID]],Registre_Maintenance!A:C,3,FALSE),"Non trouvé")</f>
        <v>Non trouvé</v>
      </c>
      <c r="G778" s="8" t="str">
        <f>IFERROR(VLOOKUP(LOG_RESEAU[[#This Row],[Cell_ID]],Registre_Maintenance!A:D,4,FALSE),"Non trouvé")</f>
        <v>Non trouvé</v>
      </c>
      <c r="H778" s="6" t="str">
        <f>IFERROR(VLOOKUP(LOG_RESEAU[[#This Row],[Cell_ID]],Registre_Maintenance!A:E,5,FALSE),"Non trouvé")</f>
        <v>Non trouvé</v>
      </c>
      <c r="I778" s="6" t="str">
        <f>IFERROR(VLOOKUP(LOG_RESEAU[[#This Row],[Cell_ID]],Registre_Maintenance!A:F,6,FALSE),"Non trouvé")</f>
        <v>Non trouvé</v>
      </c>
      <c r="J778" s="6" t="str">
        <f t="shared" si="36"/>
        <v>Antenne inconnue</v>
      </c>
      <c r="K778" s="6">
        <f t="shared" si="37"/>
        <v>10</v>
      </c>
      <c r="L778" s="6">
        <f t="shared" si="38"/>
        <v>638</v>
      </c>
    </row>
    <row r="779" spans="1:12" ht="15.75" x14ac:dyDescent="0.25">
      <c r="A779" s="6" t="s">
        <v>930</v>
      </c>
      <c r="B779" s="7">
        <v>45222.194444444453</v>
      </c>
      <c r="C779" s="6">
        <v>68</v>
      </c>
      <c r="D779" s="6" t="s">
        <v>800</v>
      </c>
      <c r="E779" s="8" t="str">
        <f>IFERROR(VLOOKUP(LOG_RESEAU[[#This Row],[Cell_ID]],Registre_Maintenance!A:B,2,FALSE),"Non trouvé")</f>
        <v>Non trouvé</v>
      </c>
      <c r="F779" s="8" t="str">
        <f>IFERROR(VLOOKUP(LOG_RESEAU[[#This Row],[Cell_ID]],Registre_Maintenance!A:C,3,FALSE),"Non trouvé")</f>
        <v>Non trouvé</v>
      </c>
      <c r="G779" s="8" t="str">
        <f>IFERROR(VLOOKUP(LOG_RESEAU[[#This Row],[Cell_ID]],Registre_Maintenance!A:D,4,FALSE),"Non trouvé")</f>
        <v>Non trouvé</v>
      </c>
      <c r="H779" s="6" t="str">
        <f>IFERROR(VLOOKUP(LOG_RESEAU[[#This Row],[Cell_ID]],Registre_Maintenance!A:E,5,FALSE),"Non trouvé")</f>
        <v>Non trouvé</v>
      </c>
      <c r="I779" s="6" t="str">
        <f>IFERROR(VLOOKUP(LOG_RESEAU[[#This Row],[Cell_ID]],Registre_Maintenance!A:F,6,FALSE),"Non trouvé")</f>
        <v>Non trouvé</v>
      </c>
      <c r="J779" s="6" t="str">
        <f t="shared" si="36"/>
        <v>Antenne inconnue</v>
      </c>
      <c r="K779" s="6">
        <f t="shared" si="37"/>
        <v>10</v>
      </c>
      <c r="L779" s="6">
        <f t="shared" si="38"/>
        <v>638</v>
      </c>
    </row>
    <row r="780" spans="1:12" ht="15.75" x14ac:dyDescent="0.25">
      <c r="A780" s="6" t="s">
        <v>930</v>
      </c>
      <c r="B780" s="7" t="s">
        <v>974</v>
      </c>
      <c r="C780" s="6">
        <v>38</v>
      </c>
      <c r="D780" s="6" t="s">
        <v>800</v>
      </c>
      <c r="E780" s="8" t="str">
        <f>IFERROR(VLOOKUP(LOG_RESEAU[[#This Row],[Cell_ID]],Registre_Maintenance!A:B,2,FALSE),"Non trouvé")</f>
        <v>Non trouvé</v>
      </c>
      <c r="F780" s="8" t="str">
        <f>IFERROR(VLOOKUP(LOG_RESEAU[[#This Row],[Cell_ID]],Registre_Maintenance!A:C,3,FALSE),"Non trouvé")</f>
        <v>Non trouvé</v>
      </c>
      <c r="G780" s="8" t="str">
        <f>IFERROR(VLOOKUP(LOG_RESEAU[[#This Row],[Cell_ID]],Registre_Maintenance!A:D,4,FALSE),"Non trouvé")</f>
        <v>Non trouvé</v>
      </c>
      <c r="H780" s="6" t="str">
        <f>IFERROR(VLOOKUP(LOG_RESEAU[[#This Row],[Cell_ID]],Registre_Maintenance!A:E,5,FALSE),"Non trouvé")</f>
        <v>Non trouvé</v>
      </c>
      <c r="I780" s="6" t="str">
        <f>IFERROR(VLOOKUP(LOG_RESEAU[[#This Row],[Cell_ID]],Registre_Maintenance!A:F,6,FALSE),"Non trouvé")</f>
        <v>Non trouvé</v>
      </c>
      <c r="J780" s="6" t="str">
        <f t="shared" si="36"/>
        <v>Antenne inconnue</v>
      </c>
      <c r="K780" s="6">
        <f t="shared" si="37"/>
        <v>10</v>
      </c>
      <c r="L780" s="6">
        <f t="shared" si="38"/>
        <v>638</v>
      </c>
    </row>
    <row r="781" spans="1:12" ht="15.75" x14ac:dyDescent="0.25">
      <c r="A781" s="6" t="s">
        <v>930</v>
      </c>
      <c r="B781" s="7">
        <v>45223.886111111111</v>
      </c>
      <c r="C781" s="6">
        <v>66</v>
      </c>
      <c r="D781" s="6" t="s">
        <v>800</v>
      </c>
      <c r="E781" s="8" t="str">
        <f>IFERROR(VLOOKUP(LOG_RESEAU[[#This Row],[Cell_ID]],Registre_Maintenance!A:B,2,FALSE),"Non trouvé")</f>
        <v>Non trouvé</v>
      </c>
      <c r="F781" s="8" t="str">
        <f>IFERROR(VLOOKUP(LOG_RESEAU[[#This Row],[Cell_ID]],Registre_Maintenance!A:C,3,FALSE),"Non trouvé")</f>
        <v>Non trouvé</v>
      </c>
      <c r="G781" s="8" t="str">
        <f>IFERROR(VLOOKUP(LOG_RESEAU[[#This Row],[Cell_ID]],Registre_Maintenance!A:D,4,FALSE),"Non trouvé")</f>
        <v>Non trouvé</v>
      </c>
      <c r="H781" s="6" t="str">
        <f>IFERROR(VLOOKUP(LOG_RESEAU[[#This Row],[Cell_ID]],Registre_Maintenance!A:E,5,FALSE),"Non trouvé")</f>
        <v>Non trouvé</v>
      </c>
      <c r="I781" s="6" t="str">
        <f>IFERROR(VLOOKUP(LOG_RESEAU[[#This Row],[Cell_ID]],Registre_Maintenance!A:F,6,FALSE),"Non trouvé")</f>
        <v>Non trouvé</v>
      </c>
      <c r="J781" s="6" t="str">
        <f t="shared" si="36"/>
        <v>Antenne inconnue</v>
      </c>
      <c r="K781" s="6">
        <f t="shared" si="37"/>
        <v>10</v>
      </c>
      <c r="L781" s="6">
        <f t="shared" si="38"/>
        <v>638</v>
      </c>
    </row>
    <row r="782" spans="1:12" ht="15.75" x14ac:dyDescent="0.25">
      <c r="A782" s="6" t="s">
        <v>930</v>
      </c>
      <c r="B782" s="7">
        <v>45228.097222222219</v>
      </c>
      <c r="C782" s="6">
        <v>80</v>
      </c>
      <c r="D782" s="6" t="s">
        <v>800</v>
      </c>
      <c r="E782" s="8" t="str">
        <f>IFERROR(VLOOKUP(LOG_RESEAU[[#This Row],[Cell_ID]],Registre_Maintenance!A:B,2,FALSE),"Non trouvé")</f>
        <v>Non trouvé</v>
      </c>
      <c r="F782" s="8" t="str">
        <f>IFERROR(VLOOKUP(LOG_RESEAU[[#This Row],[Cell_ID]],Registre_Maintenance!A:C,3,FALSE),"Non trouvé")</f>
        <v>Non trouvé</v>
      </c>
      <c r="G782" s="8" t="str">
        <f>IFERROR(VLOOKUP(LOG_RESEAU[[#This Row],[Cell_ID]],Registre_Maintenance!A:D,4,FALSE),"Non trouvé")</f>
        <v>Non trouvé</v>
      </c>
      <c r="H782" s="6" t="str">
        <f>IFERROR(VLOOKUP(LOG_RESEAU[[#This Row],[Cell_ID]],Registre_Maintenance!A:E,5,FALSE),"Non trouvé")</f>
        <v>Non trouvé</v>
      </c>
      <c r="I782" s="6" t="str">
        <f>IFERROR(VLOOKUP(LOG_RESEAU[[#This Row],[Cell_ID]],Registre_Maintenance!A:F,6,FALSE),"Non trouvé")</f>
        <v>Non trouvé</v>
      </c>
      <c r="J782" s="6" t="str">
        <f t="shared" si="36"/>
        <v>Antenne inconnue</v>
      </c>
      <c r="K782" s="6">
        <f t="shared" si="37"/>
        <v>10</v>
      </c>
      <c r="L782" s="6">
        <f t="shared" si="38"/>
        <v>638</v>
      </c>
    </row>
    <row r="783" spans="1:12" ht="15.75" x14ac:dyDescent="0.25">
      <c r="A783" s="6" t="s">
        <v>930</v>
      </c>
      <c r="B783" s="7">
        <v>45222.847916666673</v>
      </c>
      <c r="C783" s="6">
        <v>51</v>
      </c>
      <c r="D783" s="6" t="s">
        <v>792</v>
      </c>
      <c r="E783" s="8" t="str">
        <f>IFERROR(VLOOKUP(LOG_RESEAU[[#This Row],[Cell_ID]],Registre_Maintenance!A:B,2,FALSE),"Non trouvé")</f>
        <v>Non trouvé</v>
      </c>
      <c r="F783" s="8" t="str">
        <f>IFERROR(VLOOKUP(LOG_RESEAU[[#This Row],[Cell_ID]],Registre_Maintenance!A:C,3,FALSE),"Non trouvé")</f>
        <v>Non trouvé</v>
      </c>
      <c r="G783" s="8" t="str">
        <f>IFERROR(VLOOKUP(LOG_RESEAU[[#This Row],[Cell_ID]],Registre_Maintenance!A:D,4,FALSE),"Non trouvé")</f>
        <v>Non trouvé</v>
      </c>
      <c r="H783" s="6" t="str">
        <f>IFERROR(VLOOKUP(LOG_RESEAU[[#This Row],[Cell_ID]],Registre_Maintenance!A:E,5,FALSE),"Non trouvé")</f>
        <v>Non trouvé</v>
      </c>
      <c r="I783" s="6" t="str">
        <f>IFERROR(VLOOKUP(LOG_RESEAU[[#This Row],[Cell_ID]],Registre_Maintenance!A:F,6,FALSE),"Non trouvé")</f>
        <v>Non trouvé</v>
      </c>
      <c r="J783" s="6" t="str">
        <f t="shared" si="36"/>
        <v>Antenne inconnue</v>
      </c>
      <c r="K783" s="6">
        <f t="shared" si="37"/>
        <v>10</v>
      </c>
      <c r="L783" s="6">
        <f t="shared" si="38"/>
        <v>638</v>
      </c>
    </row>
    <row r="784" spans="1:12" ht="15.75" x14ac:dyDescent="0.25">
      <c r="A784" s="6" t="s">
        <v>930</v>
      </c>
      <c r="B784" s="7">
        <v>45207.569444444453</v>
      </c>
      <c r="C784" s="6">
        <v>26</v>
      </c>
      <c r="D784" s="6" t="s">
        <v>800</v>
      </c>
      <c r="E784" s="8" t="str">
        <f>IFERROR(VLOOKUP(LOG_RESEAU[[#This Row],[Cell_ID]],Registre_Maintenance!A:B,2,FALSE),"Non trouvé")</f>
        <v>Non trouvé</v>
      </c>
      <c r="F784" s="8" t="str">
        <f>IFERROR(VLOOKUP(LOG_RESEAU[[#This Row],[Cell_ID]],Registre_Maintenance!A:C,3,FALSE),"Non trouvé")</f>
        <v>Non trouvé</v>
      </c>
      <c r="G784" s="8" t="str">
        <f>IFERROR(VLOOKUP(LOG_RESEAU[[#This Row],[Cell_ID]],Registre_Maintenance!A:D,4,FALSE),"Non trouvé")</f>
        <v>Non trouvé</v>
      </c>
      <c r="H784" s="6" t="str">
        <f>IFERROR(VLOOKUP(LOG_RESEAU[[#This Row],[Cell_ID]],Registre_Maintenance!A:E,5,FALSE),"Non trouvé")</f>
        <v>Non trouvé</v>
      </c>
      <c r="I784" s="6" t="str">
        <f>IFERROR(VLOOKUP(LOG_RESEAU[[#This Row],[Cell_ID]],Registre_Maintenance!A:F,6,FALSE),"Non trouvé")</f>
        <v>Non trouvé</v>
      </c>
      <c r="J784" s="6" t="str">
        <f t="shared" si="36"/>
        <v>Antenne inconnue</v>
      </c>
      <c r="K784" s="6">
        <f t="shared" si="37"/>
        <v>10</v>
      </c>
      <c r="L784" s="6">
        <f t="shared" si="38"/>
        <v>638</v>
      </c>
    </row>
    <row r="785" spans="1:12" ht="15.75" x14ac:dyDescent="0.25">
      <c r="A785" s="6" t="s">
        <v>930</v>
      </c>
      <c r="B785" s="7">
        <v>45209.239583333343</v>
      </c>
      <c r="C785" s="6">
        <v>42</v>
      </c>
      <c r="D785" s="6" t="s">
        <v>792</v>
      </c>
      <c r="E785" s="8" t="str">
        <f>IFERROR(VLOOKUP(LOG_RESEAU[[#This Row],[Cell_ID]],Registre_Maintenance!A:B,2,FALSE),"Non trouvé")</f>
        <v>Non trouvé</v>
      </c>
      <c r="F785" s="8" t="str">
        <f>IFERROR(VLOOKUP(LOG_RESEAU[[#This Row],[Cell_ID]],Registre_Maintenance!A:C,3,FALSE),"Non trouvé")</f>
        <v>Non trouvé</v>
      </c>
      <c r="G785" s="8" t="str">
        <f>IFERROR(VLOOKUP(LOG_RESEAU[[#This Row],[Cell_ID]],Registre_Maintenance!A:D,4,FALSE),"Non trouvé")</f>
        <v>Non trouvé</v>
      </c>
      <c r="H785" s="6" t="str">
        <f>IFERROR(VLOOKUP(LOG_RESEAU[[#This Row],[Cell_ID]],Registre_Maintenance!A:E,5,FALSE),"Non trouvé")</f>
        <v>Non trouvé</v>
      </c>
      <c r="I785" s="6" t="str">
        <f>IFERROR(VLOOKUP(LOG_RESEAU[[#This Row],[Cell_ID]],Registre_Maintenance!A:F,6,FALSE),"Non trouvé")</f>
        <v>Non trouvé</v>
      </c>
      <c r="J785" s="6" t="str">
        <f t="shared" si="36"/>
        <v>Antenne inconnue</v>
      </c>
      <c r="K785" s="6">
        <f t="shared" si="37"/>
        <v>10</v>
      </c>
      <c r="L785" s="6">
        <f t="shared" si="38"/>
        <v>638</v>
      </c>
    </row>
    <row r="786" spans="1:12" ht="15.75" x14ac:dyDescent="0.25">
      <c r="A786" s="6" t="s">
        <v>935</v>
      </c>
      <c r="B786" s="7">
        <v>45213.85833333333</v>
      </c>
      <c r="C786" s="6">
        <v>30</v>
      </c>
      <c r="D786" s="6" t="s">
        <v>800</v>
      </c>
      <c r="E786" s="8" t="str">
        <f>IFERROR(VLOOKUP(LOG_RESEAU[[#This Row],[Cell_ID]],Registre_Maintenance!A:B,2,FALSE),"Non trouvé")</f>
        <v>Non trouvé</v>
      </c>
      <c r="F786" s="8" t="str">
        <f>IFERROR(VLOOKUP(LOG_RESEAU[[#This Row],[Cell_ID]],Registre_Maintenance!A:C,3,FALSE),"Non trouvé")</f>
        <v>Non trouvé</v>
      </c>
      <c r="G786" s="8" t="str">
        <f>IFERROR(VLOOKUP(LOG_RESEAU[[#This Row],[Cell_ID]],Registre_Maintenance!A:D,4,FALSE),"Non trouvé")</f>
        <v>Non trouvé</v>
      </c>
      <c r="H786" s="6" t="str">
        <f>IFERROR(VLOOKUP(LOG_RESEAU[[#This Row],[Cell_ID]],Registre_Maintenance!A:E,5,FALSE),"Non trouvé")</f>
        <v>Non trouvé</v>
      </c>
      <c r="I786" s="6" t="str">
        <f>IFERROR(VLOOKUP(LOG_RESEAU[[#This Row],[Cell_ID]],Registre_Maintenance!A:F,6,FALSE),"Non trouvé")</f>
        <v>Non trouvé</v>
      </c>
      <c r="J786" s="6" t="str">
        <f t="shared" si="36"/>
        <v>Antenne inconnue</v>
      </c>
      <c r="K786" s="6">
        <f t="shared" si="37"/>
        <v>5</v>
      </c>
      <c r="L786" s="6">
        <f t="shared" si="38"/>
        <v>233</v>
      </c>
    </row>
    <row r="787" spans="1:12" ht="15.75" x14ac:dyDescent="0.25">
      <c r="A787" s="6" t="s">
        <v>935</v>
      </c>
      <c r="B787" s="7">
        <v>45215.365277777782</v>
      </c>
      <c r="C787" s="6">
        <v>63</v>
      </c>
      <c r="D787" s="6" t="s">
        <v>794</v>
      </c>
      <c r="E787" s="8" t="str">
        <f>IFERROR(VLOOKUP(LOG_RESEAU[[#This Row],[Cell_ID]],Registre_Maintenance!A:B,2,FALSE),"Non trouvé")</f>
        <v>Non trouvé</v>
      </c>
      <c r="F787" s="8" t="str">
        <f>IFERROR(VLOOKUP(LOG_RESEAU[[#This Row],[Cell_ID]],Registre_Maintenance!A:C,3,FALSE),"Non trouvé")</f>
        <v>Non trouvé</v>
      </c>
      <c r="G787" s="8" t="str">
        <f>IFERROR(VLOOKUP(LOG_RESEAU[[#This Row],[Cell_ID]],Registre_Maintenance!A:D,4,FALSE),"Non trouvé")</f>
        <v>Non trouvé</v>
      </c>
      <c r="H787" s="6" t="str">
        <f>IFERROR(VLOOKUP(LOG_RESEAU[[#This Row],[Cell_ID]],Registre_Maintenance!A:E,5,FALSE),"Non trouvé")</f>
        <v>Non trouvé</v>
      </c>
      <c r="I787" s="6" t="str">
        <f>IFERROR(VLOOKUP(LOG_RESEAU[[#This Row],[Cell_ID]],Registre_Maintenance!A:F,6,FALSE),"Non trouvé")</f>
        <v>Non trouvé</v>
      </c>
      <c r="J787" s="6" t="str">
        <f t="shared" si="36"/>
        <v>Antenne inconnue</v>
      </c>
      <c r="K787" s="6">
        <f t="shared" si="37"/>
        <v>5</v>
      </c>
      <c r="L787" s="6">
        <f t="shared" si="38"/>
        <v>233</v>
      </c>
    </row>
    <row r="788" spans="1:12" ht="15.75" x14ac:dyDescent="0.25">
      <c r="A788" s="6" t="s">
        <v>935</v>
      </c>
      <c r="B788" s="7">
        <v>45227.768750000003</v>
      </c>
      <c r="C788" s="6">
        <v>51</v>
      </c>
      <c r="D788" s="6" t="s">
        <v>794</v>
      </c>
      <c r="E788" s="8" t="str">
        <f>IFERROR(VLOOKUP(LOG_RESEAU[[#This Row],[Cell_ID]],Registre_Maintenance!A:B,2,FALSE),"Non trouvé")</f>
        <v>Non trouvé</v>
      </c>
      <c r="F788" s="8" t="str">
        <f>IFERROR(VLOOKUP(LOG_RESEAU[[#This Row],[Cell_ID]],Registre_Maintenance!A:C,3,FALSE),"Non trouvé")</f>
        <v>Non trouvé</v>
      </c>
      <c r="G788" s="8" t="str">
        <f>IFERROR(VLOOKUP(LOG_RESEAU[[#This Row],[Cell_ID]],Registre_Maintenance!A:D,4,FALSE),"Non trouvé")</f>
        <v>Non trouvé</v>
      </c>
      <c r="H788" s="6" t="str">
        <f>IFERROR(VLOOKUP(LOG_RESEAU[[#This Row],[Cell_ID]],Registre_Maintenance!A:E,5,FALSE),"Non trouvé")</f>
        <v>Non trouvé</v>
      </c>
      <c r="I788" s="6" t="str">
        <f>IFERROR(VLOOKUP(LOG_RESEAU[[#This Row],[Cell_ID]],Registre_Maintenance!A:F,6,FALSE),"Non trouvé")</f>
        <v>Non trouvé</v>
      </c>
      <c r="J788" s="6" t="str">
        <f t="shared" si="36"/>
        <v>Antenne inconnue</v>
      </c>
      <c r="K788" s="6">
        <f t="shared" si="37"/>
        <v>5</v>
      </c>
      <c r="L788" s="6">
        <f t="shared" si="38"/>
        <v>233</v>
      </c>
    </row>
    <row r="789" spans="1:12" ht="15.75" x14ac:dyDescent="0.25">
      <c r="A789" s="6" t="s">
        <v>935</v>
      </c>
      <c r="B789" s="7">
        <v>45204.916666666657</v>
      </c>
      <c r="C789" s="6">
        <v>64</v>
      </c>
      <c r="D789" s="6" t="s">
        <v>792</v>
      </c>
      <c r="E789" s="8" t="str">
        <f>IFERROR(VLOOKUP(LOG_RESEAU[[#This Row],[Cell_ID]],Registre_Maintenance!A:B,2,FALSE),"Non trouvé")</f>
        <v>Non trouvé</v>
      </c>
      <c r="F789" s="8" t="str">
        <f>IFERROR(VLOOKUP(LOG_RESEAU[[#This Row],[Cell_ID]],Registre_Maintenance!A:C,3,FALSE),"Non trouvé")</f>
        <v>Non trouvé</v>
      </c>
      <c r="G789" s="8" t="str">
        <f>IFERROR(VLOOKUP(LOG_RESEAU[[#This Row],[Cell_ID]],Registre_Maintenance!A:D,4,FALSE),"Non trouvé")</f>
        <v>Non trouvé</v>
      </c>
      <c r="H789" s="6" t="str">
        <f>IFERROR(VLOOKUP(LOG_RESEAU[[#This Row],[Cell_ID]],Registre_Maintenance!A:E,5,FALSE),"Non trouvé")</f>
        <v>Non trouvé</v>
      </c>
      <c r="I789" s="6" t="str">
        <f>IFERROR(VLOOKUP(LOG_RESEAU[[#This Row],[Cell_ID]],Registre_Maintenance!A:F,6,FALSE),"Non trouvé")</f>
        <v>Non trouvé</v>
      </c>
      <c r="J789" s="6" t="str">
        <f t="shared" si="36"/>
        <v>Antenne inconnue</v>
      </c>
      <c r="K789" s="6">
        <f t="shared" si="37"/>
        <v>5</v>
      </c>
      <c r="L789" s="6">
        <f t="shared" si="38"/>
        <v>233</v>
      </c>
    </row>
    <row r="790" spans="1:12" ht="15.75" x14ac:dyDescent="0.25">
      <c r="A790" s="6" t="s">
        <v>935</v>
      </c>
      <c r="B790" s="7">
        <v>45227.421527777777</v>
      </c>
      <c r="C790" s="6">
        <v>25</v>
      </c>
      <c r="D790" s="6" t="s">
        <v>800</v>
      </c>
      <c r="E790" s="8" t="str">
        <f>IFERROR(VLOOKUP(LOG_RESEAU[[#This Row],[Cell_ID]],Registre_Maintenance!A:B,2,FALSE),"Non trouvé")</f>
        <v>Non trouvé</v>
      </c>
      <c r="F790" s="8" t="str">
        <f>IFERROR(VLOOKUP(LOG_RESEAU[[#This Row],[Cell_ID]],Registre_Maintenance!A:C,3,FALSE),"Non trouvé")</f>
        <v>Non trouvé</v>
      </c>
      <c r="G790" s="8" t="str">
        <f>IFERROR(VLOOKUP(LOG_RESEAU[[#This Row],[Cell_ID]],Registre_Maintenance!A:D,4,FALSE),"Non trouvé")</f>
        <v>Non trouvé</v>
      </c>
      <c r="H790" s="6" t="str">
        <f>IFERROR(VLOOKUP(LOG_RESEAU[[#This Row],[Cell_ID]],Registre_Maintenance!A:E,5,FALSE),"Non trouvé")</f>
        <v>Non trouvé</v>
      </c>
      <c r="I790" s="6" t="str">
        <f>IFERROR(VLOOKUP(LOG_RESEAU[[#This Row],[Cell_ID]],Registre_Maintenance!A:F,6,FALSE),"Non trouvé")</f>
        <v>Non trouvé</v>
      </c>
      <c r="J790" s="6" t="str">
        <f t="shared" si="36"/>
        <v>Antenne inconnue</v>
      </c>
      <c r="K790" s="6">
        <f t="shared" si="37"/>
        <v>5</v>
      </c>
      <c r="L790" s="6">
        <f t="shared" si="38"/>
        <v>233</v>
      </c>
    </row>
    <row r="791" spans="1:12" ht="15.75" x14ac:dyDescent="0.25">
      <c r="A791" s="6" t="s">
        <v>994</v>
      </c>
      <c r="B791" s="7">
        <v>45222.52847222222</v>
      </c>
      <c r="C791" s="6">
        <v>78</v>
      </c>
      <c r="D791" s="6" t="s">
        <v>794</v>
      </c>
      <c r="E791" s="8" t="str">
        <f>IFERROR(VLOOKUP(LOG_RESEAU[[#This Row],[Cell_ID]],Registre_Maintenance!A:B,2,FALSE),"Non trouvé")</f>
        <v>Kasai</v>
      </c>
      <c r="F791" s="8">
        <f>IFERROR(VLOOKUP(LOG_RESEAU[[#This Row],[Cell_ID]],Registre_Maintenance!A:C,3,FALSE),"Non trouvé")</f>
        <v>4.8689660000000003</v>
      </c>
      <c r="G791" s="8">
        <f>IFERROR(VLOOKUP(LOG_RESEAU[[#This Row],[Cell_ID]],Registre_Maintenance!A:D,4,FALSE),"Non trouvé")</f>
        <v>25.112373000000002</v>
      </c>
      <c r="H791" s="6" t="str">
        <f>IFERROR(VLOOKUP(LOG_RESEAU[[#This Row],[Cell_ID]],Registre_Maintenance!A:E,5,FALSE),"Non trouvé")</f>
        <v>3G</v>
      </c>
      <c r="I791" s="6" t="str">
        <f>IFERROR(VLOOKUP(LOG_RESEAU[[#This Row],[Cell_ID]],Registre_Maintenance!A:F,6,FALSE),"Non trouvé")</f>
        <v>Huawei</v>
      </c>
      <c r="J791" s="6" t="str">
        <f t="shared" si="36"/>
        <v>OK</v>
      </c>
      <c r="K791" s="6">
        <f t="shared" si="37"/>
        <v>3</v>
      </c>
      <c r="L791" s="6">
        <f t="shared" si="38"/>
        <v>192</v>
      </c>
    </row>
    <row r="792" spans="1:12" ht="15.75" x14ac:dyDescent="0.25">
      <c r="A792" s="6" t="s">
        <v>994</v>
      </c>
      <c r="B792" s="7">
        <v>45211.316666666673</v>
      </c>
      <c r="C792" s="6">
        <v>96</v>
      </c>
      <c r="D792" s="6" t="s">
        <v>794</v>
      </c>
      <c r="E792" s="8" t="str">
        <f>IFERROR(VLOOKUP(LOG_RESEAU[[#This Row],[Cell_ID]],Registre_Maintenance!A:B,2,FALSE),"Non trouvé")</f>
        <v>Kasai</v>
      </c>
      <c r="F792" s="8">
        <f>IFERROR(VLOOKUP(LOG_RESEAU[[#This Row],[Cell_ID]],Registre_Maintenance!A:C,3,FALSE),"Non trouvé")</f>
        <v>4.8689660000000003</v>
      </c>
      <c r="G792" s="8">
        <f>IFERROR(VLOOKUP(LOG_RESEAU[[#This Row],[Cell_ID]],Registre_Maintenance!A:D,4,FALSE),"Non trouvé")</f>
        <v>25.112373000000002</v>
      </c>
      <c r="H792" s="6" t="str">
        <f>IFERROR(VLOOKUP(LOG_RESEAU[[#This Row],[Cell_ID]],Registre_Maintenance!A:E,5,FALSE),"Non trouvé")</f>
        <v>3G</v>
      </c>
      <c r="I792" s="6" t="str">
        <f>IFERROR(VLOOKUP(LOG_RESEAU[[#This Row],[Cell_ID]],Registre_Maintenance!A:F,6,FALSE),"Non trouvé")</f>
        <v>Huawei</v>
      </c>
      <c r="J792" s="6" t="str">
        <f t="shared" si="36"/>
        <v>OK</v>
      </c>
      <c r="K792" s="6">
        <f t="shared" si="37"/>
        <v>3</v>
      </c>
      <c r="L792" s="6">
        <f t="shared" si="38"/>
        <v>192</v>
      </c>
    </row>
    <row r="793" spans="1:12" ht="15.75" x14ac:dyDescent="0.25">
      <c r="A793" s="6" t="s">
        <v>994</v>
      </c>
      <c r="B793" s="7">
        <v>45205.169444444437</v>
      </c>
      <c r="C793" s="6">
        <v>18</v>
      </c>
      <c r="D793" s="6" t="s">
        <v>800</v>
      </c>
      <c r="E793" s="8" t="str">
        <f>IFERROR(VLOOKUP(LOG_RESEAU[[#This Row],[Cell_ID]],Registre_Maintenance!A:B,2,FALSE),"Non trouvé")</f>
        <v>Kasai</v>
      </c>
      <c r="F793" s="8">
        <f>IFERROR(VLOOKUP(LOG_RESEAU[[#This Row],[Cell_ID]],Registre_Maintenance!A:C,3,FALSE),"Non trouvé")</f>
        <v>4.8689660000000003</v>
      </c>
      <c r="G793" s="8">
        <f>IFERROR(VLOOKUP(LOG_RESEAU[[#This Row],[Cell_ID]],Registre_Maintenance!A:D,4,FALSE),"Non trouvé")</f>
        <v>25.112373000000002</v>
      </c>
      <c r="H793" s="6" t="str">
        <f>IFERROR(VLOOKUP(LOG_RESEAU[[#This Row],[Cell_ID]],Registre_Maintenance!A:E,5,FALSE),"Non trouvé")</f>
        <v>3G</v>
      </c>
      <c r="I793" s="6" t="str">
        <f>IFERROR(VLOOKUP(LOG_RESEAU[[#This Row],[Cell_ID]],Registre_Maintenance!A:F,6,FALSE),"Non trouvé")</f>
        <v>Huawei</v>
      </c>
      <c r="J793" s="6" t="str">
        <f t="shared" si="36"/>
        <v>OK</v>
      </c>
      <c r="K793" s="6">
        <f t="shared" si="37"/>
        <v>3</v>
      </c>
      <c r="L793" s="6">
        <f t="shared" si="38"/>
        <v>192</v>
      </c>
    </row>
    <row r="794" spans="1:12" ht="15.75" x14ac:dyDescent="0.25">
      <c r="A794" s="6" t="s">
        <v>870</v>
      </c>
      <c r="B794" s="7">
        <v>45210.105555555558</v>
      </c>
      <c r="C794" s="6">
        <v>9</v>
      </c>
      <c r="D794" s="6" t="s">
        <v>794</v>
      </c>
      <c r="E794" s="8" t="str">
        <f>IFERROR(VLOOKUP(LOG_RESEAU[[#This Row],[Cell_ID]],Registre_Maintenance!A:B,2,FALSE),"Non trouvé")</f>
        <v>Non trouvé</v>
      </c>
      <c r="F794" s="8" t="str">
        <f>IFERROR(VLOOKUP(LOG_RESEAU[[#This Row],[Cell_ID]],Registre_Maintenance!A:C,3,FALSE),"Non trouvé")</f>
        <v>Non trouvé</v>
      </c>
      <c r="G794" s="8" t="str">
        <f>IFERROR(VLOOKUP(LOG_RESEAU[[#This Row],[Cell_ID]],Registre_Maintenance!A:D,4,FALSE),"Non trouvé")</f>
        <v>Non trouvé</v>
      </c>
      <c r="H794" s="6" t="str">
        <f>IFERROR(VLOOKUP(LOG_RESEAU[[#This Row],[Cell_ID]],Registre_Maintenance!A:E,5,FALSE),"Non trouvé")</f>
        <v>Non trouvé</v>
      </c>
      <c r="I794" s="6" t="str">
        <f>IFERROR(VLOOKUP(LOG_RESEAU[[#This Row],[Cell_ID]],Registre_Maintenance!A:F,6,FALSE),"Non trouvé")</f>
        <v>Non trouvé</v>
      </c>
      <c r="J794" s="6" t="str">
        <f t="shared" si="36"/>
        <v>Antenne inconnue</v>
      </c>
      <c r="K794" s="6">
        <f t="shared" si="37"/>
        <v>6</v>
      </c>
      <c r="L794" s="6">
        <f t="shared" si="38"/>
        <v>357</v>
      </c>
    </row>
    <row r="795" spans="1:12" ht="15.75" x14ac:dyDescent="0.25">
      <c r="A795" s="6" t="s">
        <v>870</v>
      </c>
      <c r="B795" s="7">
        <v>45215.273611111108</v>
      </c>
      <c r="C795" s="6">
        <v>24</v>
      </c>
      <c r="D795" s="6" t="s">
        <v>794</v>
      </c>
      <c r="E795" s="8" t="str">
        <f>IFERROR(VLOOKUP(LOG_RESEAU[[#This Row],[Cell_ID]],Registre_Maintenance!A:B,2,FALSE),"Non trouvé")</f>
        <v>Non trouvé</v>
      </c>
      <c r="F795" s="8" t="str">
        <f>IFERROR(VLOOKUP(LOG_RESEAU[[#This Row],[Cell_ID]],Registre_Maintenance!A:C,3,FALSE),"Non trouvé")</f>
        <v>Non trouvé</v>
      </c>
      <c r="G795" s="8" t="str">
        <f>IFERROR(VLOOKUP(LOG_RESEAU[[#This Row],[Cell_ID]],Registre_Maintenance!A:D,4,FALSE),"Non trouvé")</f>
        <v>Non trouvé</v>
      </c>
      <c r="H795" s="6" t="str">
        <f>IFERROR(VLOOKUP(LOG_RESEAU[[#This Row],[Cell_ID]],Registre_Maintenance!A:E,5,FALSE),"Non trouvé")</f>
        <v>Non trouvé</v>
      </c>
      <c r="I795" s="6" t="str">
        <f>IFERROR(VLOOKUP(LOG_RESEAU[[#This Row],[Cell_ID]],Registre_Maintenance!A:F,6,FALSE),"Non trouvé")</f>
        <v>Non trouvé</v>
      </c>
      <c r="J795" s="6" t="str">
        <f t="shared" si="36"/>
        <v>Antenne inconnue</v>
      </c>
      <c r="K795" s="6">
        <f t="shared" si="37"/>
        <v>6</v>
      </c>
      <c r="L795" s="6">
        <f t="shared" si="38"/>
        <v>357</v>
      </c>
    </row>
    <row r="796" spans="1:12" ht="15.75" x14ac:dyDescent="0.25">
      <c r="A796" s="6" t="s">
        <v>870</v>
      </c>
      <c r="B796" s="7">
        <v>45210.145138888889</v>
      </c>
      <c r="C796" s="6">
        <v>116</v>
      </c>
      <c r="D796" s="6" t="s">
        <v>794</v>
      </c>
      <c r="E796" s="8" t="str">
        <f>IFERROR(VLOOKUP(LOG_RESEAU[[#This Row],[Cell_ID]],Registre_Maintenance!A:B,2,FALSE),"Non trouvé")</f>
        <v>Non trouvé</v>
      </c>
      <c r="F796" s="8" t="str">
        <f>IFERROR(VLOOKUP(LOG_RESEAU[[#This Row],[Cell_ID]],Registre_Maintenance!A:C,3,FALSE),"Non trouvé")</f>
        <v>Non trouvé</v>
      </c>
      <c r="G796" s="8" t="str">
        <f>IFERROR(VLOOKUP(LOG_RESEAU[[#This Row],[Cell_ID]],Registre_Maintenance!A:D,4,FALSE),"Non trouvé")</f>
        <v>Non trouvé</v>
      </c>
      <c r="H796" s="6" t="str">
        <f>IFERROR(VLOOKUP(LOG_RESEAU[[#This Row],[Cell_ID]],Registre_Maintenance!A:E,5,FALSE),"Non trouvé")</f>
        <v>Non trouvé</v>
      </c>
      <c r="I796" s="6" t="str">
        <f>IFERROR(VLOOKUP(LOG_RESEAU[[#This Row],[Cell_ID]],Registre_Maintenance!A:F,6,FALSE),"Non trouvé")</f>
        <v>Non trouvé</v>
      </c>
      <c r="J796" s="6" t="str">
        <f t="shared" si="36"/>
        <v>Antenne inconnue</v>
      </c>
      <c r="K796" s="6">
        <f t="shared" si="37"/>
        <v>6</v>
      </c>
      <c r="L796" s="6">
        <f t="shared" si="38"/>
        <v>357</v>
      </c>
    </row>
    <row r="797" spans="1:12" ht="15.75" x14ac:dyDescent="0.25">
      <c r="A797" s="6" t="s">
        <v>870</v>
      </c>
      <c r="B797" s="7">
        <v>45202.086805555547</v>
      </c>
      <c r="C797" s="6">
        <v>22</v>
      </c>
      <c r="D797" s="6" t="s">
        <v>794</v>
      </c>
      <c r="E797" s="8" t="str">
        <f>IFERROR(VLOOKUP(LOG_RESEAU[[#This Row],[Cell_ID]],Registre_Maintenance!A:B,2,FALSE),"Non trouvé")</f>
        <v>Non trouvé</v>
      </c>
      <c r="F797" s="8" t="str">
        <f>IFERROR(VLOOKUP(LOG_RESEAU[[#This Row],[Cell_ID]],Registre_Maintenance!A:C,3,FALSE),"Non trouvé")</f>
        <v>Non trouvé</v>
      </c>
      <c r="G797" s="8" t="str">
        <f>IFERROR(VLOOKUP(LOG_RESEAU[[#This Row],[Cell_ID]],Registre_Maintenance!A:D,4,FALSE),"Non trouvé")</f>
        <v>Non trouvé</v>
      </c>
      <c r="H797" s="6" t="str">
        <f>IFERROR(VLOOKUP(LOG_RESEAU[[#This Row],[Cell_ID]],Registre_Maintenance!A:E,5,FALSE),"Non trouvé")</f>
        <v>Non trouvé</v>
      </c>
      <c r="I797" s="6" t="str">
        <f>IFERROR(VLOOKUP(LOG_RESEAU[[#This Row],[Cell_ID]],Registre_Maintenance!A:F,6,FALSE),"Non trouvé")</f>
        <v>Non trouvé</v>
      </c>
      <c r="J797" s="6" t="str">
        <f t="shared" si="36"/>
        <v>Antenne inconnue</v>
      </c>
      <c r="K797" s="6">
        <f t="shared" si="37"/>
        <v>6</v>
      </c>
      <c r="L797" s="6">
        <f t="shared" si="38"/>
        <v>357</v>
      </c>
    </row>
    <row r="798" spans="1:12" ht="15.75" x14ac:dyDescent="0.25">
      <c r="A798" s="6" t="s">
        <v>870</v>
      </c>
      <c r="B798" s="7">
        <v>45220.805555555547</v>
      </c>
      <c r="C798" s="6">
        <v>83</v>
      </c>
      <c r="D798" s="6" t="s">
        <v>800</v>
      </c>
      <c r="E798" s="8" t="str">
        <f>IFERROR(VLOOKUP(LOG_RESEAU[[#This Row],[Cell_ID]],Registre_Maintenance!A:B,2,FALSE),"Non trouvé")</f>
        <v>Non trouvé</v>
      </c>
      <c r="F798" s="8" t="str">
        <f>IFERROR(VLOOKUP(LOG_RESEAU[[#This Row],[Cell_ID]],Registre_Maintenance!A:C,3,FALSE),"Non trouvé")</f>
        <v>Non trouvé</v>
      </c>
      <c r="G798" s="8" t="str">
        <f>IFERROR(VLOOKUP(LOG_RESEAU[[#This Row],[Cell_ID]],Registre_Maintenance!A:D,4,FALSE),"Non trouvé")</f>
        <v>Non trouvé</v>
      </c>
      <c r="H798" s="6" t="str">
        <f>IFERROR(VLOOKUP(LOG_RESEAU[[#This Row],[Cell_ID]],Registre_Maintenance!A:E,5,FALSE),"Non trouvé")</f>
        <v>Non trouvé</v>
      </c>
      <c r="I798" s="6" t="str">
        <f>IFERROR(VLOOKUP(LOG_RESEAU[[#This Row],[Cell_ID]],Registre_Maintenance!A:F,6,FALSE),"Non trouvé")</f>
        <v>Non trouvé</v>
      </c>
      <c r="J798" s="6" t="str">
        <f t="shared" si="36"/>
        <v>Antenne inconnue</v>
      </c>
      <c r="K798" s="6">
        <f t="shared" si="37"/>
        <v>6</v>
      </c>
      <c r="L798" s="6">
        <f t="shared" si="38"/>
        <v>357</v>
      </c>
    </row>
    <row r="799" spans="1:12" ht="15.75" x14ac:dyDescent="0.25">
      <c r="A799" s="6" t="s">
        <v>870</v>
      </c>
      <c r="B799" s="7">
        <v>45207.17291666667</v>
      </c>
      <c r="C799" s="6">
        <v>103</v>
      </c>
      <c r="D799" s="6" t="s">
        <v>794</v>
      </c>
      <c r="E799" s="8" t="str">
        <f>IFERROR(VLOOKUP(LOG_RESEAU[[#This Row],[Cell_ID]],Registre_Maintenance!A:B,2,FALSE),"Non trouvé")</f>
        <v>Non trouvé</v>
      </c>
      <c r="F799" s="8" t="str">
        <f>IFERROR(VLOOKUP(LOG_RESEAU[[#This Row],[Cell_ID]],Registre_Maintenance!A:C,3,FALSE),"Non trouvé")</f>
        <v>Non trouvé</v>
      </c>
      <c r="G799" s="8" t="str">
        <f>IFERROR(VLOOKUP(LOG_RESEAU[[#This Row],[Cell_ID]],Registre_Maintenance!A:D,4,FALSE),"Non trouvé")</f>
        <v>Non trouvé</v>
      </c>
      <c r="H799" s="6" t="str">
        <f>IFERROR(VLOOKUP(LOG_RESEAU[[#This Row],[Cell_ID]],Registre_Maintenance!A:E,5,FALSE),"Non trouvé")</f>
        <v>Non trouvé</v>
      </c>
      <c r="I799" s="6" t="str">
        <f>IFERROR(VLOOKUP(LOG_RESEAU[[#This Row],[Cell_ID]],Registre_Maintenance!A:F,6,FALSE),"Non trouvé")</f>
        <v>Non trouvé</v>
      </c>
      <c r="J799" s="6" t="str">
        <f t="shared" si="36"/>
        <v>Antenne inconnue</v>
      </c>
      <c r="K799" s="6">
        <f t="shared" si="37"/>
        <v>6</v>
      </c>
      <c r="L799" s="6">
        <f t="shared" si="38"/>
        <v>357</v>
      </c>
    </row>
    <row r="800" spans="1:12" ht="15.75" x14ac:dyDescent="0.25">
      <c r="A800" s="6" t="s">
        <v>797</v>
      </c>
      <c r="B800" s="7">
        <v>45228.711805555547</v>
      </c>
      <c r="C800" s="6">
        <v>9</v>
      </c>
      <c r="D800" s="6" t="s">
        <v>794</v>
      </c>
      <c r="E800" s="8" t="str">
        <f>IFERROR(VLOOKUP(LOG_RESEAU[[#This Row],[Cell_ID]],Registre_Maintenance!A:B,2,FALSE),"Non trouvé")</f>
        <v>Kwango</v>
      </c>
      <c r="F800" s="8">
        <f>IFERROR(VLOOKUP(LOG_RESEAU[[#This Row],[Cell_ID]],Registre_Maintenance!A:C,3,FALSE),"Non trouvé")</f>
        <v>-9.8995180000000005</v>
      </c>
      <c r="G800" s="8">
        <f>IFERROR(VLOOKUP(LOG_RESEAU[[#This Row],[Cell_ID]],Registre_Maintenance!A:D,4,FALSE),"Non trouvé")</f>
        <v>24.156687999999999</v>
      </c>
      <c r="H800" s="6" t="str">
        <f>IFERROR(VLOOKUP(LOG_RESEAU[[#This Row],[Cell_ID]],Registre_Maintenance!A:E,5,FALSE),"Non trouvé")</f>
        <v>4G</v>
      </c>
      <c r="I800" s="6" t="str">
        <f>IFERROR(VLOOKUP(LOG_RESEAU[[#This Row],[Cell_ID]],Registre_Maintenance!A:F,6,FALSE),"Non trouvé")</f>
        <v>Ericsson</v>
      </c>
      <c r="J800" s="6" t="str">
        <f t="shared" si="36"/>
        <v>OK</v>
      </c>
      <c r="K800" s="6">
        <f t="shared" si="37"/>
        <v>3</v>
      </c>
      <c r="L800" s="6">
        <f t="shared" si="38"/>
        <v>196</v>
      </c>
    </row>
    <row r="801" spans="1:12" ht="15.75" x14ac:dyDescent="0.25">
      <c r="A801" s="6" t="s">
        <v>797</v>
      </c>
      <c r="B801" s="7">
        <v>45225.965277777781</v>
      </c>
      <c r="C801" s="6">
        <v>95</v>
      </c>
      <c r="D801" s="6" t="s">
        <v>800</v>
      </c>
      <c r="E801" s="8" t="str">
        <f>IFERROR(VLOOKUP(LOG_RESEAU[[#This Row],[Cell_ID]],Registre_Maintenance!A:B,2,FALSE),"Non trouvé")</f>
        <v>Kwango</v>
      </c>
      <c r="F801" s="8">
        <f>IFERROR(VLOOKUP(LOG_RESEAU[[#This Row],[Cell_ID]],Registre_Maintenance!A:C,3,FALSE),"Non trouvé")</f>
        <v>-9.8995180000000005</v>
      </c>
      <c r="G801" s="8">
        <f>IFERROR(VLOOKUP(LOG_RESEAU[[#This Row],[Cell_ID]],Registre_Maintenance!A:D,4,FALSE),"Non trouvé")</f>
        <v>24.156687999999999</v>
      </c>
      <c r="H801" s="6" t="str">
        <f>IFERROR(VLOOKUP(LOG_RESEAU[[#This Row],[Cell_ID]],Registre_Maintenance!A:E,5,FALSE),"Non trouvé")</f>
        <v>4G</v>
      </c>
      <c r="I801" s="6" t="str">
        <f>IFERROR(VLOOKUP(LOG_RESEAU[[#This Row],[Cell_ID]],Registre_Maintenance!A:F,6,FALSE),"Non trouvé")</f>
        <v>Ericsson</v>
      </c>
      <c r="J801" s="6" t="str">
        <f t="shared" si="36"/>
        <v>OK</v>
      </c>
      <c r="K801" s="6">
        <f t="shared" si="37"/>
        <v>3</v>
      </c>
      <c r="L801" s="6">
        <f t="shared" si="38"/>
        <v>196</v>
      </c>
    </row>
    <row r="802" spans="1:12" ht="15.75" x14ac:dyDescent="0.25">
      <c r="A802" s="6" t="s">
        <v>797</v>
      </c>
      <c r="B802" s="7">
        <v>45230.196527777778</v>
      </c>
      <c r="C802" s="6">
        <v>92</v>
      </c>
      <c r="D802" s="6" t="s">
        <v>794</v>
      </c>
      <c r="E802" s="8" t="str">
        <f>IFERROR(VLOOKUP(LOG_RESEAU[[#This Row],[Cell_ID]],Registre_Maintenance!A:B,2,FALSE),"Non trouvé")</f>
        <v>Kwango</v>
      </c>
      <c r="F802" s="8">
        <f>IFERROR(VLOOKUP(LOG_RESEAU[[#This Row],[Cell_ID]],Registre_Maintenance!A:C,3,FALSE),"Non trouvé")</f>
        <v>-9.8995180000000005</v>
      </c>
      <c r="G802" s="8">
        <f>IFERROR(VLOOKUP(LOG_RESEAU[[#This Row],[Cell_ID]],Registre_Maintenance!A:D,4,FALSE),"Non trouvé")</f>
        <v>24.156687999999999</v>
      </c>
      <c r="H802" s="6" t="str">
        <f>IFERROR(VLOOKUP(LOG_RESEAU[[#This Row],[Cell_ID]],Registre_Maintenance!A:E,5,FALSE),"Non trouvé")</f>
        <v>4G</v>
      </c>
      <c r="I802" s="6" t="str">
        <f>IFERROR(VLOOKUP(LOG_RESEAU[[#This Row],[Cell_ID]],Registre_Maintenance!A:F,6,FALSE),"Non trouvé")</f>
        <v>Ericsson</v>
      </c>
      <c r="J802" s="6" t="str">
        <f t="shared" si="36"/>
        <v>OK</v>
      </c>
      <c r="K802" s="6">
        <f t="shared" si="37"/>
        <v>3</v>
      </c>
      <c r="L802" s="6">
        <f t="shared" si="38"/>
        <v>196</v>
      </c>
    </row>
    <row r="803" spans="1:12" ht="15.75" x14ac:dyDescent="0.25">
      <c r="A803" s="6" t="s">
        <v>932</v>
      </c>
      <c r="B803" s="7">
        <v>45206.6875</v>
      </c>
      <c r="C803" s="6">
        <v>46</v>
      </c>
      <c r="D803" s="6" t="s">
        <v>792</v>
      </c>
      <c r="E803" s="8" t="str">
        <f>IFERROR(VLOOKUP(LOG_RESEAU[[#This Row],[Cell_ID]],Registre_Maintenance!A:B,2,FALSE),"Non trouvé")</f>
        <v>Lualaba</v>
      </c>
      <c r="F803" s="8">
        <f>IFERROR(VLOOKUP(LOG_RESEAU[[#This Row],[Cell_ID]],Registre_Maintenance!A:C,3,FALSE),"Non trouvé")</f>
        <v>-1.7476179999999999</v>
      </c>
      <c r="G803" s="8">
        <f>IFERROR(VLOOKUP(LOG_RESEAU[[#This Row],[Cell_ID]],Registre_Maintenance!A:D,4,FALSE),"Non trouvé")</f>
        <v>18.129401000000001</v>
      </c>
      <c r="H803" s="6" t="str">
        <f>IFERROR(VLOOKUP(LOG_RESEAU[[#This Row],[Cell_ID]],Registre_Maintenance!A:E,5,FALSE),"Non trouvé")</f>
        <v>4G</v>
      </c>
      <c r="I803" s="6" t="str">
        <f>IFERROR(VLOOKUP(LOG_RESEAU[[#This Row],[Cell_ID]],Registre_Maintenance!A:F,6,FALSE),"Non trouvé")</f>
        <v>Ericsson</v>
      </c>
      <c r="J803" s="6" t="str">
        <f t="shared" si="36"/>
        <v>OK</v>
      </c>
      <c r="K803" s="6">
        <f t="shared" si="37"/>
        <v>3</v>
      </c>
      <c r="L803" s="6">
        <f t="shared" si="38"/>
        <v>79</v>
      </c>
    </row>
    <row r="804" spans="1:12" ht="15.75" x14ac:dyDescent="0.25">
      <c r="A804" s="6" t="s">
        <v>932</v>
      </c>
      <c r="B804" s="7">
        <v>45210.445833333331</v>
      </c>
      <c r="C804" s="6">
        <v>10</v>
      </c>
      <c r="D804" s="6" t="s">
        <v>794</v>
      </c>
      <c r="E804" s="8" t="str">
        <f>IFERROR(VLOOKUP(LOG_RESEAU[[#This Row],[Cell_ID]],Registre_Maintenance!A:B,2,FALSE),"Non trouvé")</f>
        <v>Lualaba</v>
      </c>
      <c r="F804" s="8">
        <f>IFERROR(VLOOKUP(LOG_RESEAU[[#This Row],[Cell_ID]],Registre_Maintenance!A:C,3,FALSE),"Non trouvé")</f>
        <v>-1.7476179999999999</v>
      </c>
      <c r="G804" s="8">
        <f>IFERROR(VLOOKUP(LOG_RESEAU[[#This Row],[Cell_ID]],Registre_Maintenance!A:D,4,FALSE),"Non trouvé")</f>
        <v>18.129401000000001</v>
      </c>
      <c r="H804" s="6" t="str">
        <f>IFERROR(VLOOKUP(LOG_RESEAU[[#This Row],[Cell_ID]],Registre_Maintenance!A:E,5,FALSE),"Non trouvé")</f>
        <v>4G</v>
      </c>
      <c r="I804" s="6" t="str">
        <f>IFERROR(VLOOKUP(LOG_RESEAU[[#This Row],[Cell_ID]],Registre_Maintenance!A:F,6,FALSE),"Non trouvé")</f>
        <v>Ericsson</v>
      </c>
      <c r="J804" s="6" t="str">
        <f t="shared" si="36"/>
        <v>OK</v>
      </c>
      <c r="K804" s="6">
        <f t="shared" si="37"/>
        <v>3</v>
      </c>
      <c r="L804" s="6">
        <f t="shared" si="38"/>
        <v>79</v>
      </c>
    </row>
    <row r="805" spans="1:12" ht="15.75" x14ac:dyDescent="0.25">
      <c r="A805" s="6" t="s">
        <v>932</v>
      </c>
      <c r="B805" s="7">
        <v>45218.286111111112</v>
      </c>
      <c r="C805" s="6">
        <v>23</v>
      </c>
      <c r="D805" s="6" t="s">
        <v>792</v>
      </c>
      <c r="E805" s="8" t="str">
        <f>IFERROR(VLOOKUP(LOG_RESEAU[[#This Row],[Cell_ID]],Registre_Maintenance!A:B,2,FALSE),"Non trouvé")</f>
        <v>Lualaba</v>
      </c>
      <c r="F805" s="8">
        <f>IFERROR(VLOOKUP(LOG_RESEAU[[#This Row],[Cell_ID]],Registre_Maintenance!A:C,3,FALSE),"Non trouvé")</f>
        <v>-1.7476179999999999</v>
      </c>
      <c r="G805" s="8">
        <f>IFERROR(VLOOKUP(LOG_RESEAU[[#This Row],[Cell_ID]],Registre_Maintenance!A:D,4,FALSE),"Non trouvé")</f>
        <v>18.129401000000001</v>
      </c>
      <c r="H805" s="6" t="str">
        <f>IFERROR(VLOOKUP(LOG_RESEAU[[#This Row],[Cell_ID]],Registre_Maintenance!A:E,5,FALSE),"Non trouvé")</f>
        <v>4G</v>
      </c>
      <c r="I805" s="6" t="str">
        <f>IFERROR(VLOOKUP(LOG_RESEAU[[#This Row],[Cell_ID]],Registre_Maintenance!A:F,6,FALSE),"Non trouvé")</f>
        <v>Ericsson</v>
      </c>
      <c r="J805" s="6" t="str">
        <f t="shared" si="36"/>
        <v>OK</v>
      </c>
      <c r="K805" s="6">
        <f t="shared" si="37"/>
        <v>3</v>
      </c>
      <c r="L805" s="6">
        <f t="shared" si="38"/>
        <v>79</v>
      </c>
    </row>
    <row r="806" spans="1:12" ht="15.75" x14ac:dyDescent="0.25">
      <c r="A806" s="6" t="s">
        <v>909</v>
      </c>
      <c r="B806" s="7">
        <v>45217.185416666667</v>
      </c>
      <c r="C806" s="6">
        <v>68</v>
      </c>
      <c r="D806" s="6" t="s">
        <v>800</v>
      </c>
      <c r="E806" s="8" t="str">
        <f>IFERROR(VLOOKUP(LOG_RESEAU[[#This Row],[Cell_ID]],Registre_Maintenance!A:B,2,FALSE),"Non trouvé")</f>
        <v>Kongo-Central</v>
      </c>
      <c r="F806" s="8">
        <f>IFERROR(VLOOKUP(LOG_RESEAU[[#This Row],[Cell_ID]],Registre_Maintenance!A:C,3,FALSE),"Non trouvé")</f>
        <v>-4.9108280000000004</v>
      </c>
      <c r="G806" s="8">
        <f>IFERROR(VLOOKUP(LOG_RESEAU[[#This Row],[Cell_ID]],Registre_Maintenance!A:D,4,FALSE),"Non trouvé")</f>
        <v>17.670389</v>
      </c>
      <c r="H806" s="6" t="str">
        <f>IFERROR(VLOOKUP(LOG_RESEAU[[#This Row],[Cell_ID]],Registre_Maintenance!A:E,5,FALSE),"Non trouvé")</f>
        <v>5G</v>
      </c>
      <c r="I806" s="6" t="str">
        <f>IFERROR(VLOOKUP(LOG_RESEAU[[#This Row],[Cell_ID]],Registre_Maintenance!A:F,6,FALSE),"Non trouvé")</f>
        <v>ZTE</v>
      </c>
      <c r="J806" s="6" t="str">
        <f t="shared" si="36"/>
        <v>OK</v>
      </c>
      <c r="K806" s="6">
        <f t="shared" si="37"/>
        <v>4</v>
      </c>
      <c r="L806" s="6">
        <f t="shared" si="38"/>
        <v>212</v>
      </c>
    </row>
    <row r="807" spans="1:12" ht="15.75" x14ac:dyDescent="0.25">
      <c r="A807" s="6" t="s">
        <v>909</v>
      </c>
      <c r="B807" s="7">
        <v>45226.100694444453</v>
      </c>
      <c r="C807" s="6">
        <v>41</v>
      </c>
      <c r="D807" s="6" t="s">
        <v>792</v>
      </c>
      <c r="E807" s="8" t="str">
        <f>IFERROR(VLOOKUP(LOG_RESEAU[[#This Row],[Cell_ID]],Registre_Maintenance!A:B,2,FALSE),"Non trouvé")</f>
        <v>Kongo-Central</v>
      </c>
      <c r="F807" s="8">
        <f>IFERROR(VLOOKUP(LOG_RESEAU[[#This Row],[Cell_ID]],Registre_Maintenance!A:C,3,FALSE),"Non trouvé")</f>
        <v>-4.9108280000000004</v>
      </c>
      <c r="G807" s="8">
        <f>IFERROR(VLOOKUP(LOG_RESEAU[[#This Row],[Cell_ID]],Registre_Maintenance!A:D,4,FALSE),"Non trouvé")</f>
        <v>17.670389</v>
      </c>
      <c r="H807" s="6" t="str">
        <f>IFERROR(VLOOKUP(LOG_RESEAU[[#This Row],[Cell_ID]],Registre_Maintenance!A:E,5,FALSE),"Non trouvé")</f>
        <v>5G</v>
      </c>
      <c r="I807" s="6" t="str">
        <f>IFERROR(VLOOKUP(LOG_RESEAU[[#This Row],[Cell_ID]],Registre_Maintenance!A:F,6,FALSE),"Non trouvé")</f>
        <v>ZTE</v>
      </c>
      <c r="J807" s="6" t="str">
        <f t="shared" si="36"/>
        <v>OK</v>
      </c>
      <c r="K807" s="6">
        <f t="shared" si="37"/>
        <v>4</v>
      </c>
      <c r="L807" s="6">
        <f t="shared" si="38"/>
        <v>212</v>
      </c>
    </row>
    <row r="808" spans="1:12" ht="15.75" x14ac:dyDescent="0.25">
      <c r="A808" s="6" t="s">
        <v>909</v>
      </c>
      <c r="B808" s="7">
        <v>45229.960416666669</v>
      </c>
      <c r="C808" s="6">
        <v>65</v>
      </c>
      <c r="D808" s="6" t="s">
        <v>794</v>
      </c>
      <c r="E808" s="8" t="str">
        <f>IFERROR(VLOOKUP(LOG_RESEAU[[#This Row],[Cell_ID]],Registre_Maintenance!A:B,2,FALSE),"Non trouvé")</f>
        <v>Kongo-Central</v>
      </c>
      <c r="F808" s="8">
        <f>IFERROR(VLOOKUP(LOG_RESEAU[[#This Row],[Cell_ID]],Registre_Maintenance!A:C,3,FALSE),"Non trouvé")</f>
        <v>-4.9108280000000004</v>
      </c>
      <c r="G808" s="8">
        <f>IFERROR(VLOOKUP(LOG_RESEAU[[#This Row],[Cell_ID]],Registre_Maintenance!A:D,4,FALSE),"Non trouvé")</f>
        <v>17.670389</v>
      </c>
      <c r="H808" s="6" t="str">
        <f>IFERROR(VLOOKUP(LOG_RESEAU[[#This Row],[Cell_ID]],Registre_Maintenance!A:E,5,FALSE),"Non trouvé")</f>
        <v>5G</v>
      </c>
      <c r="I808" s="6" t="str">
        <f>IFERROR(VLOOKUP(LOG_RESEAU[[#This Row],[Cell_ID]],Registre_Maintenance!A:F,6,FALSE),"Non trouvé")</f>
        <v>ZTE</v>
      </c>
      <c r="J808" s="6" t="str">
        <f t="shared" si="36"/>
        <v>OK</v>
      </c>
      <c r="K808" s="6">
        <f t="shared" si="37"/>
        <v>4</v>
      </c>
      <c r="L808" s="6">
        <f t="shared" si="38"/>
        <v>212</v>
      </c>
    </row>
    <row r="809" spans="1:12" ht="15.75" x14ac:dyDescent="0.25">
      <c r="A809" s="6" t="s">
        <v>909</v>
      </c>
      <c r="B809" s="7">
        <v>45202.695138888892</v>
      </c>
      <c r="C809" s="6">
        <v>38</v>
      </c>
      <c r="D809" s="6" t="s">
        <v>800</v>
      </c>
      <c r="E809" s="8" t="str">
        <f>IFERROR(VLOOKUP(LOG_RESEAU[[#This Row],[Cell_ID]],Registre_Maintenance!A:B,2,FALSE),"Non trouvé")</f>
        <v>Kongo-Central</v>
      </c>
      <c r="F809" s="8">
        <f>IFERROR(VLOOKUP(LOG_RESEAU[[#This Row],[Cell_ID]],Registre_Maintenance!A:C,3,FALSE),"Non trouvé")</f>
        <v>-4.9108280000000004</v>
      </c>
      <c r="G809" s="8">
        <f>IFERROR(VLOOKUP(LOG_RESEAU[[#This Row],[Cell_ID]],Registre_Maintenance!A:D,4,FALSE),"Non trouvé")</f>
        <v>17.670389</v>
      </c>
      <c r="H809" s="6" t="str">
        <f>IFERROR(VLOOKUP(LOG_RESEAU[[#This Row],[Cell_ID]],Registre_Maintenance!A:E,5,FALSE),"Non trouvé")</f>
        <v>5G</v>
      </c>
      <c r="I809" s="6" t="str">
        <f>IFERROR(VLOOKUP(LOG_RESEAU[[#This Row],[Cell_ID]],Registre_Maintenance!A:F,6,FALSE),"Non trouvé")</f>
        <v>ZTE</v>
      </c>
      <c r="J809" s="6" t="str">
        <f t="shared" si="36"/>
        <v>OK</v>
      </c>
      <c r="K809" s="6">
        <f t="shared" si="37"/>
        <v>4</v>
      </c>
      <c r="L809" s="6">
        <f t="shared" si="38"/>
        <v>212</v>
      </c>
    </row>
    <row r="810" spans="1:12" ht="15.75" x14ac:dyDescent="0.25">
      <c r="A810" s="6" t="s">
        <v>881</v>
      </c>
      <c r="B810" s="7">
        <v>45225.712500000001</v>
      </c>
      <c r="C810" s="6">
        <v>36</v>
      </c>
      <c r="D810" s="6" t="s">
        <v>792</v>
      </c>
      <c r="E810" s="8" t="str">
        <f>IFERROR(VLOOKUP(LOG_RESEAU[[#This Row],[Cell_ID]],Registre_Maintenance!A:B,2,FALSE),"Non trouvé")</f>
        <v>Non trouvé</v>
      </c>
      <c r="F810" s="8" t="str">
        <f>IFERROR(VLOOKUP(LOG_RESEAU[[#This Row],[Cell_ID]],Registre_Maintenance!A:C,3,FALSE),"Non trouvé")</f>
        <v>Non trouvé</v>
      </c>
      <c r="G810" s="8" t="str">
        <f>IFERROR(VLOOKUP(LOG_RESEAU[[#This Row],[Cell_ID]],Registre_Maintenance!A:D,4,FALSE),"Non trouvé")</f>
        <v>Non trouvé</v>
      </c>
      <c r="H810" s="6" t="str">
        <f>IFERROR(VLOOKUP(LOG_RESEAU[[#This Row],[Cell_ID]],Registre_Maintenance!A:E,5,FALSE),"Non trouvé")</f>
        <v>Non trouvé</v>
      </c>
      <c r="I810" s="6" t="str">
        <f>IFERROR(VLOOKUP(LOG_RESEAU[[#This Row],[Cell_ID]],Registre_Maintenance!A:F,6,FALSE),"Non trouvé")</f>
        <v>Non trouvé</v>
      </c>
      <c r="J810" s="6" t="str">
        <f t="shared" si="36"/>
        <v>Antenne inconnue</v>
      </c>
      <c r="K810" s="6">
        <f t="shared" si="37"/>
        <v>6</v>
      </c>
      <c r="L810" s="6">
        <f t="shared" si="38"/>
        <v>207</v>
      </c>
    </row>
    <row r="811" spans="1:12" ht="15.75" x14ac:dyDescent="0.25">
      <c r="A811" s="6" t="s">
        <v>1000</v>
      </c>
      <c r="B811" s="7">
        <v>45220.462500000001</v>
      </c>
      <c r="C811" s="6">
        <v>36</v>
      </c>
      <c r="D811" s="6" t="s">
        <v>794</v>
      </c>
      <c r="E811" s="8" t="str">
        <f>IFERROR(VLOOKUP(LOG_RESEAU[[#This Row],[Cell_ID]],Registre_Maintenance!A:B,2,FALSE),"Non trouvé")</f>
        <v>Non trouvé</v>
      </c>
      <c r="F811" s="8" t="str">
        <f>IFERROR(VLOOKUP(LOG_RESEAU[[#This Row],[Cell_ID]],Registre_Maintenance!A:C,3,FALSE),"Non trouvé")</f>
        <v>Non trouvé</v>
      </c>
      <c r="G811" s="8" t="str">
        <f>IFERROR(VLOOKUP(LOG_RESEAU[[#This Row],[Cell_ID]],Registre_Maintenance!A:D,4,FALSE),"Non trouvé")</f>
        <v>Non trouvé</v>
      </c>
      <c r="H811" s="6" t="str">
        <f>IFERROR(VLOOKUP(LOG_RESEAU[[#This Row],[Cell_ID]],Registre_Maintenance!A:E,5,FALSE),"Non trouvé")</f>
        <v>Non trouvé</v>
      </c>
      <c r="I811" s="6" t="str">
        <f>IFERROR(VLOOKUP(LOG_RESEAU[[#This Row],[Cell_ID]],Registre_Maintenance!A:F,6,FALSE),"Non trouvé")</f>
        <v>Non trouvé</v>
      </c>
      <c r="J811" s="6" t="str">
        <f t="shared" si="36"/>
        <v>Antenne inconnue</v>
      </c>
      <c r="K811" s="6">
        <f t="shared" si="37"/>
        <v>6</v>
      </c>
      <c r="L811" s="6">
        <f t="shared" si="38"/>
        <v>207</v>
      </c>
    </row>
    <row r="812" spans="1:12" ht="15.75" x14ac:dyDescent="0.25">
      <c r="A812" s="6" t="s">
        <v>1000</v>
      </c>
      <c r="B812" s="7">
        <v>45216.675000000003</v>
      </c>
      <c r="C812" s="6">
        <v>28</v>
      </c>
      <c r="D812" s="6" t="s">
        <v>794</v>
      </c>
      <c r="E812" s="8" t="str">
        <f>IFERROR(VLOOKUP(LOG_RESEAU[[#This Row],[Cell_ID]],Registre_Maintenance!A:B,2,FALSE),"Non trouvé")</f>
        <v>Non trouvé</v>
      </c>
      <c r="F812" s="8" t="str">
        <f>IFERROR(VLOOKUP(LOG_RESEAU[[#This Row],[Cell_ID]],Registre_Maintenance!A:C,3,FALSE),"Non trouvé")</f>
        <v>Non trouvé</v>
      </c>
      <c r="G812" s="8" t="str">
        <f>IFERROR(VLOOKUP(LOG_RESEAU[[#This Row],[Cell_ID]],Registre_Maintenance!A:D,4,FALSE),"Non trouvé")</f>
        <v>Non trouvé</v>
      </c>
      <c r="H812" s="6" t="str">
        <f>IFERROR(VLOOKUP(LOG_RESEAU[[#This Row],[Cell_ID]],Registre_Maintenance!A:E,5,FALSE),"Non trouvé")</f>
        <v>Non trouvé</v>
      </c>
      <c r="I812" s="6" t="str">
        <f>IFERROR(VLOOKUP(LOG_RESEAU[[#This Row],[Cell_ID]],Registre_Maintenance!A:F,6,FALSE),"Non trouvé")</f>
        <v>Non trouvé</v>
      </c>
      <c r="J812" s="6" t="str">
        <f t="shared" si="36"/>
        <v>Antenne inconnue</v>
      </c>
      <c r="K812" s="6">
        <f t="shared" si="37"/>
        <v>6</v>
      </c>
      <c r="L812" s="6">
        <f t="shared" si="38"/>
        <v>207</v>
      </c>
    </row>
    <row r="813" spans="1:12" ht="15.75" x14ac:dyDescent="0.25">
      <c r="A813" s="6" t="s">
        <v>1000</v>
      </c>
      <c r="B813" s="7">
        <v>45209.365277777782</v>
      </c>
      <c r="C813" s="6">
        <v>6</v>
      </c>
      <c r="D813" s="6" t="s">
        <v>794</v>
      </c>
      <c r="E813" s="8" t="str">
        <f>IFERROR(VLOOKUP(LOG_RESEAU[[#This Row],[Cell_ID]],Registre_Maintenance!A:B,2,FALSE),"Non trouvé")</f>
        <v>Non trouvé</v>
      </c>
      <c r="F813" s="8" t="str">
        <f>IFERROR(VLOOKUP(LOG_RESEAU[[#This Row],[Cell_ID]],Registre_Maintenance!A:C,3,FALSE),"Non trouvé")</f>
        <v>Non trouvé</v>
      </c>
      <c r="G813" s="8" t="str">
        <f>IFERROR(VLOOKUP(LOG_RESEAU[[#This Row],[Cell_ID]],Registre_Maintenance!A:D,4,FALSE),"Non trouvé")</f>
        <v>Non trouvé</v>
      </c>
      <c r="H813" s="6" t="str">
        <f>IFERROR(VLOOKUP(LOG_RESEAU[[#This Row],[Cell_ID]],Registre_Maintenance!A:E,5,FALSE),"Non trouvé")</f>
        <v>Non trouvé</v>
      </c>
      <c r="I813" s="6" t="str">
        <f>IFERROR(VLOOKUP(LOG_RESEAU[[#This Row],[Cell_ID]],Registre_Maintenance!A:F,6,FALSE),"Non trouvé")</f>
        <v>Non trouvé</v>
      </c>
      <c r="J813" s="6" t="str">
        <f t="shared" si="36"/>
        <v>Antenne inconnue</v>
      </c>
      <c r="K813" s="6">
        <f t="shared" si="37"/>
        <v>6</v>
      </c>
      <c r="L813" s="6">
        <f t="shared" si="38"/>
        <v>207</v>
      </c>
    </row>
    <row r="814" spans="1:12" ht="15.75" x14ac:dyDescent="0.25">
      <c r="A814" s="6" t="s">
        <v>1000</v>
      </c>
      <c r="B814" s="7">
        <v>45208.505555555559</v>
      </c>
      <c r="C814" s="6">
        <v>31</v>
      </c>
      <c r="D814" s="6" t="s">
        <v>792</v>
      </c>
      <c r="E814" s="8" t="str">
        <f>IFERROR(VLOOKUP(LOG_RESEAU[[#This Row],[Cell_ID]],Registre_Maintenance!A:B,2,FALSE),"Non trouvé")</f>
        <v>Non trouvé</v>
      </c>
      <c r="F814" s="8" t="str">
        <f>IFERROR(VLOOKUP(LOG_RESEAU[[#This Row],[Cell_ID]],Registre_Maintenance!A:C,3,FALSE),"Non trouvé")</f>
        <v>Non trouvé</v>
      </c>
      <c r="G814" s="8" t="str">
        <f>IFERROR(VLOOKUP(LOG_RESEAU[[#This Row],[Cell_ID]],Registre_Maintenance!A:D,4,FALSE),"Non trouvé")</f>
        <v>Non trouvé</v>
      </c>
      <c r="H814" s="6" t="str">
        <f>IFERROR(VLOOKUP(LOG_RESEAU[[#This Row],[Cell_ID]],Registre_Maintenance!A:E,5,FALSE),"Non trouvé")</f>
        <v>Non trouvé</v>
      </c>
      <c r="I814" s="6" t="str">
        <f>IFERROR(VLOOKUP(LOG_RESEAU[[#This Row],[Cell_ID]],Registre_Maintenance!A:F,6,FALSE),"Non trouvé")</f>
        <v>Non trouvé</v>
      </c>
      <c r="J814" s="6" t="str">
        <f t="shared" si="36"/>
        <v>Antenne inconnue</v>
      </c>
      <c r="K814" s="6">
        <f t="shared" si="37"/>
        <v>6</v>
      </c>
      <c r="L814" s="6">
        <f t="shared" si="38"/>
        <v>207</v>
      </c>
    </row>
    <row r="815" spans="1:12" ht="15.75" x14ac:dyDescent="0.25">
      <c r="A815" s="6" t="s">
        <v>1000</v>
      </c>
      <c r="B815" s="7">
        <v>45227.462500000001</v>
      </c>
      <c r="C815" s="6">
        <v>70</v>
      </c>
      <c r="D815" s="6" t="s">
        <v>792</v>
      </c>
      <c r="E815" s="8" t="str">
        <f>IFERROR(VLOOKUP(LOG_RESEAU[[#This Row],[Cell_ID]],Registre_Maintenance!A:B,2,FALSE),"Non trouvé")</f>
        <v>Non trouvé</v>
      </c>
      <c r="F815" s="8" t="str">
        <f>IFERROR(VLOOKUP(LOG_RESEAU[[#This Row],[Cell_ID]],Registre_Maintenance!A:C,3,FALSE),"Non trouvé")</f>
        <v>Non trouvé</v>
      </c>
      <c r="G815" s="8" t="str">
        <f>IFERROR(VLOOKUP(LOG_RESEAU[[#This Row],[Cell_ID]],Registre_Maintenance!A:D,4,FALSE),"Non trouvé")</f>
        <v>Non trouvé</v>
      </c>
      <c r="H815" s="6" t="str">
        <f>IFERROR(VLOOKUP(LOG_RESEAU[[#This Row],[Cell_ID]],Registre_Maintenance!A:E,5,FALSE),"Non trouvé")</f>
        <v>Non trouvé</v>
      </c>
      <c r="I815" s="6" t="str">
        <f>IFERROR(VLOOKUP(LOG_RESEAU[[#This Row],[Cell_ID]],Registre_Maintenance!A:F,6,FALSE),"Non trouvé")</f>
        <v>Non trouvé</v>
      </c>
      <c r="J815" s="6" t="str">
        <f t="shared" si="36"/>
        <v>Antenne inconnue</v>
      </c>
      <c r="K815" s="6">
        <f t="shared" si="37"/>
        <v>6</v>
      </c>
      <c r="L815" s="6">
        <f t="shared" si="38"/>
        <v>207</v>
      </c>
    </row>
    <row r="816" spans="1:12" ht="15.75" x14ac:dyDescent="0.25">
      <c r="A816" s="6" t="s">
        <v>856</v>
      </c>
      <c r="B816" s="7">
        <v>45215.004861111112</v>
      </c>
      <c r="C816" s="6">
        <v>51</v>
      </c>
      <c r="D816" s="6" t="s">
        <v>792</v>
      </c>
      <c r="E816" s="8" t="str">
        <f>IFERROR(VLOOKUP(LOG_RESEAU[[#This Row],[Cell_ID]],Registre_Maintenance!A:B,2,FALSE),"Non trouvé")</f>
        <v>Nord-Ubangi</v>
      </c>
      <c r="F816" s="8">
        <f>IFERROR(VLOOKUP(LOG_RESEAU[[#This Row],[Cell_ID]],Registre_Maintenance!A:C,3,FALSE),"Non trouvé")</f>
        <v>0.94539899999999999</v>
      </c>
      <c r="G816" s="8">
        <f>IFERROR(VLOOKUP(LOG_RESEAU[[#This Row],[Cell_ID]],Registre_Maintenance!A:D,4,FALSE),"Non trouvé")</f>
        <v>14.401821999999999</v>
      </c>
      <c r="H816" s="6" t="str">
        <f>IFERROR(VLOOKUP(LOG_RESEAU[[#This Row],[Cell_ID]],Registre_Maintenance!A:E,5,FALSE),"Non trouvé")</f>
        <v>5G</v>
      </c>
      <c r="I816" s="6" t="str">
        <f>IFERROR(VLOOKUP(LOG_RESEAU[[#This Row],[Cell_ID]],Registre_Maintenance!A:F,6,FALSE),"Non trouvé")</f>
        <v>Nokia</v>
      </c>
      <c r="J816" s="6" t="str">
        <f t="shared" si="36"/>
        <v>OK</v>
      </c>
      <c r="K816" s="6">
        <f t="shared" si="37"/>
        <v>10</v>
      </c>
      <c r="L816" s="6">
        <f t="shared" si="38"/>
        <v>599</v>
      </c>
    </row>
    <row r="817" spans="1:12" ht="15.75" x14ac:dyDescent="0.25">
      <c r="A817" s="6" t="s">
        <v>856</v>
      </c>
      <c r="B817" s="7">
        <v>45222.511805555558</v>
      </c>
      <c r="C817" s="6">
        <v>20</v>
      </c>
      <c r="D817" s="6" t="s">
        <v>792</v>
      </c>
      <c r="E817" s="8" t="str">
        <f>IFERROR(VLOOKUP(LOG_RESEAU[[#This Row],[Cell_ID]],Registre_Maintenance!A:B,2,FALSE),"Non trouvé")</f>
        <v>Nord-Ubangi</v>
      </c>
      <c r="F817" s="8">
        <f>IFERROR(VLOOKUP(LOG_RESEAU[[#This Row],[Cell_ID]],Registre_Maintenance!A:C,3,FALSE),"Non trouvé")</f>
        <v>0.94539899999999999</v>
      </c>
      <c r="G817" s="8">
        <f>IFERROR(VLOOKUP(LOG_RESEAU[[#This Row],[Cell_ID]],Registre_Maintenance!A:D,4,FALSE),"Non trouvé")</f>
        <v>14.401821999999999</v>
      </c>
      <c r="H817" s="6" t="str">
        <f>IFERROR(VLOOKUP(LOG_RESEAU[[#This Row],[Cell_ID]],Registre_Maintenance!A:E,5,FALSE),"Non trouvé")</f>
        <v>5G</v>
      </c>
      <c r="I817" s="6" t="str">
        <f>IFERROR(VLOOKUP(LOG_RESEAU[[#This Row],[Cell_ID]],Registre_Maintenance!A:F,6,FALSE),"Non trouvé")</f>
        <v>Nokia</v>
      </c>
      <c r="J817" s="6" t="str">
        <f t="shared" si="36"/>
        <v>OK</v>
      </c>
      <c r="K817" s="6">
        <f t="shared" si="37"/>
        <v>10</v>
      </c>
      <c r="L817" s="6">
        <f t="shared" si="38"/>
        <v>599</v>
      </c>
    </row>
    <row r="818" spans="1:12" ht="15.75" x14ac:dyDescent="0.25">
      <c r="A818" s="6" t="s">
        <v>856</v>
      </c>
      <c r="B818" s="7">
        <v>45227.543055555558</v>
      </c>
      <c r="C818" s="6">
        <v>120</v>
      </c>
      <c r="D818" s="6" t="s">
        <v>792</v>
      </c>
      <c r="E818" s="8" t="str">
        <f>IFERROR(VLOOKUP(LOG_RESEAU[[#This Row],[Cell_ID]],Registre_Maintenance!A:B,2,FALSE),"Non trouvé")</f>
        <v>Nord-Ubangi</v>
      </c>
      <c r="F818" s="8">
        <f>IFERROR(VLOOKUP(LOG_RESEAU[[#This Row],[Cell_ID]],Registre_Maintenance!A:C,3,FALSE),"Non trouvé")</f>
        <v>0.94539899999999999</v>
      </c>
      <c r="G818" s="8">
        <f>IFERROR(VLOOKUP(LOG_RESEAU[[#This Row],[Cell_ID]],Registre_Maintenance!A:D,4,FALSE),"Non trouvé")</f>
        <v>14.401821999999999</v>
      </c>
      <c r="H818" s="6" t="str">
        <f>IFERROR(VLOOKUP(LOG_RESEAU[[#This Row],[Cell_ID]],Registre_Maintenance!A:E,5,FALSE),"Non trouvé")</f>
        <v>5G</v>
      </c>
      <c r="I818" s="6" t="str">
        <f>IFERROR(VLOOKUP(LOG_RESEAU[[#This Row],[Cell_ID]],Registre_Maintenance!A:F,6,FALSE),"Non trouvé")</f>
        <v>Nokia</v>
      </c>
      <c r="J818" s="6" t="str">
        <f t="shared" si="36"/>
        <v>OK</v>
      </c>
      <c r="K818" s="6">
        <f t="shared" si="37"/>
        <v>10</v>
      </c>
      <c r="L818" s="6">
        <f t="shared" si="38"/>
        <v>599</v>
      </c>
    </row>
    <row r="819" spans="1:12" ht="15.75" x14ac:dyDescent="0.25">
      <c r="A819" s="6" t="s">
        <v>856</v>
      </c>
      <c r="B819" s="7">
        <v>45209.898611111108</v>
      </c>
      <c r="C819" s="6">
        <v>58</v>
      </c>
      <c r="D819" s="6" t="s">
        <v>794</v>
      </c>
      <c r="E819" s="8" t="str">
        <f>IFERROR(VLOOKUP(LOG_RESEAU[[#This Row],[Cell_ID]],Registre_Maintenance!A:B,2,FALSE),"Non trouvé")</f>
        <v>Nord-Ubangi</v>
      </c>
      <c r="F819" s="8">
        <f>IFERROR(VLOOKUP(LOG_RESEAU[[#This Row],[Cell_ID]],Registre_Maintenance!A:C,3,FALSE),"Non trouvé")</f>
        <v>0.94539899999999999</v>
      </c>
      <c r="G819" s="8">
        <f>IFERROR(VLOOKUP(LOG_RESEAU[[#This Row],[Cell_ID]],Registre_Maintenance!A:D,4,FALSE),"Non trouvé")</f>
        <v>14.401821999999999</v>
      </c>
      <c r="H819" s="6" t="str">
        <f>IFERROR(VLOOKUP(LOG_RESEAU[[#This Row],[Cell_ID]],Registre_Maintenance!A:E,5,FALSE),"Non trouvé")</f>
        <v>5G</v>
      </c>
      <c r="I819" s="6" t="str">
        <f>IFERROR(VLOOKUP(LOG_RESEAU[[#This Row],[Cell_ID]],Registre_Maintenance!A:F,6,FALSE),"Non trouvé")</f>
        <v>Nokia</v>
      </c>
      <c r="J819" s="6" t="str">
        <f t="shared" si="36"/>
        <v>OK</v>
      </c>
      <c r="K819" s="6">
        <f t="shared" si="37"/>
        <v>10</v>
      </c>
      <c r="L819" s="6">
        <f t="shared" si="38"/>
        <v>599</v>
      </c>
    </row>
    <row r="820" spans="1:12" ht="15.75" x14ac:dyDescent="0.25">
      <c r="A820" s="6" t="s">
        <v>856</v>
      </c>
      <c r="B820" s="7">
        <v>45225.468055555553</v>
      </c>
      <c r="C820" s="6">
        <v>71</v>
      </c>
      <c r="D820" s="6" t="s">
        <v>800</v>
      </c>
      <c r="E820" s="8" t="str">
        <f>IFERROR(VLOOKUP(LOG_RESEAU[[#This Row],[Cell_ID]],Registre_Maintenance!A:B,2,FALSE),"Non trouvé")</f>
        <v>Nord-Ubangi</v>
      </c>
      <c r="F820" s="8">
        <f>IFERROR(VLOOKUP(LOG_RESEAU[[#This Row],[Cell_ID]],Registre_Maintenance!A:C,3,FALSE),"Non trouvé")</f>
        <v>0.94539899999999999</v>
      </c>
      <c r="G820" s="8">
        <f>IFERROR(VLOOKUP(LOG_RESEAU[[#This Row],[Cell_ID]],Registre_Maintenance!A:D,4,FALSE),"Non trouvé")</f>
        <v>14.401821999999999</v>
      </c>
      <c r="H820" s="6" t="str">
        <f>IFERROR(VLOOKUP(LOG_RESEAU[[#This Row],[Cell_ID]],Registre_Maintenance!A:E,5,FALSE),"Non trouvé")</f>
        <v>5G</v>
      </c>
      <c r="I820" s="6" t="str">
        <f>IFERROR(VLOOKUP(LOG_RESEAU[[#This Row],[Cell_ID]],Registre_Maintenance!A:F,6,FALSE),"Non trouvé")</f>
        <v>Nokia</v>
      </c>
      <c r="J820" s="6" t="str">
        <f t="shared" si="36"/>
        <v>OK</v>
      </c>
      <c r="K820" s="6">
        <f t="shared" si="37"/>
        <v>10</v>
      </c>
      <c r="L820" s="6">
        <f t="shared" si="38"/>
        <v>599</v>
      </c>
    </row>
    <row r="821" spans="1:12" ht="15.75" x14ac:dyDescent="0.25">
      <c r="A821" s="6" t="s">
        <v>856</v>
      </c>
      <c r="B821" s="7">
        <v>45208.047222222223</v>
      </c>
      <c r="C821" s="6">
        <v>66</v>
      </c>
      <c r="D821" s="6" t="s">
        <v>800</v>
      </c>
      <c r="E821" s="8" t="str">
        <f>IFERROR(VLOOKUP(LOG_RESEAU[[#This Row],[Cell_ID]],Registre_Maintenance!A:B,2,FALSE),"Non trouvé")</f>
        <v>Nord-Ubangi</v>
      </c>
      <c r="F821" s="8">
        <f>IFERROR(VLOOKUP(LOG_RESEAU[[#This Row],[Cell_ID]],Registre_Maintenance!A:C,3,FALSE),"Non trouvé")</f>
        <v>0.94539899999999999</v>
      </c>
      <c r="G821" s="8">
        <f>IFERROR(VLOOKUP(LOG_RESEAU[[#This Row],[Cell_ID]],Registre_Maintenance!A:D,4,FALSE),"Non trouvé")</f>
        <v>14.401821999999999</v>
      </c>
      <c r="H821" s="6" t="str">
        <f>IFERROR(VLOOKUP(LOG_RESEAU[[#This Row],[Cell_ID]],Registre_Maintenance!A:E,5,FALSE),"Non trouvé")</f>
        <v>5G</v>
      </c>
      <c r="I821" s="6" t="str">
        <f>IFERROR(VLOOKUP(LOG_RESEAU[[#This Row],[Cell_ID]],Registre_Maintenance!A:F,6,FALSE),"Non trouvé")</f>
        <v>Nokia</v>
      </c>
      <c r="J821" s="6" t="str">
        <f t="shared" si="36"/>
        <v>OK</v>
      </c>
      <c r="K821" s="6">
        <f t="shared" si="37"/>
        <v>10</v>
      </c>
      <c r="L821" s="6">
        <f t="shared" si="38"/>
        <v>599</v>
      </c>
    </row>
    <row r="822" spans="1:12" ht="15.75" x14ac:dyDescent="0.25">
      <c r="A822" s="6" t="s">
        <v>856</v>
      </c>
      <c r="B822" s="7">
        <v>45206.443055555559</v>
      </c>
      <c r="C822" s="6">
        <v>66</v>
      </c>
      <c r="D822" s="6" t="s">
        <v>794</v>
      </c>
      <c r="E822" s="8" t="str">
        <f>IFERROR(VLOOKUP(LOG_RESEAU[[#This Row],[Cell_ID]],Registre_Maintenance!A:B,2,FALSE),"Non trouvé")</f>
        <v>Nord-Ubangi</v>
      </c>
      <c r="F822" s="8">
        <f>IFERROR(VLOOKUP(LOG_RESEAU[[#This Row],[Cell_ID]],Registre_Maintenance!A:C,3,FALSE),"Non trouvé")</f>
        <v>0.94539899999999999</v>
      </c>
      <c r="G822" s="8">
        <f>IFERROR(VLOOKUP(LOG_RESEAU[[#This Row],[Cell_ID]],Registre_Maintenance!A:D,4,FALSE),"Non trouvé")</f>
        <v>14.401821999999999</v>
      </c>
      <c r="H822" s="6" t="str">
        <f>IFERROR(VLOOKUP(LOG_RESEAU[[#This Row],[Cell_ID]],Registre_Maintenance!A:E,5,FALSE),"Non trouvé")</f>
        <v>5G</v>
      </c>
      <c r="I822" s="6" t="str">
        <f>IFERROR(VLOOKUP(LOG_RESEAU[[#This Row],[Cell_ID]],Registre_Maintenance!A:F,6,FALSE),"Non trouvé")</f>
        <v>Nokia</v>
      </c>
      <c r="J822" s="6" t="str">
        <f t="shared" si="36"/>
        <v>OK</v>
      </c>
      <c r="K822" s="6">
        <f t="shared" si="37"/>
        <v>10</v>
      </c>
      <c r="L822" s="6">
        <f t="shared" si="38"/>
        <v>599</v>
      </c>
    </row>
    <row r="823" spans="1:12" ht="15.75" x14ac:dyDescent="0.25">
      <c r="A823" s="6" t="s">
        <v>856</v>
      </c>
      <c r="B823" s="7">
        <v>45230.26458333333</v>
      </c>
      <c r="C823" s="6">
        <v>118</v>
      </c>
      <c r="D823" s="6" t="s">
        <v>794</v>
      </c>
      <c r="E823" s="8" t="str">
        <f>IFERROR(VLOOKUP(LOG_RESEAU[[#This Row],[Cell_ID]],Registre_Maintenance!A:B,2,FALSE),"Non trouvé")</f>
        <v>Nord-Ubangi</v>
      </c>
      <c r="F823" s="8">
        <f>IFERROR(VLOOKUP(LOG_RESEAU[[#This Row],[Cell_ID]],Registre_Maintenance!A:C,3,FALSE),"Non trouvé")</f>
        <v>0.94539899999999999</v>
      </c>
      <c r="G823" s="8">
        <f>IFERROR(VLOOKUP(LOG_RESEAU[[#This Row],[Cell_ID]],Registre_Maintenance!A:D,4,FALSE),"Non trouvé")</f>
        <v>14.401821999999999</v>
      </c>
      <c r="H823" s="6" t="str">
        <f>IFERROR(VLOOKUP(LOG_RESEAU[[#This Row],[Cell_ID]],Registre_Maintenance!A:E,5,FALSE),"Non trouvé")</f>
        <v>5G</v>
      </c>
      <c r="I823" s="6" t="str">
        <f>IFERROR(VLOOKUP(LOG_RESEAU[[#This Row],[Cell_ID]],Registre_Maintenance!A:F,6,FALSE),"Non trouvé")</f>
        <v>Nokia</v>
      </c>
      <c r="J823" s="6" t="str">
        <f t="shared" si="36"/>
        <v>OK</v>
      </c>
      <c r="K823" s="6">
        <f t="shared" si="37"/>
        <v>10</v>
      </c>
      <c r="L823" s="6">
        <f t="shared" si="38"/>
        <v>599</v>
      </c>
    </row>
    <row r="824" spans="1:12" ht="15.75" x14ac:dyDescent="0.25">
      <c r="A824" s="6" t="s">
        <v>856</v>
      </c>
      <c r="B824" s="7">
        <v>45203.760416666657</v>
      </c>
      <c r="C824" s="6">
        <v>18</v>
      </c>
      <c r="D824" s="6" t="s">
        <v>792</v>
      </c>
      <c r="E824" s="8" t="str">
        <f>IFERROR(VLOOKUP(LOG_RESEAU[[#This Row],[Cell_ID]],Registre_Maintenance!A:B,2,FALSE),"Non trouvé")</f>
        <v>Nord-Ubangi</v>
      </c>
      <c r="F824" s="8">
        <f>IFERROR(VLOOKUP(LOG_RESEAU[[#This Row],[Cell_ID]],Registre_Maintenance!A:C,3,FALSE),"Non trouvé")</f>
        <v>0.94539899999999999</v>
      </c>
      <c r="G824" s="8">
        <f>IFERROR(VLOOKUP(LOG_RESEAU[[#This Row],[Cell_ID]],Registre_Maintenance!A:D,4,FALSE),"Non trouvé")</f>
        <v>14.401821999999999</v>
      </c>
      <c r="H824" s="6" t="str">
        <f>IFERROR(VLOOKUP(LOG_RESEAU[[#This Row],[Cell_ID]],Registre_Maintenance!A:E,5,FALSE),"Non trouvé")</f>
        <v>5G</v>
      </c>
      <c r="I824" s="6" t="str">
        <f>IFERROR(VLOOKUP(LOG_RESEAU[[#This Row],[Cell_ID]],Registre_Maintenance!A:F,6,FALSE),"Non trouvé")</f>
        <v>Nokia</v>
      </c>
      <c r="J824" s="6" t="str">
        <f t="shared" si="36"/>
        <v>OK</v>
      </c>
      <c r="K824" s="6">
        <f t="shared" si="37"/>
        <v>10</v>
      </c>
      <c r="L824" s="6">
        <f t="shared" si="38"/>
        <v>599</v>
      </c>
    </row>
    <row r="825" spans="1:12" ht="15.75" x14ac:dyDescent="0.25">
      <c r="A825" s="6" t="s">
        <v>856</v>
      </c>
      <c r="B825" s="7">
        <v>45230.009027777778</v>
      </c>
      <c r="C825" s="6">
        <v>11</v>
      </c>
      <c r="D825" s="6" t="s">
        <v>800</v>
      </c>
      <c r="E825" s="8" t="str">
        <f>IFERROR(VLOOKUP(LOG_RESEAU[[#This Row],[Cell_ID]],Registre_Maintenance!A:B,2,FALSE),"Non trouvé")</f>
        <v>Nord-Ubangi</v>
      </c>
      <c r="F825" s="8">
        <f>IFERROR(VLOOKUP(LOG_RESEAU[[#This Row],[Cell_ID]],Registre_Maintenance!A:C,3,FALSE),"Non trouvé")</f>
        <v>0.94539899999999999</v>
      </c>
      <c r="G825" s="8">
        <f>IFERROR(VLOOKUP(LOG_RESEAU[[#This Row],[Cell_ID]],Registre_Maintenance!A:D,4,FALSE),"Non trouvé")</f>
        <v>14.401821999999999</v>
      </c>
      <c r="H825" s="6" t="str">
        <f>IFERROR(VLOOKUP(LOG_RESEAU[[#This Row],[Cell_ID]],Registre_Maintenance!A:E,5,FALSE),"Non trouvé")</f>
        <v>5G</v>
      </c>
      <c r="I825" s="6" t="str">
        <f>IFERROR(VLOOKUP(LOG_RESEAU[[#This Row],[Cell_ID]],Registre_Maintenance!A:F,6,FALSE),"Non trouvé")</f>
        <v>Nokia</v>
      </c>
      <c r="J825" s="6" t="str">
        <f t="shared" si="36"/>
        <v>OK</v>
      </c>
      <c r="K825" s="6">
        <f t="shared" si="37"/>
        <v>10</v>
      </c>
      <c r="L825" s="6">
        <f t="shared" si="38"/>
        <v>599</v>
      </c>
    </row>
    <row r="826" spans="1:12" ht="15.75" x14ac:dyDescent="0.25">
      <c r="A826" s="6" t="s">
        <v>857</v>
      </c>
      <c r="B826" s="7">
        <v>45201.330555555563</v>
      </c>
      <c r="C826" s="6">
        <v>100</v>
      </c>
      <c r="D826" s="6" t="s">
        <v>800</v>
      </c>
      <c r="E826" s="8" t="str">
        <f>IFERROR(VLOOKUP(LOG_RESEAU[[#This Row],[Cell_ID]],Registre_Maintenance!A:B,2,FALSE),"Non trouvé")</f>
        <v>Kongo-Central</v>
      </c>
      <c r="F826" s="8">
        <f>IFERROR(VLOOKUP(LOG_RESEAU[[#This Row],[Cell_ID]],Registre_Maintenance!A:C,3,FALSE),"Non trouvé")</f>
        <v>-10.977309</v>
      </c>
      <c r="G826" s="8">
        <f>IFERROR(VLOOKUP(LOG_RESEAU[[#This Row],[Cell_ID]],Registre_Maintenance!A:D,4,FALSE),"Non trouvé")</f>
        <v>12.408281000000001</v>
      </c>
      <c r="H826" s="6" t="str">
        <f>IFERROR(VLOOKUP(LOG_RESEAU[[#This Row],[Cell_ID]],Registre_Maintenance!A:E,5,FALSE),"Non trouvé")</f>
        <v>5G</v>
      </c>
      <c r="I826" s="6" t="str">
        <f>IFERROR(VLOOKUP(LOG_RESEAU[[#This Row],[Cell_ID]],Registre_Maintenance!A:F,6,FALSE),"Non trouvé")</f>
        <v>ZTE</v>
      </c>
      <c r="J826" s="6" t="str">
        <f t="shared" si="36"/>
        <v>OK</v>
      </c>
      <c r="K826" s="6">
        <f t="shared" si="37"/>
        <v>5</v>
      </c>
      <c r="L826" s="6">
        <f t="shared" si="38"/>
        <v>454</v>
      </c>
    </row>
    <row r="827" spans="1:12" ht="15.75" x14ac:dyDescent="0.25">
      <c r="A827" s="6" t="s">
        <v>857</v>
      </c>
      <c r="B827" s="7">
        <v>45204.999305555553</v>
      </c>
      <c r="C827" s="6">
        <v>91</v>
      </c>
      <c r="D827" s="6" t="s">
        <v>800</v>
      </c>
      <c r="E827" s="8" t="str">
        <f>IFERROR(VLOOKUP(LOG_RESEAU[[#This Row],[Cell_ID]],Registre_Maintenance!A:B,2,FALSE),"Non trouvé")</f>
        <v>Kongo-Central</v>
      </c>
      <c r="F827" s="8">
        <f>IFERROR(VLOOKUP(LOG_RESEAU[[#This Row],[Cell_ID]],Registre_Maintenance!A:C,3,FALSE),"Non trouvé")</f>
        <v>-10.977309</v>
      </c>
      <c r="G827" s="8">
        <f>IFERROR(VLOOKUP(LOG_RESEAU[[#This Row],[Cell_ID]],Registre_Maintenance!A:D,4,FALSE),"Non trouvé")</f>
        <v>12.408281000000001</v>
      </c>
      <c r="H827" s="6" t="str">
        <f>IFERROR(VLOOKUP(LOG_RESEAU[[#This Row],[Cell_ID]],Registre_Maintenance!A:E,5,FALSE),"Non trouvé")</f>
        <v>5G</v>
      </c>
      <c r="I827" s="6" t="str">
        <f>IFERROR(VLOOKUP(LOG_RESEAU[[#This Row],[Cell_ID]],Registre_Maintenance!A:F,6,FALSE),"Non trouvé")</f>
        <v>ZTE</v>
      </c>
      <c r="J827" s="6" t="str">
        <f t="shared" si="36"/>
        <v>OK</v>
      </c>
      <c r="K827" s="6">
        <f t="shared" si="37"/>
        <v>5</v>
      </c>
      <c r="L827" s="6">
        <f t="shared" si="38"/>
        <v>454</v>
      </c>
    </row>
    <row r="828" spans="1:12" ht="15.75" x14ac:dyDescent="0.25">
      <c r="A828" s="6" t="s">
        <v>857</v>
      </c>
      <c r="B828" s="7">
        <v>45210.979166666657</v>
      </c>
      <c r="C828" s="6">
        <v>97</v>
      </c>
      <c r="D828" s="6" t="s">
        <v>800</v>
      </c>
      <c r="E828" s="8" t="str">
        <f>IFERROR(VLOOKUP(LOG_RESEAU[[#This Row],[Cell_ID]],Registre_Maintenance!A:B,2,FALSE),"Non trouvé")</f>
        <v>Kongo-Central</v>
      </c>
      <c r="F828" s="8">
        <f>IFERROR(VLOOKUP(LOG_RESEAU[[#This Row],[Cell_ID]],Registre_Maintenance!A:C,3,FALSE),"Non trouvé")</f>
        <v>-10.977309</v>
      </c>
      <c r="G828" s="8">
        <f>IFERROR(VLOOKUP(LOG_RESEAU[[#This Row],[Cell_ID]],Registre_Maintenance!A:D,4,FALSE),"Non trouvé")</f>
        <v>12.408281000000001</v>
      </c>
      <c r="H828" s="6" t="str">
        <f>IFERROR(VLOOKUP(LOG_RESEAU[[#This Row],[Cell_ID]],Registre_Maintenance!A:E,5,FALSE),"Non trouvé")</f>
        <v>5G</v>
      </c>
      <c r="I828" s="6" t="str">
        <f>IFERROR(VLOOKUP(LOG_RESEAU[[#This Row],[Cell_ID]],Registre_Maintenance!A:F,6,FALSE),"Non trouvé")</f>
        <v>ZTE</v>
      </c>
      <c r="J828" s="6" t="str">
        <f t="shared" si="36"/>
        <v>OK</v>
      </c>
      <c r="K828" s="6">
        <f t="shared" si="37"/>
        <v>5</v>
      </c>
      <c r="L828" s="6">
        <f t="shared" si="38"/>
        <v>454</v>
      </c>
    </row>
    <row r="829" spans="1:12" ht="15.75" x14ac:dyDescent="0.25">
      <c r="A829" s="6" t="s">
        <v>857</v>
      </c>
      <c r="B829" s="7">
        <v>45204.759027777778</v>
      </c>
      <c r="C829" s="6">
        <v>103</v>
      </c>
      <c r="D829" s="6" t="s">
        <v>800</v>
      </c>
      <c r="E829" s="8" t="str">
        <f>IFERROR(VLOOKUP(LOG_RESEAU[[#This Row],[Cell_ID]],Registre_Maintenance!A:B,2,FALSE),"Non trouvé")</f>
        <v>Kongo-Central</v>
      </c>
      <c r="F829" s="8">
        <f>IFERROR(VLOOKUP(LOG_RESEAU[[#This Row],[Cell_ID]],Registre_Maintenance!A:C,3,FALSE),"Non trouvé")</f>
        <v>-10.977309</v>
      </c>
      <c r="G829" s="8">
        <f>IFERROR(VLOOKUP(LOG_RESEAU[[#This Row],[Cell_ID]],Registre_Maintenance!A:D,4,FALSE),"Non trouvé")</f>
        <v>12.408281000000001</v>
      </c>
      <c r="H829" s="6" t="str">
        <f>IFERROR(VLOOKUP(LOG_RESEAU[[#This Row],[Cell_ID]],Registre_Maintenance!A:E,5,FALSE),"Non trouvé")</f>
        <v>5G</v>
      </c>
      <c r="I829" s="6" t="str">
        <f>IFERROR(VLOOKUP(LOG_RESEAU[[#This Row],[Cell_ID]],Registre_Maintenance!A:F,6,FALSE),"Non trouvé")</f>
        <v>ZTE</v>
      </c>
      <c r="J829" s="6" t="str">
        <f t="shared" si="36"/>
        <v>OK</v>
      </c>
      <c r="K829" s="6">
        <f t="shared" si="37"/>
        <v>5</v>
      </c>
      <c r="L829" s="6">
        <f t="shared" si="38"/>
        <v>454</v>
      </c>
    </row>
    <row r="830" spans="1:12" ht="15.75" x14ac:dyDescent="0.25">
      <c r="A830" s="6" t="s">
        <v>857</v>
      </c>
      <c r="B830" s="7">
        <v>45205.650694444441</v>
      </c>
      <c r="C830" s="6">
        <v>63</v>
      </c>
      <c r="D830" s="6" t="s">
        <v>794</v>
      </c>
      <c r="E830" s="8" t="str">
        <f>IFERROR(VLOOKUP(LOG_RESEAU[[#This Row],[Cell_ID]],Registre_Maintenance!A:B,2,FALSE),"Non trouvé")</f>
        <v>Kongo-Central</v>
      </c>
      <c r="F830" s="8">
        <f>IFERROR(VLOOKUP(LOG_RESEAU[[#This Row],[Cell_ID]],Registre_Maintenance!A:C,3,FALSE),"Non trouvé")</f>
        <v>-10.977309</v>
      </c>
      <c r="G830" s="8">
        <f>IFERROR(VLOOKUP(LOG_RESEAU[[#This Row],[Cell_ID]],Registre_Maintenance!A:D,4,FALSE),"Non trouvé")</f>
        <v>12.408281000000001</v>
      </c>
      <c r="H830" s="6" t="str">
        <f>IFERROR(VLOOKUP(LOG_RESEAU[[#This Row],[Cell_ID]],Registre_Maintenance!A:E,5,FALSE),"Non trouvé")</f>
        <v>5G</v>
      </c>
      <c r="I830" s="6" t="str">
        <f>IFERROR(VLOOKUP(LOG_RESEAU[[#This Row],[Cell_ID]],Registre_Maintenance!A:F,6,FALSE),"Non trouvé")</f>
        <v>ZTE</v>
      </c>
      <c r="J830" s="6" t="str">
        <f t="shared" si="36"/>
        <v>OK</v>
      </c>
      <c r="K830" s="6">
        <f t="shared" si="37"/>
        <v>5</v>
      </c>
      <c r="L830" s="6">
        <f t="shared" si="38"/>
        <v>454</v>
      </c>
    </row>
    <row r="831" spans="1:12" ht="15.75" x14ac:dyDescent="0.25">
      <c r="A831" s="6" t="s">
        <v>905</v>
      </c>
      <c r="B831" s="7">
        <v>45208.240972222222</v>
      </c>
      <c r="C831" s="6">
        <v>20</v>
      </c>
      <c r="D831" s="6" t="s">
        <v>800</v>
      </c>
      <c r="E831" s="8" t="str">
        <f>IFERROR(VLOOKUP(LOG_RESEAU[[#This Row],[Cell_ID]],Registre_Maintenance!A:B,2,FALSE),"Non trouvé")</f>
        <v>Non trouvé</v>
      </c>
      <c r="F831" s="8" t="str">
        <f>IFERROR(VLOOKUP(LOG_RESEAU[[#This Row],[Cell_ID]],Registre_Maintenance!A:C,3,FALSE),"Non trouvé")</f>
        <v>Non trouvé</v>
      </c>
      <c r="G831" s="8" t="str">
        <f>IFERROR(VLOOKUP(LOG_RESEAU[[#This Row],[Cell_ID]],Registre_Maintenance!A:D,4,FALSE),"Non trouvé")</f>
        <v>Non trouvé</v>
      </c>
      <c r="H831" s="6" t="str">
        <f>IFERROR(VLOOKUP(LOG_RESEAU[[#This Row],[Cell_ID]],Registre_Maintenance!A:E,5,FALSE),"Non trouvé")</f>
        <v>Non trouvé</v>
      </c>
      <c r="I831" s="6" t="str">
        <f>IFERROR(VLOOKUP(LOG_RESEAU[[#This Row],[Cell_ID]],Registre_Maintenance!A:F,6,FALSE),"Non trouvé")</f>
        <v>Non trouvé</v>
      </c>
      <c r="J831" s="6" t="str">
        <f t="shared" si="36"/>
        <v>Antenne inconnue</v>
      </c>
      <c r="K831" s="6">
        <f t="shared" si="37"/>
        <v>6</v>
      </c>
      <c r="L831" s="6">
        <f t="shared" si="38"/>
        <v>354</v>
      </c>
    </row>
    <row r="832" spans="1:12" ht="15.75" x14ac:dyDescent="0.25">
      <c r="A832" s="6" t="s">
        <v>906</v>
      </c>
      <c r="B832" s="7">
        <v>45214.739583333343</v>
      </c>
      <c r="C832" s="6">
        <v>30</v>
      </c>
      <c r="D832" s="6" t="s">
        <v>794</v>
      </c>
      <c r="E832" s="8" t="str">
        <f>IFERROR(VLOOKUP(LOG_RESEAU[[#This Row],[Cell_ID]],Registre_Maintenance!A:B,2,FALSE),"Non trouvé")</f>
        <v>Non trouvé</v>
      </c>
      <c r="F832" s="8" t="str">
        <f>IFERROR(VLOOKUP(LOG_RESEAU[[#This Row],[Cell_ID]],Registre_Maintenance!A:C,3,FALSE),"Non trouvé")</f>
        <v>Non trouvé</v>
      </c>
      <c r="G832" s="8" t="str">
        <f>IFERROR(VLOOKUP(LOG_RESEAU[[#This Row],[Cell_ID]],Registre_Maintenance!A:D,4,FALSE),"Non trouvé")</f>
        <v>Non trouvé</v>
      </c>
      <c r="H832" s="6" t="str">
        <f>IFERROR(VLOOKUP(LOG_RESEAU[[#This Row],[Cell_ID]],Registre_Maintenance!A:E,5,FALSE),"Non trouvé")</f>
        <v>Non trouvé</v>
      </c>
      <c r="I832" s="6" t="str">
        <f>IFERROR(VLOOKUP(LOG_RESEAU[[#This Row],[Cell_ID]],Registre_Maintenance!A:F,6,FALSE),"Non trouvé")</f>
        <v>Non trouvé</v>
      </c>
      <c r="J832" s="6" t="str">
        <f t="shared" si="36"/>
        <v>Antenne inconnue</v>
      </c>
      <c r="K832" s="6">
        <f t="shared" si="37"/>
        <v>6</v>
      </c>
      <c r="L832" s="6">
        <f t="shared" si="38"/>
        <v>354</v>
      </c>
    </row>
    <row r="833" spans="1:12" ht="15.75" x14ac:dyDescent="0.25">
      <c r="A833" s="6" t="s">
        <v>905</v>
      </c>
      <c r="B833" s="7">
        <v>45209.301388888889</v>
      </c>
      <c r="C833" s="6">
        <v>72</v>
      </c>
      <c r="D833" s="6" t="s">
        <v>800</v>
      </c>
      <c r="E833" s="8" t="str">
        <f>IFERROR(VLOOKUP(LOG_RESEAU[[#This Row],[Cell_ID]],Registre_Maintenance!A:B,2,FALSE),"Non trouvé")</f>
        <v>Non trouvé</v>
      </c>
      <c r="F833" s="8" t="str">
        <f>IFERROR(VLOOKUP(LOG_RESEAU[[#This Row],[Cell_ID]],Registre_Maintenance!A:C,3,FALSE),"Non trouvé")</f>
        <v>Non trouvé</v>
      </c>
      <c r="G833" s="8" t="str">
        <f>IFERROR(VLOOKUP(LOG_RESEAU[[#This Row],[Cell_ID]],Registre_Maintenance!A:D,4,FALSE),"Non trouvé")</f>
        <v>Non trouvé</v>
      </c>
      <c r="H833" s="6" t="str">
        <f>IFERROR(VLOOKUP(LOG_RESEAU[[#This Row],[Cell_ID]],Registre_Maintenance!A:E,5,FALSE),"Non trouvé")</f>
        <v>Non trouvé</v>
      </c>
      <c r="I833" s="6" t="str">
        <f>IFERROR(VLOOKUP(LOG_RESEAU[[#This Row],[Cell_ID]],Registre_Maintenance!A:F,6,FALSE),"Non trouvé")</f>
        <v>Non trouvé</v>
      </c>
      <c r="J833" s="6" t="str">
        <f t="shared" si="36"/>
        <v>Antenne inconnue</v>
      </c>
      <c r="K833" s="6">
        <f t="shared" si="37"/>
        <v>6</v>
      </c>
      <c r="L833" s="6">
        <f t="shared" si="38"/>
        <v>354</v>
      </c>
    </row>
    <row r="834" spans="1:12" ht="15.75" x14ac:dyDescent="0.25">
      <c r="A834" s="6" t="s">
        <v>905</v>
      </c>
      <c r="B834" s="7">
        <v>45226.790277777778</v>
      </c>
      <c r="C834" s="6">
        <v>84</v>
      </c>
      <c r="D834" s="6" t="s">
        <v>800</v>
      </c>
      <c r="E834" s="8" t="str">
        <f>IFERROR(VLOOKUP(LOG_RESEAU[[#This Row],[Cell_ID]],Registre_Maintenance!A:B,2,FALSE),"Non trouvé")</f>
        <v>Non trouvé</v>
      </c>
      <c r="F834" s="8" t="str">
        <f>IFERROR(VLOOKUP(LOG_RESEAU[[#This Row],[Cell_ID]],Registre_Maintenance!A:C,3,FALSE),"Non trouvé")</f>
        <v>Non trouvé</v>
      </c>
      <c r="G834" s="8" t="str">
        <f>IFERROR(VLOOKUP(LOG_RESEAU[[#This Row],[Cell_ID]],Registre_Maintenance!A:D,4,FALSE),"Non trouvé")</f>
        <v>Non trouvé</v>
      </c>
      <c r="H834" s="6" t="str">
        <f>IFERROR(VLOOKUP(LOG_RESEAU[[#This Row],[Cell_ID]],Registre_Maintenance!A:E,5,FALSE),"Non trouvé")</f>
        <v>Non trouvé</v>
      </c>
      <c r="I834" s="6" t="str">
        <f>IFERROR(VLOOKUP(LOG_RESEAU[[#This Row],[Cell_ID]],Registre_Maintenance!A:F,6,FALSE),"Non trouvé")</f>
        <v>Non trouvé</v>
      </c>
      <c r="J834" s="6" t="str">
        <f t="shared" ref="J834:J897" si="39">IF(ISERROR(SEARCH("Non trouvé",F834)),"OK","Antenne inconnue")</f>
        <v>Antenne inconnue</v>
      </c>
      <c r="K834" s="6">
        <f t="shared" ref="K834:K897" si="40">COUNTIF(A:A,A834)</f>
        <v>6</v>
      </c>
      <c r="L834" s="6">
        <f t="shared" ref="L834:L897" si="41">SUMIF(A:A,A834,C:C)</f>
        <v>354</v>
      </c>
    </row>
    <row r="835" spans="1:12" ht="15.75" x14ac:dyDescent="0.25">
      <c r="A835" s="6" t="s">
        <v>905</v>
      </c>
      <c r="B835" s="7">
        <v>45226.194444444453</v>
      </c>
      <c r="C835" s="6">
        <v>89</v>
      </c>
      <c r="D835" s="6" t="s">
        <v>794</v>
      </c>
      <c r="E835" s="8" t="str">
        <f>IFERROR(VLOOKUP(LOG_RESEAU[[#This Row],[Cell_ID]],Registre_Maintenance!A:B,2,FALSE),"Non trouvé")</f>
        <v>Non trouvé</v>
      </c>
      <c r="F835" s="8" t="str">
        <f>IFERROR(VLOOKUP(LOG_RESEAU[[#This Row],[Cell_ID]],Registre_Maintenance!A:C,3,FALSE),"Non trouvé")</f>
        <v>Non trouvé</v>
      </c>
      <c r="G835" s="8" t="str">
        <f>IFERROR(VLOOKUP(LOG_RESEAU[[#This Row],[Cell_ID]],Registre_Maintenance!A:D,4,FALSE),"Non trouvé")</f>
        <v>Non trouvé</v>
      </c>
      <c r="H835" s="6" t="str">
        <f>IFERROR(VLOOKUP(LOG_RESEAU[[#This Row],[Cell_ID]],Registre_Maintenance!A:E,5,FALSE),"Non trouvé")</f>
        <v>Non trouvé</v>
      </c>
      <c r="I835" s="6" t="str">
        <f>IFERROR(VLOOKUP(LOG_RESEAU[[#This Row],[Cell_ID]],Registre_Maintenance!A:F,6,FALSE),"Non trouvé")</f>
        <v>Non trouvé</v>
      </c>
      <c r="J835" s="6" t="str">
        <f t="shared" si="39"/>
        <v>Antenne inconnue</v>
      </c>
      <c r="K835" s="6">
        <f t="shared" si="40"/>
        <v>6</v>
      </c>
      <c r="L835" s="6">
        <f t="shared" si="41"/>
        <v>354</v>
      </c>
    </row>
    <row r="836" spans="1:12" ht="15.75" x14ac:dyDescent="0.25">
      <c r="A836" s="6" t="s">
        <v>905</v>
      </c>
      <c r="B836" s="7">
        <v>45223.030555555553</v>
      </c>
      <c r="C836" s="6">
        <v>59</v>
      </c>
      <c r="D836" s="6" t="s">
        <v>794</v>
      </c>
      <c r="E836" s="8" t="str">
        <f>IFERROR(VLOOKUP(LOG_RESEAU[[#This Row],[Cell_ID]],Registre_Maintenance!A:B,2,FALSE),"Non trouvé")</f>
        <v>Non trouvé</v>
      </c>
      <c r="F836" s="8" t="str">
        <f>IFERROR(VLOOKUP(LOG_RESEAU[[#This Row],[Cell_ID]],Registre_Maintenance!A:C,3,FALSE),"Non trouvé")</f>
        <v>Non trouvé</v>
      </c>
      <c r="G836" s="8" t="str">
        <f>IFERROR(VLOOKUP(LOG_RESEAU[[#This Row],[Cell_ID]],Registre_Maintenance!A:D,4,FALSE),"Non trouvé")</f>
        <v>Non trouvé</v>
      </c>
      <c r="H836" s="6" t="str">
        <f>IFERROR(VLOOKUP(LOG_RESEAU[[#This Row],[Cell_ID]],Registre_Maintenance!A:E,5,FALSE),"Non trouvé")</f>
        <v>Non trouvé</v>
      </c>
      <c r="I836" s="6" t="str">
        <f>IFERROR(VLOOKUP(LOG_RESEAU[[#This Row],[Cell_ID]],Registre_Maintenance!A:F,6,FALSE),"Non trouvé")</f>
        <v>Non trouvé</v>
      </c>
      <c r="J836" s="6" t="str">
        <f t="shared" si="39"/>
        <v>Antenne inconnue</v>
      </c>
      <c r="K836" s="6">
        <f t="shared" si="40"/>
        <v>6</v>
      </c>
      <c r="L836" s="6">
        <f t="shared" si="41"/>
        <v>354</v>
      </c>
    </row>
    <row r="837" spans="1:12" ht="15.75" x14ac:dyDescent="0.25">
      <c r="A837" s="6" t="s">
        <v>1011</v>
      </c>
      <c r="B837" s="7">
        <v>45230.061111111107</v>
      </c>
      <c r="C837" s="6">
        <v>36</v>
      </c>
      <c r="D837" s="6" t="s">
        <v>800</v>
      </c>
      <c r="E837" s="8" t="str">
        <f>IFERROR(VLOOKUP(LOG_RESEAU[[#This Row],[Cell_ID]],Registre_Maintenance!A:B,2,FALSE),"Non trouvé")</f>
        <v>Non trouvé</v>
      </c>
      <c r="F837" s="8" t="str">
        <f>IFERROR(VLOOKUP(LOG_RESEAU[[#This Row],[Cell_ID]],Registre_Maintenance!A:C,3,FALSE),"Non trouvé")</f>
        <v>Non trouvé</v>
      </c>
      <c r="G837" s="8" t="str">
        <f>IFERROR(VLOOKUP(LOG_RESEAU[[#This Row],[Cell_ID]],Registre_Maintenance!A:D,4,FALSE),"Non trouvé")</f>
        <v>Non trouvé</v>
      </c>
      <c r="H837" s="6" t="str">
        <f>IFERROR(VLOOKUP(LOG_RESEAU[[#This Row],[Cell_ID]],Registre_Maintenance!A:E,5,FALSE),"Non trouvé")</f>
        <v>Non trouvé</v>
      </c>
      <c r="I837" s="6" t="str">
        <f>IFERROR(VLOOKUP(LOG_RESEAU[[#This Row],[Cell_ID]],Registre_Maintenance!A:F,6,FALSE),"Non trouvé")</f>
        <v>Non trouvé</v>
      </c>
      <c r="J837" s="6" t="str">
        <f t="shared" si="39"/>
        <v>Antenne inconnue</v>
      </c>
      <c r="K837" s="6">
        <f t="shared" si="40"/>
        <v>3</v>
      </c>
      <c r="L837" s="6">
        <f t="shared" si="41"/>
        <v>226</v>
      </c>
    </row>
    <row r="838" spans="1:12" ht="15.75" x14ac:dyDescent="0.25">
      <c r="A838" s="6" t="s">
        <v>1011</v>
      </c>
      <c r="B838" s="7">
        <v>45217.411805555559</v>
      </c>
      <c r="C838" s="6">
        <v>92</v>
      </c>
      <c r="D838" s="6" t="s">
        <v>792</v>
      </c>
      <c r="E838" s="8" t="str">
        <f>IFERROR(VLOOKUP(LOG_RESEAU[[#This Row],[Cell_ID]],Registre_Maintenance!A:B,2,FALSE),"Non trouvé")</f>
        <v>Non trouvé</v>
      </c>
      <c r="F838" s="8" t="str">
        <f>IFERROR(VLOOKUP(LOG_RESEAU[[#This Row],[Cell_ID]],Registre_Maintenance!A:C,3,FALSE),"Non trouvé")</f>
        <v>Non trouvé</v>
      </c>
      <c r="G838" s="8" t="str">
        <f>IFERROR(VLOOKUP(LOG_RESEAU[[#This Row],[Cell_ID]],Registre_Maintenance!A:D,4,FALSE),"Non trouvé")</f>
        <v>Non trouvé</v>
      </c>
      <c r="H838" s="6" t="str">
        <f>IFERROR(VLOOKUP(LOG_RESEAU[[#This Row],[Cell_ID]],Registre_Maintenance!A:E,5,FALSE),"Non trouvé")</f>
        <v>Non trouvé</v>
      </c>
      <c r="I838" s="6" t="str">
        <f>IFERROR(VLOOKUP(LOG_RESEAU[[#This Row],[Cell_ID]],Registre_Maintenance!A:F,6,FALSE),"Non trouvé")</f>
        <v>Non trouvé</v>
      </c>
      <c r="J838" s="6" t="str">
        <f t="shared" si="39"/>
        <v>Antenne inconnue</v>
      </c>
      <c r="K838" s="6">
        <f t="shared" si="40"/>
        <v>3</v>
      </c>
      <c r="L838" s="6">
        <f t="shared" si="41"/>
        <v>226</v>
      </c>
    </row>
    <row r="839" spans="1:12" ht="15.75" x14ac:dyDescent="0.25">
      <c r="A839" s="6" t="s">
        <v>1011</v>
      </c>
      <c r="B839" s="7">
        <v>45206.43472222222</v>
      </c>
      <c r="C839" s="6">
        <v>98</v>
      </c>
      <c r="D839" s="6" t="s">
        <v>794</v>
      </c>
      <c r="E839" s="8" t="str">
        <f>IFERROR(VLOOKUP(LOG_RESEAU[[#This Row],[Cell_ID]],Registre_Maintenance!A:B,2,FALSE),"Non trouvé")</f>
        <v>Non trouvé</v>
      </c>
      <c r="F839" s="8" t="str">
        <f>IFERROR(VLOOKUP(LOG_RESEAU[[#This Row],[Cell_ID]],Registre_Maintenance!A:C,3,FALSE),"Non trouvé")</f>
        <v>Non trouvé</v>
      </c>
      <c r="G839" s="8" t="str">
        <f>IFERROR(VLOOKUP(LOG_RESEAU[[#This Row],[Cell_ID]],Registre_Maintenance!A:D,4,FALSE),"Non trouvé")</f>
        <v>Non trouvé</v>
      </c>
      <c r="H839" s="6" t="str">
        <f>IFERROR(VLOOKUP(LOG_RESEAU[[#This Row],[Cell_ID]],Registre_Maintenance!A:E,5,FALSE),"Non trouvé")</f>
        <v>Non trouvé</v>
      </c>
      <c r="I839" s="6" t="str">
        <f>IFERROR(VLOOKUP(LOG_RESEAU[[#This Row],[Cell_ID]],Registre_Maintenance!A:F,6,FALSE),"Non trouvé")</f>
        <v>Non trouvé</v>
      </c>
      <c r="J839" s="6" t="str">
        <f t="shared" si="39"/>
        <v>Antenne inconnue</v>
      </c>
      <c r="K839" s="6">
        <f t="shared" si="40"/>
        <v>3</v>
      </c>
      <c r="L839" s="6">
        <f t="shared" si="41"/>
        <v>226</v>
      </c>
    </row>
    <row r="840" spans="1:12" ht="15.75" x14ac:dyDescent="0.25">
      <c r="A840" s="6" t="s">
        <v>851</v>
      </c>
      <c r="B840" s="7">
        <v>45229.163194444453</v>
      </c>
      <c r="C840" s="6">
        <v>86</v>
      </c>
      <c r="D840" s="6" t="s">
        <v>792</v>
      </c>
      <c r="E840" s="8" t="str">
        <f>IFERROR(VLOOKUP(LOG_RESEAU[[#This Row],[Cell_ID]],Registre_Maintenance!A:B,2,FALSE),"Non trouvé")</f>
        <v>Non trouvé</v>
      </c>
      <c r="F840" s="8" t="str">
        <f>IFERROR(VLOOKUP(LOG_RESEAU[[#This Row],[Cell_ID]],Registre_Maintenance!A:C,3,FALSE),"Non trouvé")</f>
        <v>Non trouvé</v>
      </c>
      <c r="G840" s="8" t="str">
        <f>IFERROR(VLOOKUP(LOG_RESEAU[[#This Row],[Cell_ID]],Registre_Maintenance!A:D,4,FALSE),"Non trouvé")</f>
        <v>Non trouvé</v>
      </c>
      <c r="H840" s="6" t="str">
        <f>IFERROR(VLOOKUP(LOG_RESEAU[[#This Row],[Cell_ID]],Registre_Maintenance!A:E,5,FALSE),"Non trouvé")</f>
        <v>Non trouvé</v>
      </c>
      <c r="I840" s="6" t="str">
        <f>IFERROR(VLOOKUP(LOG_RESEAU[[#This Row],[Cell_ID]],Registre_Maintenance!A:F,6,FALSE),"Non trouvé")</f>
        <v>Non trouvé</v>
      </c>
      <c r="J840" s="6" t="str">
        <f t="shared" si="39"/>
        <v>Antenne inconnue</v>
      </c>
      <c r="K840" s="6">
        <f t="shared" si="40"/>
        <v>7</v>
      </c>
      <c r="L840" s="6">
        <f t="shared" si="41"/>
        <v>528</v>
      </c>
    </row>
    <row r="841" spans="1:12" ht="15.75" x14ac:dyDescent="0.25">
      <c r="A841" s="6" t="s">
        <v>851</v>
      </c>
      <c r="B841" s="7">
        <v>45201.35</v>
      </c>
      <c r="C841" s="6">
        <v>66</v>
      </c>
      <c r="D841" s="6" t="s">
        <v>792</v>
      </c>
      <c r="E841" s="8" t="str">
        <f>IFERROR(VLOOKUP(LOG_RESEAU[[#This Row],[Cell_ID]],Registre_Maintenance!A:B,2,FALSE),"Non trouvé")</f>
        <v>Non trouvé</v>
      </c>
      <c r="F841" s="8" t="str">
        <f>IFERROR(VLOOKUP(LOG_RESEAU[[#This Row],[Cell_ID]],Registre_Maintenance!A:C,3,FALSE),"Non trouvé")</f>
        <v>Non trouvé</v>
      </c>
      <c r="G841" s="8" t="str">
        <f>IFERROR(VLOOKUP(LOG_RESEAU[[#This Row],[Cell_ID]],Registre_Maintenance!A:D,4,FALSE),"Non trouvé")</f>
        <v>Non trouvé</v>
      </c>
      <c r="H841" s="6" t="str">
        <f>IFERROR(VLOOKUP(LOG_RESEAU[[#This Row],[Cell_ID]],Registre_Maintenance!A:E,5,FALSE),"Non trouvé")</f>
        <v>Non trouvé</v>
      </c>
      <c r="I841" s="6" t="str">
        <f>IFERROR(VLOOKUP(LOG_RESEAU[[#This Row],[Cell_ID]],Registre_Maintenance!A:F,6,FALSE),"Non trouvé")</f>
        <v>Non trouvé</v>
      </c>
      <c r="J841" s="6" t="str">
        <f t="shared" si="39"/>
        <v>Antenne inconnue</v>
      </c>
      <c r="K841" s="6">
        <f t="shared" si="40"/>
        <v>7</v>
      </c>
      <c r="L841" s="6">
        <f t="shared" si="41"/>
        <v>528</v>
      </c>
    </row>
    <row r="842" spans="1:12" ht="15.75" x14ac:dyDescent="0.25">
      <c r="A842" s="6" t="s">
        <v>851</v>
      </c>
      <c r="B842" s="7">
        <v>45214.929861111108</v>
      </c>
      <c r="C842" s="6">
        <v>83</v>
      </c>
      <c r="D842" s="6" t="s">
        <v>792</v>
      </c>
      <c r="E842" s="8" t="str">
        <f>IFERROR(VLOOKUP(LOG_RESEAU[[#This Row],[Cell_ID]],Registre_Maintenance!A:B,2,FALSE),"Non trouvé")</f>
        <v>Non trouvé</v>
      </c>
      <c r="F842" s="8" t="str">
        <f>IFERROR(VLOOKUP(LOG_RESEAU[[#This Row],[Cell_ID]],Registre_Maintenance!A:C,3,FALSE),"Non trouvé")</f>
        <v>Non trouvé</v>
      </c>
      <c r="G842" s="8" t="str">
        <f>IFERROR(VLOOKUP(LOG_RESEAU[[#This Row],[Cell_ID]],Registre_Maintenance!A:D,4,FALSE),"Non trouvé")</f>
        <v>Non trouvé</v>
      </c>
      <c r="H842" s="6" t="str">
        <f>IFERROR(VLOOKUP(LOG_RESEAU[[#This Row],[Cell_ID]],Registre_Maintenance!A:E,5,FALSE),"Non trouvé")</f>
        <v>Non trouvé</v>
      </c>
      <c r="I842" s="6" t="str">
        <f>IFERROR(VLOOKUP(LOG_RESEAU[[#This Row],[Cell_ID]],Registre_Maintenance!A:F,6,FALSE),"Non trouvé")</f>
        <v>Non trouvé</v>
      </c>
      <c r="J842" s="6" t="str">
        <f t="shared" si="39"/>
        <v>Antenne inconnue</v>
      </c>
      <c r="K842" s="6">
        <f t="shared" si="40"/>
        <v>7</v>
      </c>
      <c r="L842" s="6">
        <f t="shared" si="41"/>
        <v>528</v>
      </c>
    </row>
    <row r="843" spans="1:12" ht="15.75" x14ac:dyDescent="0.25">
      <c r="A843" s="6" t="s">
        <v>851</v>
      </c>
      <c r="B843" s="7">
        <v>45205.102777777778</v>
      </c>
      <c r="C843" s="6">
        <v>24</v>
      </c>
      <c r="D843" s="6" t="s">
        <v>794</v>
      </c>
      <c r="E843" s="8" t="str">
        <f>IFERROR(VLOOKUP(LOG_RESEAU[[#This Row],[Cell_ID]],Registre_Maintenance!A:B,2,FALSE),"Non trouvé")</f>
        <v>Non trouvé</v>
      </c>
      <c r="F843" s="8" t="str">
        <f>IFERROR(VLOOKUP(LOG_RESEAU[[#This Row],[Cell_ID]],Registre_Maintenance!A:C,3,FALSE),"Non trouvé")</f>
        <v>Non trouvé</v>
      </c>
      <c r="G843" s="8" t="str">
        <f>IFERROR(VLOOKUP(LOG_RESEAU[[#This Row],[Cell_ID]],Registre_Maintenance!A:D,4,FALSE),"Non trouvé")</f>
        <v>Non trouvé</v>
      </c>
      <c r="H843" s="6" t="str">
        <f>IFERROR(VLOOKUP(LOG_RESEAU[[#This Row],[Cell_ID]],Registre_Maintenance!A:E,5,FALSE),"Non trouvé")</f>
        <v>Non trouvé</v>
      </c>
      <c r="I843" s="6" t="str">
        <f>IFERROR(VLOOKUP(LOG_RESEAU[[#This Row],[Cell_ID]],Registre_Maintenance!A:F,6,FALSE),"Non trouvé")</f>
        <v>Non trouvé</v>
      </c>
      <c r="J843" s="6" t="str">
        <f t="shared" si="39"/>
        <v>Antenne inconnue</v>
      </c>
      <c r="K843" s="6">
        <f t="shared" si="40"/>
        <v>7</v>
      </c>
      <c r="L843" s="6">
        <f t="shared" si="41"/>
        <v>528</v>
      </c>
    </row>
    <row r="844" spans="1:12" ht="15.75" x14ac:dyDescent="0.25">
      <c r="A844" s="6" t="s">
        <v>851</v>
      </c>
      <c r="B844" s="7">
        <v>45210.306250000001</v>
      </c>
      <c r="C844" s="6">
        <v>87</v>
      </c>
      <c r="D844" s="6" t="s">
        <v>792</v>
      </c>
      <c r="E844" s="8" t="str">
        <f>IFERROR(VLOOKUP(LOG_RESEAU[[#This Row],[Cell_ID]],Registre_Maintenance!A:B,2,FALSE),"Non trouvé")</f>
        <v>Non trouvé</v>
      </c>
      <c r="F844" s="8" t="str">
        <f>IFERROR(VLOOKUP(LOG_RESEAU[[#This Row],[Cell_ID]],Registre_Maintenance!A:C,3,FALSE),"Non trouvé")</f>
        <v>Non trouvé</v>
      </c>
      <c r="G844" s="8" t="str">
        <f>IFERROR(VLOOKUP(LOG_RESEAU[[#This Row],[Cell_ID]],Registre_Maintenance!A:D,4,FALSE),"Non trouvé")</f>
        <v>Non trouvé</v>
      </c>
      <c r="H844" s="6" t="str">
        <f>IFERROR(VLOOKUP(LOG_RESEAU[[#This Row],[Cell_ID]],Registre_Maintenance!A:E,5,FALSE),"Non trouvé")</f>
        <v>Non trouvé</v>
      </c>
      <c r="I844" s="6" t="str">
        <f>IFERROR(VLOOKUP(LOG_RESEAU[[#This Row],[Cell_ID]],Registre_Maintenance!A:F,6,FALSE),"Non trouvé")</f>
        <v>Non trouvé</v>
      </c>
      <c r="J844" s="6" t="str">
        <f t="shared" si="39"/>
        <v>Antenne inconnue</v>
      </c>
      <c r="K844" s="6">
        <f t="shared" si="40"/>
        <v>7</v>
      </c>
      <c r="L844" s="6">
        <f t="shared" si="41"/>
        <v>528</v>
      </c>
    </row>
    <row r="845" spans="1:12" hidden="1" x14ac:dyDescent="0.25">
      <c r="A845" s="2"/>
      <c r="B845" s="2">
        <v>45222.652777777781</v>
      </c>
      <c r="C845" s="2">
        <v>64</v>
      </c>
      <c r="D845" s="2" t="s">
        <v>800</v>
      </c>
      <c r="E845" s="3" t="str">
        <f>IFERROR(VLOOKUP(LOG_RESEAU[[#This Row],[Cell_ID]],Registre_Maintenance!A:B,2,FALSE),"Non trouvé")</f>
        <v>Non trouvé</v>
      </c>
      <c r="F845" s="3" t="str">
        <f>IFERROR(VLOOKUP(LOG_RESEAU[[#This Row],[Cell_ID]],Registre_Maintenance!A:C,3,FALSE),"Non trouvé")</f>
        <v>Non trouvé</v>
      </c>
      <c r="G845" s="3" t="str">
        <f>IFERROR(VLOOKUP(LOG_RESEAU[[#This Row],[Cell_ID]],Registre_Maintenance!A:D,4,FALSE),"Non trouvé")</f>
        <v>Non trouvé</v>
      </c>
      <c r="H845" s="2" t="str">
        <f>IFERROR(VLOOKUP(LOG_RESEAU[[#This Row],[Cell_ID]],Registre_Maintenance!A:E,5,FALSE),"Non trouvé")</f>
        <v>Non trouvé</v>
      </c>
      <c r="I845" s="2" t="str">
        <f>IFERROR(VLOOKUP(LOG_RESEAU[[#This Row],[Cell_ID]],Registre_Maintenance!A:F,6,FALSE),"Non trouvé")</f>
        <v>Non trouvé</v>
      </c>
      <c r="J845" s="2" t="str">
        <f t="shared" si="39"/>
        <v>Antenne inconnue</v>
      </c>
      <c r="K845" s="2">
        <f t="shared" si="40"/>
        <v>0</v>
      </c>
      <c r="L845" s="2">
        <f t="shared" si="41"/>
        <v>0</v>
      </c>
    </row>
    <row r="846" spans="1:12" ht="15.75" x14ac:dyDescent="0.25">
      <c r="A846" s="6" t="s">
        <v>851</v>
      </c>
      <c r="B846" s="7">
        <v>45217.89166666667</v>
      </c>
      <c r="C846" s="6">
        <v>78</v>
      </c>
      <c r="D846" s="6" t="s">
        <v>792</v>
      </c>
      <c r="E846" s="8" t="str">
        <f>IFERROR(VLOOKUP(LOG_RESEAU[[#This Row],[Cell_ID]],Registre_Maintenance!A:B,2,FALSE),"Non trouvé")</f>
        <v>Non trouvé</v>
      </c>
      <c r="F846" s="8" t="str">
        <f>IFERROR(VLOOKUP(LOG_RESEAU[[#This Row],[Cell_ID]],Registre_Maintenance!A:C,3,FALSE),"Non trouvé")</f>
        <v>Non trouvé</v>
      </c>
      <c r="G846" s="8" t="str">
        <f>IFERROR(VLOOKUP(LOG_RESEAU[[#This Row],[Cell_ID]],Registre_Maintenance!A:D,4,FALSE),"Non trouvé")</f>
        <v>Non trouvé</v>
      </c>
      <c r="H846" s="6" t="str">
        <f>IFERROR(VLOOKUP(LOG_RESEAU[[#This Row],[Cell_ID]],Registre_Maintenance!A:E,5,FALSE),"Non trouvé")</f>
        <v>Non trouvé</v>
      </c>
      <c r="I846" s="6" t="str">
        <f>IFERROR(VLOOKUP(LOG_RESEAU[[#This Row],[Cell_ID]],Registre_Maintenance!A:F,6,FALSE),"Non trouvé")</f>
        <v>Non trouvé</v>
      </c>
      <c r="J846" s="6" t="str">
        <f t="shared" si="39"/>
        <v>Antenne inconnue</v>
      </c>
      <c r="K846" s="6">
        <f t="shared" si="40"/>
        <v>7</v>
      </c>
      <c r="L846" s="6">
        <f t="shared" si="41"/>
        <v>528</v>
      </c>
    </row>
    <row r="847" spans="1:12" ht="15.75" x14ac:dyDescent="0.25">
      <c r="A847" s="6" t="s">
        <v>851</v>
      </c>
      <c r="B847" s="7">
        <v>45206.259027777778</v>
      </c>
      <c r="C847" s="6">
        <v>104</v>
      </c>
      <c r="D847" s="6" t="s">
        <v>794</v>
      </c>
      <c r="E847" s="8" t="str">
        <f>IFERROR(VLOOKUP(LOG_RESEAU[[#This Row],[Cell_ID]],Registre_Maintenance!A:B,2,FALSE),"Non trouvé")</f>
        <v>Non trouvé</v>
      </c>
      <c r="F847" s="8" t="str">
        <f>IFERROR(VLOOKUP(LOG_RESEAU[[#This Row],[Cell_ID]],Registre_Maintenance!A:C,3,FALSE),"Non trouvé")</f>
        <v>Non trouvé</v>
      </c>
      <c r="G847" s="8" t="str">
        <f>IFERROR(VLOOKUP(LOG_RESEAU[[#This Row],[Cell_ID]],Registre_Maintenance!A:D,4,FALSE),"Non trouvé")</f>
        <v>Non trouvé</v>
      </c>
      <c r="H847" s="6" t="str">
        <f>IFERROR(VLOOKUP(LOG_RESEAU[[#This Row],[Cell_ID]],Registre_Maintenance!A:E,5,FALSE),"Non trouvé")</f>
        <v>Non trouvé</v>
      </c>
      <c r="I847" s="6" t="str">
        <f>IFERROR(VLOOKUP(LOG_RESEAU[[#This Row],[Cell_ID]],Registre_Maintenance!A:F,6,FALSE),"Non trouvé")</f>
        <v>Non trouvé</v>
      </c>
      <c r="J847" s="6" t="str">
        <f t="shared" si="39"/>
        <v>Antenne inconnue</v>
      </c>
      <c r="K847" s="6">
        <f t="shared" si="40"/>
        <v>7</v>
      </c>
      <c r="L847" s="6">
        <f t="shared" si="41"/>
        <v>528</v>
      </c>
    </row>
    <row r="848" spans="1:12" ht="15.75" x14ac:dyDescent="0.25">
      <c r="A848" s="6" t="s">
        <v>951</v>
      </c>
      <c r="B848" s="7">
        <v>45218.875694444447</v>
      </c>
      <c r="C848" s="6">
        <v>42</v>
      </c>
      <c r="D848" s="6" t="s">
        <v>794</v>
      </c>
      <c r="E848" s="8" t="str">
        <f>IFERROR(VLOOKUP(LOG_RESEAU[[#This Row],[Cell_ID]],Registre_Maintenance!A:B,2,FALSE),"Non trouvé")</f>
        <v>Sud-Kivu</v>
      </c>
      <c r="F848" s="8">
        <f>IFERROR(VLOOKUP(LOG_RESEAU[[#This Row],[Cell_ID]],Registre_Maintenance!A:C,3,FALSE),"Non trouvé")</f>
        <v>2.4414509999999998</v>
      </c>
      <c r="G848" s="8">
        <f>IFERROR(VLOOKUP(LOG_RESEAU[[#This Row],[Cell_ID]],Registre_Maintenance!A:D,4,FALSE),"Non trouvé")</f>
        <v>30.167489</v>
      </c>
      <c r="H848" s="6" t="str">
        <f>IFERROR(VLOOKUP(LOG_RESEAU[[#This Row],[Cell_ID]],Registre_Maintenance!A:E,5,FALSE),"Non trouvé")</f>
        <v>5G</v>
      </c>
      <c r="I848" s="6" t="str">
        <f>IFERROR(VLOOKUP(LOG_RESEAU[[#This Row],[Cell_ID]],Registre_Maintenance!A:F,6,FALSE),"Non trouvé")</f>
        <v>Nokia</v>
      </c>
      <c r="J848" s="6" t="str">
        <f t="shared" si="39"/>
        <v>OK</v>
      </c>
      <c r="K848" s="6">
        <f t="shared" si="40"/>
        <v>8</v>
      </c>
      <c r="L848" s="6">
        <f t="shared" si="41"/>
        <v>562</v>
      </c>
    </row>
    <row r="849" spans="1:12" ht="15.75" x14ac:dyDescent="0.25">
      <c r="A849" s="6" t="s">
        <v>951</v>
      </c>
      <c r="B849" s="7">
        <v>45218.056944444441</v>
      </c>
      <c r="C849" s="6">
        <v>21</v>
      </c>
      <c r="D849" s="6" t="s">
        <v>800</v>
      </c>
      <c r="E849" s="8" t="str">
        <f>IFERROR(VLOOKUP(LOG_RESEAU[[#This Row],[Cell_ID]],Registre_Maintenance!A:B,2,FALSE),"Non trouvé")</f>
        <v>Sud-Kivu</v>
      </c>
      <c r="F849" s="8">
        <f>IFERROR(VLOOKUP(LOG_RESEAU[[#This Row],[Cell_ID]],Registre_Maintenance!A:C,3,FALSE),"Non trouvé")</f>
        <v>2.4414509999999998</v>
      </c>
      <c r="G849" s="8">
        <f>IFERROR(VLOOKUP(LOG_RESEAU[[#This Row],[Cell_ID]],Registre_Maintenance!A:D,4,FALSE),"Non trouvé")</f>
        <v>30.167489</v>
      </c>
      <c r="H849" s="6" t="str">
        <f>IFERROR(VLOOKUP(LOG_RESEAU[[#This Row],[Cell_ID]],Registre_Maintenance!A:E,5,FALSE),"Non trouvé")</f>
        <v>5G</v>
      </c>
      <c r="I849" s="6" t="str">
        <f>IFERROR(VLOOKUP(LOG_RESEAU[[#This Row],[Cell_ID]],Registre_Maintenance!A:F,6,FALSE),"Non trouvé")</f>
        <v>Nokia</v>
      </c>
      <c r="J849" s="6" t="str">
        <f t="shared" si="39"/>
        <v>OK</v>
      </c>
      <c r="K849" s="6">
        <f t="shared" si="40"/>
        <v>8</v>
      </c>
      <c r="L849" s="6">
        <f t="shared" si="41"/>
        <v>562</v>
      </c>
    </row>
    <row r="850" spans="1:12" ht="15.75" x14ac:dyDescent="0.25">
      <c r="A850" s="6" t="s">
        <v>951</v>
      </c>
      <c r="B850" s="7">
        <v>45214.097222222219</v>
      </c>
      <c r="C850" s="6">
        <v>47</v>
      </c>
      <c r="D850" s="6" t="s">
        <v>800</v>
      </c>
      <c r="E850" s="8" t="str">
        <f>IFERROR(VLOOKUP(LOG_RESEAU[[#This Row],[Cell_ID]],Registre_Maintenance!A:B,2,FALSE),"Non trouvé")</f>
        <v>Sud-Kivu</v>
      </c>
      <c r="F850" s="8">
        <f>IFERROR(VLOOKUP(LOG_RESEAU[[#This Row],[Cell_ID]],Registre_Maintenance!A:C,3,FALSE),"Non trouvé")</f>
        <v>2.4414509999999998</v>
      </c>
      <c r="G850" s="8">
        <f>IFERROR(VLOOKUP(LOG_RESEAU[[#This Row],[Cell_ID]],Registre_Maintenance!A:D,4,FALSE),"Non trouvé")</f>
        <v>30.167489</v>
      </c>
      <c r="H850" s="6" t="str">
        <f>IFERROR(VLOOKUP(LOG_RESEAU[[#This Row],[Cell_ID]],Registre_Maintenance!A:E,5,FALSE),"Non trouvé")</f>
        <v>5G</v>
      </c>
      <c r="I850" s="6" t="str">
        <f>IFERROR(VLOOKUP(LOG_RESEAU[[#This Row],[Cell_ID]],Registre_Maintenance!A:F,6,FALSE),"Non trouvé")</f>
        <v>Nokia</v>
      </c>
      <c r="J850" s="6" t="str">
        <f t="shared" si="39"/>
        <v>OK</v>
      </c>
      <c r="K850" s="6">
        <f t="shared" si="40"/>
        <v>8</v>
      </c>
      <c r="L850" s="6">
        <f t="shared" si="41"/>
        <v>562</v>
      </c>
    </row>
    <row r="851" spans="1:12" ht="15.75" x14ac:dyDescent="0.25">
      <c r="A851" s="6" t="s">
        <v>951</v>
      </c>
      <c r="B851" s="7">
        <v>45226.892361111109</v>
      </c>
      <c r="C851" s="6">
        <v>116</v>
      </c>
      <c r="D851" s="6" t="s">
        <v>792</v>
      </c>
      <c r="E851" s="8" t="str">
        <f>IFERROR(VLOOKUP(LOG_RESEAU[[#This Row],[Cell_ID]],Registre_Maintenance!A:B,2,FALSE),"Non trouvé")</f>
        <v>Sud-Kivu</v>
      </c>
      <c r="F851" s="8">
        <f>IFERROR(VLOOKUP(LOG_RESEAU[[#This Row],[Cell_ID]],Registre_Maintenance!A:C,3,FALSE),"Non trouvé")</f>
        <v>2.4414509999999998</v>
      </c>
      <c r="G851" s="8">
        <f>IFERROR(VLOOKUP(LOG_RESEAU[[#This Row],[Cell_ID]],Registre_Maintenance!A:D,4,FALSE),"Non trouvé")</f>
        <v>30.167489</v>
      </c>
      <c r="H851" s="6" t="str">
        <f>IFERROR(VLOOKUP(LOG_RESEAU[[#This Row],[Cell_ID]],Registre_Maintenance!A:E,5,FALSE),"Non trouvé")</f>
        <v>5G</v>
      </c>
      <c r="I851" s="6" t="str">
        <f>IFERROR(VLOOKUP(LOG_RESEAU[[#This Row],[Cell_ID]],Registre_Maintenance!A:F,6,FALSE),"Non trouvé")</f>
        <v>Nokia</v>
      </c>
      <c r="J851" s="6" t="str">
        <f t="shared" si="39"/>
        <v>OK</v>
      </c>
      <c r="K851" s="6">
        <f t="shared" si="40"/>
        <v>8</v>
      </c>
      <c r="L851" s="6">
        <f t="shared" si="41"/>
        <v>562</v>
      </c>
    </row>
    <row r="852" spans="1:12" ht="15.75" x14ac:dyDescent="0.25">
      <c r="A852" s="6" t="s">
        <v>951</v>
      </c>
      <c r="B852" s="7">
        <v>45229.39166666667</v>
      </c>
      <c r="C852" s="6">
        <v>39</v>
      </c>
      <c r="D852" s="6" t="s">
        <v>800</v>
      </c>
      <c r="E852" s="8" t="str">
        <f>IFERROR(VLOOKUP(LOG_RESEAU[[#This Row],[Cell_ID]],Registre_Maintenance!A:B,2,FALSE),"Non trouvé")</f>
        <v>Sud-Kivu</v>
      </c>
      <c r="F852" s="8">
        <f>IFERROR(VLOOKUP(LOG_RESEAU[[#This Row],[Cell_ID]],Registre_Maintenance!A:C,3,FALSE),"Non trouvé")</f>
        <v>2.4414509999999998</v>
      </c>
      <c r="G852" s="8">
        <f>IFERROR(VLOOKUP(LOG_RESEAU[[#This Row],[Cell_ID]],Registre_Maintenance!A:D,4,FALSE),"Non trouvé")</f>
        <v>30.167489</v>
      </c>
      <c r="H852" s="6" t="str">
        <f>IFERROR(VLOOKUP(LOG_RESEAU[[#This Row],[Cell_ID]],Registre_Maintenance!A:E,5,FALSE),"Non trouvé")</f>
        <v>5G</v>
      </c>
      <c r="I852" s="6" t="str">
        <f>IFERROR(VLOOKUP(LOG_RESEAU[[#This Row],[Cell_ID]],Registre_Maintenance!A:F,6,FALSE),"Non trouvé")</f>
        <v>Nokia</v>
      </c>
      <c r="J852" s="6" t="str">
        <f t="shared" si="39"/>
        <v>OK</v>
      </c>
      <c r="K852" s="6">
        <f t="shared" si="40"/>
        <v>8</v>
      </c>
      <c r="L852" s="6">
        <f t="shared" si="41"/>
        <v>562</v>
      </c>
    </row>
    <row r="853" spans="1:12" ht="15.75" x14ac:dyDescent="0.25">
      <c r="A853" s="6" t="s">
        <v>951</v>
      </c>
      <c r="B853" s="7">
        <v>45226.265972222223</v>
      </c>
      <c r="C853" s="6">
        <v>94</v>
      </c>
      <c r="D853" s="6" t="s">
        <v>792</v>
      </c>
      <c r="E853" s="8" t="str">
        <f>IFERROR(VLOOKUP(LOG_RESEAU[[#This Row],[Cell_ID]],Registre_Maintenance!A:B,2,FALSE),"Non trouvé")</f>
        <v>Sud-Kivu</v>
      </c>
      <c r="F853" s="8">
        <f>IFERROR(VLOOKUP(LOG_RESEAU[[#This Row],[Cell_ID]],Registre_Maintenance!A:C,3,FALSE),"Non trouvé")</f>
        <v>2.4414509999999998</v>
      </c>
      <c r="G853" s="8">
        <f>IFERROR(VLOOKUP(LOG_RESEAU[[#This Row],[Cell_ID]],Registre_Maintenance!A:D,4,FALSE),"Non trouvé")</f>
        <v>30.167489</v>
      </c>
      <c r="H853" s="6" t="str">
        <f>IFERROR(VLOOKUP(LOG_RESEAU[[#This Row],[Cell_ID]],Registre_Maintenance!A:E,5,FALSE),"Non trouvé")</f>
        <v>5G</v>
      </c>
      <c r="I853" s="6" t="str">
        <f>IFERROR(VLOOKUP(LOG_RESEAU[[#This Row],[Cell_ID]],Registre_Maintenance!A:F,6,FALSE),"Non trouvé")</f>
        <v>Nokia</v>
      </c>
      <c r="J853" s="6" t="str">
        <f t="shared" si="39"/>
        <v>OK</v>
      </c>
      <c r="K853" s="6">
        <f t="shared" si="40"/>
        <v>8</v>
      </c>
      <c r="L853" s="6">
        <f t="shared" si="41"/>
        <v>562</v>
      </c>
    </row>
    <row r="854" spans="1:12" ht="15.75" x14ac:dyDescent="0.25">
      <c r="A854" s="6" t="s">
        <v>951</v>
      </c>
      <c r="B854" s="7">
        <v>45216.275000000001</v>
      </c>
      <c r="C854" s="6">
        <v>119</v>
      </c>
      <c r="D854" s="6" t="s">
        <v>792</v>
      </c>
      <c r="E854" s="8" t="str">
        <f>IFERROR(VLOOKUP(LOG_RESEAU[[#This Row],[Cell_ID]],Registre_Maintenance!A:B,2,FALSE),"Non trouvé")</f>
        <v>Sud-Kivu</v>
      </c>
      <c r="F854" s="8">
        <f>IFERROR(VLOOKUP(LOG_RESEAU[[#This Row],[Cell_ID]],Registre_Maintenance!A:C,3,FALSE),"Non trouvé")</f>
        <v>2.4414509999999998</v>
      </c>
      <c r="G854" s="8">
        <f>IFERROR(VLOOKUP(LOG_RESEAU[[#This Row],[Cell_ID]],Registre_Maintenance!A:D,4,FALSE),"Non trouvé")</f>
        <v>30.167489</v>
      </c>
      <c r="H854" s="6" t="str">
        <f>IFERROR(VLOOKUP(LOG_RESEAU[[#This Row],[Cell_ID]],Registre_Maintenance!A:E,5,FALSE),"Non trouvé")</f>
        <v>5G</v>
      </c>
      <c r="I854" s="6" t="str">
        <f>IFERROR(VLOOKUP(LOG_RESEAU[[#This Row],[Cell_ID]],Registre_Maintenance!A:F,6,FALSE),"Non trouvé")</f>
        <v>Nokia</v>
      </c>
      <c r="J854" s="6" t="str">
        <f t="shared" si="39"/>
        <v>OK</v>
      </c>
      <c r="K854" s="6">
        <f t="shared" si="40"/>
        <v>8</v>
      </c>
      <c r="L854" s="6">
        <f t="shared" si="41"/>
        <v>562</v>
      </c>
    </row>
    <row r="855" spans="1:12" ht="15.75" x14ac:dyDescent="0.25">
      <c r="A855" s="6" t="s">
        <v>951</v>
      </c>
      <c r="B855" s="7">
        <v>45227.447916666657</v>
      </c>
      <c r="C855" s="6">
        <v>84</v>
      </c>
      <c r="D855" s="6" t="s">
        <v>800</v>
      </c>
      <c r="E855" s="8" t="str">
        <f>IFERROR(VLOOKUP(LOG_RESEAU[[#This Row],[Cell_ID]],Registre_Maintenance!A:B,2,FALSE),"Non trouvé")</f>
        <v>Sud-Kivu</v>
      </c>
      <c r="F855" s="8">
        <f>IFERROR(VLOOKUP(LOG_RESEAU[[#This Row],[Cell_ID]],Registre_Maintenance!A:C,3,FALSE),"Non trouvé")</f>
        <v>2.4414509999999998</v>
      </c>
      <c r="G855" s="8">
        <f>IFERROR(VLOOKUP(LOG_RESEAU[[#This Row],[Cell_ID]],Registre_Maintenance!A:D,4,FALSE),"Non trouvé")</f>
        <v>30.167489</v>
      </c>
      <c r="H855" s="6" t="str">
        <f>IFERROR(VLOOKUP(LOG_RESEAU[[#This Row],[Cell_ID]],Registre_Maintenance!A:E,5,FALSE),"Non trouvé")</f>
        <v>5G</v>
      </c>
      <c r="I855" s="6" t="str">
        <f>IFERROR(VLOOKUP(LOG_RESEAU[[#This Row],[Cell_ID]],Registre_Maintenance!A:F,6,FALSE),"Non trouvé")</f>
        <v>Nokia</v>
      </c>
      <c r="J855" s="6" t="str">
        <f t="shared" si="39"/>
        <v>OK</v>
      </c>
      <c r="K855" s="6">
        <f t="shared" si="40"/>
        <v>8</v>
      </c>
      <c r="L855" s="6">
        <f t="shared" si="41"/>
        <v>562</v>
      </c>
    </row>
    <row r="856" spans="1:12" ht="15.75" x14ac:dyDescent="0.25">
      <c r="A856" s="6" t="s">
        <v>884</v>
      </c>
      <c r="B856" s="7">
        <v>45229.298611111109</v>
      </c>
      <c r="C856" s="6">
        <v>99</v>
      </c>
      <c r="D856" s="6" t="s">
        <v>792</v>
      </c>
      <c r="E856" s="8" t="str">
        <f>IFERROR(VLOOKUP(LOG_RESEAU[[#This Row],[Cell_ID]],Registre_Maintenance!A:B,2,FALSE),"Non trouvé")</f>
        <v>Non trouvé</v>
      </c>
      <c r="F856" s="8" t="str">
        <f>IFERROR(VLOOKUP(LOG_RESEAU[[#This Row],[Cell_ID]],Registre_Maintenance!A:C,3,FALSE),"Non trouvé")</f>
        <v>Non trouvé</v>
      </c>
      <c r="G856" s="8" t="str">
        <f>IFERROR(VLOOKUP(LOG_RESEAU[[#This Row],[Cell_ID]],Registre_Maintenance!A:D,4,FALSE),"Non trouvé")</f>
        <v>Non trouvé</v>
      </c>
      <c r="H856" s="6" t="str">
        <f>IFERROR(VLOOKUP(LOG_RESEAU[[#This Row],[Cell_ID]],Registre_Maintenance!A:E,5,FALSE),"Non trouvé")</f>
        <v>Non trouvé</v>
      </c>
      <c r="I856" s="6" t="str">
        <f>IFERROR(VLOOKUP(LOG_RESEAU[[#This Row],[Cell_ID]],Registre_Maintenance!A:F,6,FALSE),"Non trouvé")</f>
        <v>Non trouvé</v>
      </c>
      <c r="J856" s="6" t="str">
        <f t="shared" si="39"/>
        <v>Antenne inconnue</v>
      </c>
      <c r="K856" s="6">
        <f t="shared" si="40"/>
        <v>2</v>
      </c>
      <c r="L856" s="6">
        <f t="shared" si="41"/>
        <v>160</v>
      </c>
    </row>
    <row r="857" spans="1:12" ht="15.75" x14ac:dyDescent="0.25">
      <c r="A857" s="6" t="s">
        <v>884</v>
      </c>
      <c r="B857" s="7">
        <v>45221.039583333331</v>
      </c>
      <c r="C857" s="6">
        <v>61</v>
      </c>
      <c r="D857" s="6" t="s">
        <v>794</v>
      </c>
      <c r="E857" s="8" t="str">
        <f>IFERROR(VLOOKUP(LOG_RESEAU[[#This Row],[Cell_ID]],Registre_Maintenance!A:B,2,FALSE),"Non trouvé")</f>
        <v>Non trouvé</v>
      </c>
      <c r="F857" s="8" t="str">
        <f>IFERROR(VLOOKUP(LOG_RESEAU[[#This Row],[Cell_ID]],Registre_Maintenance!A:C,3,FALSE),"Non trouvé")</f>
        <v>Non trouvé</v>
      </c>
      <c r="G857" s="8" t="str">
        <f>IFERROR(VLOOKUP(LOG_RESEAU[[#This Row],[Cell_ID]],Registre_Maintenance!A:D,4,FALSE),"Non trouvé")</f>
        <v>Non trouvé</v>
      </c>
      <c r="H857" s="6" t="str">
        <f>IFERROR(VLOOKUP(LOG_RESEAU[[#This Row],[Cell_ID]],Registre_Maintenance!A:E,5,FALSE),"Non trouvé")</f>
        <v>Non trouvé</v>
      </c>
      <c r="I857" s="6" t="str">
        <f>IFERROR(VLOOKUP(LOG_RESEAU[[#This Row],[Cell_ID]],Registre_Maintenance!A:F,6,FALSE),"Non trouvé")</f>
        <v>Non trouvé</v>
      </c>
      <c r="J857" s="6" t="str">
        <f t="shared" si="39"/>
        <v>Antenne inconnue</v>
      </c>
      <c r="K857" s="6">
        <f t="shared" si="40"/>
        <v>2</v>
      </c>
      <c r="L857" s="6">
        <f t="shared" si="41"/>
        <v>160</v>
      </c>
    </row>
    <row r="858" spans="1:12" ht="15.75" x14ac:dyDescent="0.25">
      <c r="A858" s="6" t="s">
        <v>946</v>
      </c>
      <c r="B858" s="7">
        <v>45228.56527777778</v>
      </c>
      <c r="C858" s="6">
        <v>31</v>
      </c>
      <c r="D858" s="6" t="s">
        <v>800</v>
      </c>
      <c r="E858" s="8" t="str">
        <f>IFERROR(VLOOKUP(LOG_RESEAU[[#This Row],[Cell_ID]],Registre_Maintenance!A:B,2,FALSE),"Non trouvé")</f>
        <v>Kasai-Oriental</v>
      </c>
      <c r="F858" s="8">
        <f>IFERROR(VLOOKUP(LOG_RESEAU[[#This Row],[Cell_ID]],Registre_Maintenance!A:C,3,FALSE),"Non trouvé")</f>
        <v>-1.648326</v>
      </c>
      <c r="G858" s="8">
        <f>IFERROR(VLOOKUP(LOG_RESEAU[[#This Row],[Cell_ID]],Registre_Maintenance!A:D,4,FALSE),"Non trouvé")</f>
        <v>25.528901999999999</v>
      </c>
      <c r="H858" s="6" t="str">
        <f>IFERROR(VLOOKUP(LOG_RESEAU[[#This Row],[Cell_ID]],Registre_Maintenance!A:E,5,FALSE),"Non trouvé")</f>
        <v>4G</v>
      </c>
      <c r="I858" s="6" t="str">
        <f>IFERROR(VLOOKUP(LOG_RESEAU[[#This Row],[Cell_ID]],Registre_Maintenance!A:F,6,FALSE),"Non trouvé")</f>
        <v>Huawei</v>
      </c>
      <c r="J858" s="6" t="str">
        <f t="shared" si="39"/>
        <v>OK</v>
      </c>
      <c r="K858" s="6">
        <f t="shared" si="40"/>
        <v>3</v>
      </c>
      <c r="L858" s="6">
        <f t="shared" si="41"/>
        <v>105</v>
      </c>
    </row>
    <row r="859" spans="1:12" ht="15.75" x14ac:dyDescent="0.25">
      <c r="A859" s="6" t="s">
        <v>946</v>
      </c>
      <c r="B859" s="7">
        <v>45203.500694444447</v>
      </c>
      <c r="C859" s="6">
        <v>64</v>
      </c>
      <c r="D859" s="6" t="s">
        <v>800</v>
      </c>
      <c r="E859" s="8" t="str">
        <f>IFERROR(VLOOKUP(LOG_RESEAU[[#This Row],[Cell_ID]],Registre_Maintenance!A:B,2,FALSE),"Non trouvé")</f>
        <v>Kasai-Oriental</v>
      </c>
      <c r="F859" s="8">
        <f>IFERROR(VLOOKUP(LOG_RESEAU[[#This Row],[Cell_ID]],Registre_Maintenance!A:C,3,FALSE),"Non trouvé")</f>
        <v>-1.648326</v>
      </c>
      <c r="G859" s="8">
        <f>IFERROR(VLOOKUP(LOG_RESEAU[[#This Row],[Cell_ID]],Registre_Maintenance!A:D,4,FALSE),"Non trouvé")</f>
        <v>25.528901999999999</v>
      </c>
      <c r="H859" s="6" t="str">
        <f>IFERROR(VLOOKUP(LOG_RESEAU[[#This Row],[Cell_ID]],Registre_Maintenance!A:E,5,FALSE),"Non trouvé")</f>
        <v>4G</v>
      </c>
      <c r="I859" s="6" t="str">
        <f>IFERROR(VLOOKUP(LOG_RESEAU[[#This Row],[Cell_ID]],Registre_Maintenance!A:F,6,FALSE),"Non trouvé")</f>
        <v>Huawei</v>
      </c>
      <c r="J859" s="6" t="str">
        <f t="shared" si="39"/>
        <v>OK</v>
      </c>
      <c r="K859" s="6">
        <f t="shared" si="40"/>
        <v>3</v>
      </c>
      <c r="L859" s="6">
        <f t="shared" si="41"/>
        <v>105</v>
      </c>
    </row>
    <row r="860" spans="1:12" ht="15.75" x14ac:dyDescent="0.25">
      <c r="A860" s="6" t="s">
        <v>946</v>
      </c>
      <c r="B860" s="7">
        <v>45216.865277777782</v>
      </c>
      <c r="C860" s="6">
        <v>10</v>
      </c>
      <c r="D860" s="6" t="s">
        <v>800</v>
      </c>
      <c r="E860" s="8" t="str">
        <f>IFERROR(VLOOKUP(LOG_RESEAU[[#This Row],[Cell_ID]],Registre_Maintenance!A:B,2,FALSE),"Non trouvé")</f>
        <v>Kasai-Oriental</v>
      </c>
      <c r="F860" s="8">
        <f>IFERROR(VLOOKUP(LOG_RESEAU[[#This Row],[Cell_ID]],Registre_Maintenance!A:C,3,FALSE),"Non trouvé")</f>
        <v>-1.648326</v>
      </c>
      <c r="G860" s="8">
        <f>IFERROR(VLOOKUP(LOG_RESEAU[[#This Row],[Cell_ID]],Registre_Maintenance!A:D,4,FALSE),"Non trouvé")</f>
        <v>25.528901999999999</v>
      </c>
      <c r="H860" s="6" t="str">
        <f>IFERROR(VLOOKUP(LOG_RESEAU[[#This Row],[Cell_ID]],Registre_Maintenance!A:E,5,FALSE),"Non trouvé")</f>
        <v>4G</v>
      </c>
      <c r="I860" s="6" t="str">
        <f>IFERROR(VLOOKUP(LOG_RESEAU[[#This Row],[Cell_ID]],Registre_Maintenance!A:F,6,FALSE),"Non trouvé")</f>
        <v>Huawei</v>
      </c>
      <c r="J860" s="6" t="str">
        <f t="shared" si="39"/>
        <v>OK</v>
      </c>
      <c r="K860" s="6">
        <f t="shared" si="40"/>
        <v>3</v>
      </c>
      <c r="L860" s="6">
        <f t="shared" si="41"/>
        <v>105</v>
      </c>
    </row>
    <row r="861" spans="1:12" ht="15.75" x14ac:dyDescent="0.25">
      <c r="A861" s="6" t="s">
        <v>982</v>
      </c>
      <c r="B861" s="7">
        <v>45200.093055555553</v>
      </c>
      <c r="C861" s="6">
        <v>106</v>
      </c>
      <c r="D861" s="6" t="s">
        <v>800</v>
      </c>
      <c r="E861" s="8" t="str">
        <f>IFERROR(VLOOKUP(LOG_RESEAU[[#This Row],[Cell_ID]],Registre_Maintenance!A:B,2,FALSE),"Non trouvé")</f>
        <v>Non trouvé</v>
      </c>
      <c r="F861" s="8" t="str">
        <f>IFERROR(VLOOKUP(LOG_RESEAU[[#This Row],[Cell_ID]],Registre_Maintenance!A:C,3,FALSE),"Non trouvé")</f>
        <v>Non trouvé</v>
      </c>
      <c r="G861" s="8" t="str">
        <f>IFERROR(VLOOKUP(LOG_RESEAU[[#This Row],[Cell_ID]],Registre_Maintenance!A:D,4,FALSE),"Non trouvé")</f>
        <v>Non trouvé</v>
      </c>
      <c r="H861" s="6" t="str">
        <f>IFERROR(VLOOKUP(LOG_RESEAU[[#This Row],[Cell_ID]],Registre_Maintenance!A:E,5,FALSE),"Non trouvé")</f>
        <v>Non trouvé</v>
      </c>
      <c r="I861" s="6" t="str">
        <f>IFERROR(VLOOKUP(LOG_RESEAU[[#This Row],[Cell_ID]],Registre_Maintenance!A:F,6,FALSE),"Non trouvé")</f>
        <v>Non trouvé</v>
      </c>
      <c r="J861" s="6" t="str">
        <f t="shared" si="39"/>
        <v>Antenne inconnue</v>
      </c>
      <c r="K861" s="6">
        <f t="shared" si="40"/>
        <v>7</v>
      </c>
      <c r="L861" s="6">
        <f t="shared" si="41"/>
        <v>473</v>
      </c>
    </row>
    <row r="862" spans="1:12" ht="15.75" x14ac:dyDescent="0.25">
      <c r="A862" s="6" t="s">
        <v>982</v>
      </c>
      <c r="B862" s="7">
        <v>45229.394444444442</v>
      </c>
      <c r="C862" s="6">
        <v>46</v>
      </c>
      <c r="D862" s="6" t="s">
        <v>794</v>
      </c>
      <c r="E862" s="8" t="str">
        <f>IFERROR(VLOOKUP(LOG_RESEAU[[#This Row],[Cell_ID]],Registre_Maintenance!A:B,2,FALSE),"Non trouvé")</f>
        <v>Non trouvé</v>
      </c>
      <c r="F862" s="8" t="str">
        <f>IFERROR(VLOOKUP(LOG_RESEAU[[#This Row],[Cell_ID]],Registre_Maintenance!A:C,3,FALSE),"Non trouvé")</f>
        <v>Non trouvé</v>
      </c>
      <c r="G862" s="8" t="str">
        <f>IFERROR(VLOOKUP(LOG_RESEAU[[#This Row],[Cell_ID]],Registre_Maintenance!A:D,4,FALSE),"Non trouvé")</f>
        <v>Non trouvé</v>
      </c>
      <c r="H862" s="6" t="str">
        <f>IFERROR(VLOOKUP(LOG_RESEAU[[#This Row],[Cell_ID]],Registre_Maintenance!A:E,5,FALSE),"Non trouvé")</f>
        <v>Non trouvé</v>
      </c>
      <c r="I862" s="6" t="str">
        <f>IFERROR(VLOOKUP(LOG_RESEAU[[#This Row],[Cell_ID]],Registre_Maintenance!A:F,6,FALSE),"Non trouvé")</f>
        <v>Non trouvé</v>
      </c>
      <c r="J862" s="6" t="str">
        <f t="shared" si="39"/>
        <v>Antenne inconnue</v>
      </c>
      <c r="K862" s="6">
        <f t="shared" si="40"/>
        <v>7</v>
      </c>
      <c r="L862" s="6">
        <f t="shared" si="41"/>
        <v>473</v>
      </c>
    </row>
    <row r="863" spans="1:12" ht="15.75" x14ac:dyDescent="0.25">
      <c r="A863" s="6" t="s">
        <v>982</v>
      </c>
      <c r="B863" s="7">
        <v>45226.660416666673</v>
      </c>
      <c r="C863" s="6">
        <v>91</v>
      </c>
      <c r="D863" s="6" t="s">
        <v>800</v>
      </c>
      <c r="E863" s="8" t="str">
        <f>IFERROR(VLOOKUP(LOG_RESEAU[[#This Row],[Cell_ID]],Registre_Maintenance!A:B,2,FALSE),"Non trouvé")</f>
        <v>Non trouvé</v>
      </c>
      <c r="F863" s="8" t="str">
        <f>IFERROR(VLOOKUP(LOG_RESEAU[[#This Row],[Cell_ID]],Registre_Maintenance!A:C,3,FALSE),"Non trouvé")</f>
        <v>Non trouvé</v>
      </c>
      <c r="G863" s="8" t="str">
        <f>IFERROR(VLOOKUP(LOG_RESEAU[[#This Row],[Cell_ID]],Registre_Maintenance!A:D,4,FALSE),"Non trouvé")</f>
        <v>Non trouvé</v>
      </c>
      <c r="H863" s="6" t="str">
        <f>IFERROR(VLOOKUP(LOG_RESEAU[[#This Row],[Cell_ID]],Registre_Maintenance!A:E,5,FALSE),"Non trouvé")</f>
        <v>Non trouvé</v>
      </c>
      <c r="I863" s="6" t="str">
        <f>IFERROR(VLOOKUP(LOG_RESEAU[[#This Row],[Cell_ID]],Registre_Maintenance!A:F,6,FALSE),"Non trouvé")</f>
        <v>Non trouvé</v>
      </c>
      <c r="J863" s="6" t="str">
        <f t="shared" si="39"/>
        <v>Antenne inconnue</v>
      </c>
      <c r="K863" s="6">
        <f t="shared" si="40"/>
        <v>7</v>
      </c>
      <c r="L863" s="6">
        <f t="shared" si="41"/>
        <v>473</v>
      </c>
    </row>
    <row r="864" spans="1:12" ht="15.75" x14ac:dyDescent="0.25">
      <c r="A864" s="6" t="s">
        <v>982</v>
      </c>
      <c r="B864" s="7">
        <v>45222.467361111107</v>
      </c>
      <c r="C864" s="6">
        <v>40</v>
      </c>
      <c r="D864" s="6" t="s">
        <v>794</v>
      </c>
      <c r="E864" s="8" t="str">
        <f>IFERROR(VLOOKUP(LOG_RESEAU[[#This Row],[Cell_ID]],Registre_Maintenance!A:B,2,FALSE),"Non trouvé")</f>
        <v>Non trouvé</v>
      </c>
      <c r="F864" s="8" t="str">
        <f>IFERROR(VLOOKUP(LOG_RESEAU[[#This Row],[Cell_ID]],Registre_Maintenance!A:C,3,FALSE),"Non trouvé")</f>
        <v>Non trouvé</v>
      </c>
      <c r="G864" s="8" t="str">
        <f>IFERROR(VLOOKUP(LOG_RESEAU[[#This Row],[Cell_ID]],Registre_Maintenance!A:D,4,FALSE),"Non trouvé")</f>
        <v>Non trouvé</v>
      </c>
      <c r="H864" s="6" t="str">
        <f>IFERROR(VLOOKUP(LOG_RESEAU[[#This Row],[Cell_ID]],Registre_Maintenance!A:E,5,FALSE),"Non trouvé")</f>
        <v>Non trouvé</v>
      </c>
      <c r="I864" s="6" t="str">
        <f>IFERROR(VLOOKUP(LOG_RESEAU[[#This Row],[Cell_ID]],Registre_Maintenance!A:F,6,FALSE),"Non trouvé")</f>
        <v>Non trouvé</v>
      </c>
      <c r="J864" s="6" t="str">
        <f t="shared" si="39"/>
        <v>Antenne inconnue</v>
      </c>
      <c r="K864" s="6">
        <f t="shared" si="40"/>
        <v>7</v>
      </c>
      <c r="L864" s="6">
        <f t="shared" si="41"/>
        <v>473</v>
      </c>
    </row>
    <row r="865" spans="1:12" ht="15.75" x14ac:dyDescent="0.25">
      <c r="A865" s="6" t="s">
        <v>982</v>
      </c>
      <c r="B865" s="7">
        <v>45221.455555555563</v>
      </c>
      <c r="C865" s="6">
        <v>42</v>
      </c>
      <c r="D865" s="6" t="s">
        <v>792</v>
      </c>
      <c r="E865" s="8" t="str">
        <f>IFERROR(VLOOKUP(LOG_RESEAU[[#This Row],[Cell_ID]],Registre_Maintenance!A:B,2,FALSE),"Non trouvé")</f>
        <v>Non trouvé</v>
      </c>
      <c r="F865" s="8" t="str">
        <f>IFERROR(VLOOKUP(LOG_RESEAU[[#This Row],[Cell_ID]],Registre_Maintenance!A:C,3,FALSE),"Non trouvé")</f>
        <v>Non trouvé</v>
      </c>
      <c r="G865" s="8" t="str">
        <f>IFERROR(VLOOKUP(LOG_RESEAU[[#This Row],[Cell_ID]],Registre_Maintenance!A:D,4,FALSE),"Non trouvé")</f>
        <v>Non trouvé</v>
      </c>
      <c r="H865" s="6" t="str">
        <f>IFERROR(VLOOKUP(LOG_RESEAU[[#This Row],[Cell_ID]],Registre_Maintenance!A:E,5,FALSE),"Non trouvé")</f>
        <v>Non trouvé</v>
      </c>
      <c r="I865" s="6" t="str">
        <f>IFERROR(VLOOKUP(LOG_RESEAU[[#This Row],[Cell_ID]],Registre_Maintenance!A:F,6,FALSE),"Non trouvé")</f>
        <v>Non trouvé</v>
      </c>
      <c r="J865" s="6" t="str">
        <f t="shared" si="39"/>
        <v>Antenne inconnue</v>
      </c>
      <c r="K865" s="6">
        <f t="shared" si="40"/>
        <v>7</v>
      </c>
      <c r="L865" s="6">
        <f t="shared" si="41"/>
        <v>473</v>
      </c>
    </row>
    <row r="866" spans="1:12" ht="15.75" x14ac:dyDescent="0.25">
      <c r="A866" s="6" t="s">
        <v>982</v>
      </c>
      <c r="B866" s="7">
        <v>45221.555555555547</v>
      </c>
      <c r="C866" s="6">
        <v>103</v>
      </c>
      <c r="D866" s="6" t="s">
        <v>800</v>
      </c>
      <c r="E866" s="8" t="str">
        <f>IFERROR(VLOOKUP(LOG_RESEAU[[#This Row],[Cell_ID]],Registre_Maintenance!A:B,2,FALSE),"Non trouvé")</f>
        <v>Non trouvé</v>
      </c>
      <c r="F866" s="8" t="str">
        <f>IFERROR(VLOOKUP(LOG_RESEAU[[#This Row],[Cell_ID]],Registre_Maintenance!A:C,3,FALSE),"Non trouvé")</f>
        <v>Non trouvé</v>
      </c>
      <c r="G866" s="8" t="str">
        <f>IFERROR(VLOOKUP(LOG_RESEAU[[#This Row],[Cell_ID]],Registre_Maintenance!A:D,4,FALSE),"Non trouvé")</f>
        <v>Non trouvé</v>
      </c>
      <c r="H866" s="6" t="str">
        <f>IFERROR(VLOOKUP(LOG_RESEAU[[#This Row],[Cell_ID]],Registre_Maintenance!A:E,5,FALSE),"Non trouvé")</f>
        <v>Non trouvé</v>
      </c>
      <c r="I866" s="6" t="str">
        <f>IFERROR(VLOOKUP(LOG_RESEAU[[#This Row],[Cell_ID]],Registre_Maintenance!A:F,6,FALSE),"Non trouvé")</f>
        <v>Non trouvé</v>
      </c>
      <c r="J866" s="6" t="str">
        <f t="shared" si="39"/>
        <v>Antenne inconnue</v>
      </c>
      <c r="K866" s="6">
        <f t="shared" si="40"/>
        <v>7</v>
      </c>
      <c r="L866" s="6">
        <f t="shared" si="41"/>
        <v>473</v>
      </c>
    </row>
    <row r="867" spans="1:12" ht="15.75" x14ac:dyDescent="0.25">
      <c r="A867" s="6" t="s">
        <v>982</v>
      </c>
      <c r="B867" s="7">
        <v>45227.775694444441</v>
      </c>
      <c r="C867" s="6">
        <v>45</v>
      </c>
      <c r="D867" s="6" t="s">
        <v>792</v>
      </c>
      <c r="E867" s="8" t="str">
        <f>IFERROR(VLOOKUP(LOG_RESEAU[[#This Row],[Cell_ID]],Registre_Maintenance!A:B,2,FALSE),"Non trouvé")</f>
        <v>Non trouvé</v>
      </c>
      <c r="F867" s="8" t="str">
        <f>IFERROR(VLOOKUP(LOG_RESEAU[[#This Row],[Cell_ID]],Registre_Maintenance!A:C,3,FALSE),"Non trouvé")</f>
        <v>Non trouvé</v>
      </c>
      <c r="G867" s="8" t="str">
        <f>IFERROR(VLOOKUP(LOG_RESEAU[[#This Row],[Cell_ID]],Registre_Maintenance!A:D,4,FALSE),"Non trouvé")</f>
        <v>Non trouvé</v>
      </c>
      <c r="H867" s="6" t="str">
        <f>IFERROR(VLOOKUP(LOG_RESEAU[[#This Row],[Cell_ID]],Registre_Maintenance!A:E,5,FALSE),"Non trouvé")</f>
        <v>Non trouvé</v>
      </c>
      <c r="I867" s="6" t="str">
        <f>IFERROR(VLOOKUP(LOG_RESEAU[[#This Row],[Cell_ID]],Registre_Maintenance!A:F,6,FALSE),"Non trouvé")</f>
        <v>Non trouvé</v>
      </c>
      <c r="J867" s="6" t="str">
        <f t="shared" si="39"/>
        <v>Antenne inconnue</v>
      </c>
      <c r="K867" s="6">
        <f t="shared" si="40"/>
        <v>7</v>
      </c>
      <c r="L867" s="6">
        <f t="shared" si="41"/>
        <v>473</v>
      </c>
    </row>
    <row r="868" spans="1:12" ht="15.75" x14ac:dyDescent="0.25">
      <c r="A868" s="6" t="s">
        <v>952</v>
      </c>
      <c r="B868" s="7">
        <v>45202.852083333331</v>
      </c>
      <c r="C868" s="6">
        <v>87</v>
      </c>
      <c r="D868" s="6" t="s">
        <v>792</v>
      </c>
      <c r="E868" s="8" t="str">
        <f>IFERROR(VLOOKUP(LOG_RESEAU[[#This Row],[Cell_ID]],Registre_Maintenance!A:B,2,FALSE),"Non trouvé")</f>
        <v>Kinshasa</v>
      </c>
      <c r="F868" s="8">
        <f>IFERROR(VLOOKUP(LOG_RESEAU[[#This Row],[Cell_ID]],Registre_Maintenance!A:C,3,FALSE),"Non trouvé")</f>
        <v>-11.389362</v>
      </c>
      <c r="G868" s="8">
        <f>IFERROR(VLOOKUP(LOG_RESEAU[[#This Row],[Cell_ID]],Registre_Maintenance!A:D,4,FALSE),"Non trouvé")</f>
        <v>22.240174</v>
      </c>
      <c r="H868" s="6" t="str">
        <f>IFERROR(VLOOKUP(LOG_RESEAU[[#This Row],[Cell_ID]],Registre_Maintenance!A:E,5,FALSE),"Non trouvé")</f>
        <v>5G</v>
      </c>
      <c r="I868" s="6" t="str">
        <f>IFERROR(VLOOKUP(LOG_RESEAU[[#This Row],[Cell_ID]],Registre_Maintenance!A:F,6,FALSE),"Non trouvé")</f>
        <v>ZTE</v>
      </c>
      <c r="J868" s="6" t="str">
        <f t="shared" si="39"/>
        <v>OK</v>
      </c>
      <c r="K868" s="6">
        <f t="shared" si="40"/>
        <v>8</v>
      </c>
      <c r="L868" s="6">
        <f t="shared" si="41"/>
        <v>461</v>
      </c>
    </row>
    <row r="869" spans="1:12" ht="15.75" x14ac:dyDescent="0.25">
      <c r="A869" s="6" t="s">
        <v>952</v>
      </c>
      <c r="B869" s="7">
        <v>45224.322222222218</v>
      </c>
      <c r="C869" s="6">
        <v>97</v>
      </c>
      <c r="D869" s="6" t="s">
        <v>794</v>
      </c>
      <c r="E869" s="8" t="str">
        <f>IFERROR(VLOOKUP(LOG_RESEAU[[#This Row],[Cell_ID]],Registre_Maintenance!A:B,2,FALSE),"Non trouvé")</f>
        <v>Kinshasa</v>
      </c>
      <c r="F869" s="8">
        <f>IFERROR(VLOOKUP(LOG_RESEAU[[#This Row],[Cell_ID]],Registre_Maintenance!A:C,3,FALSE),"Non trouvé")</f>
        <v>-11.389362</v>
      </c>
      <c r="G869" s="8">
        <f>IFERROR(VLOOKUP(LOG_RESEAU[[#This Row],[Cell_ID]],Registre_Maintenance!A:D,4,FALSE),"Non trouvé")</f>
        <v>22.240174</v>
      </c>
      <c r="H869" s="6" t="str">
        <f>IFERROR(VLOOKUP(LOG_RESEAU[[#This Row],[Cell_ID]],Registre_Maintenance!A:E,5,FALSE),"Non trouvé")</f>
        <v>5G</v>
      </c>
      <c r="I869" s="6" t="str">
        <f>IFERROR(VLOOKUP(LOG_RESEAU[[#This Row],[Cell_ID]],Registre_Maintenance!A:F,6,FALSE),"Non trouvé")</f>
        <v>ZTE</v>
      </c>
      <c r="J869" s="6" t="str">
        <f t="shared" si="39"/>
        <v>OK</v>
      </c>
      <c r="K869" s="6">
        <f t="shared" si="40"/>
        <v>8</v>
      </c>
      <c r="L869" s="6">
        <f t="shared" si="41"/>
        <v>461</v>
      </c>
    </row>
    <row r="870" spans="1:12" ht="15.75" x14ac:dyDescent="0.25">
      <c r="A870" s="6" t="s">
        <v>952</v>
      </c>
      <c r="B870" s="7">
        <v>45223.564583333333</v>
      </c>
      <c r="C870" s="6">
        <v>32</v>
      </c>
      <c r="D870" s="6" t="s">
        <v>800</v>
      </c>
      <c r="E870" s="8" t="str">
        <f>IFERROR(VLOOKUP(LOG_RESEAU[[#This Row],[Cell_ID]],Registre_Maintenance!A:B,2,FALSE),"Non trouvé")</f>
        <v>Kinshasa</v>
      </c>
      <c r="F870" s="8">
        <f>IFERROR(VLOOKUP(LOG_RESEAU[[#This Row],[Cell_ID]],Registre_Maintenance!A:C,3,FALSE),"Non trouvé")</f>
        <v>-11.389362</v>
      </c>
      <c r="G870" s="8">
        <f>IFERROR(VLOOKUP(LOG_RESEAU[[#This Row],[Cell_ID]],Registre_Maintenance!A:D,4,FALSE),"Non trouvé")</f>
        <v>22.240174</v>
      </c>
      <c r="H870" s="6" t="str">
        <f>IFERROR(VLOOKUP(LOG_RESEAU[[#This Row],[Cell_ID]],Registre_Maintenance!A:E,5,FALSE),"Non trouvé")</f>
        <v>5G</v>
      </c>
      <c r="I870" s="6" t="str">
        <f>IFERROR(VLOOKUP(LOG_RESEAU[[#This Row],[Cell_ID]],Registre_Maintenance!A:F,6,FALSE),"Non trouvé")</f>
        <v>ZTE</v>
      </c>
      <c r="J870" s="6" t="str">
        <f t="shared" si="39"/>
        <v>OK</v>
      </c>
      <c r="K870" s="6">
        <f t="shared" si="40"/>
        <v>8</v>
      </c>
      <c r="L870" s="6">
        <f t="shared" si="41"/>
        <v>461</v>
      </c>
    </row>
    <row r="871" spans="1:12" ht="15.75" x14ac:dyDescent="0.25">
      <c r="A871" s="6" t="s">
        <v>952</v>
      </c>
      <c r="B871" s="7">
        <v>45226.956944444442</v>
      </c>
      <c r="C871" s="6">
        <v>108</v>
      </c>
      <c r="D871" s="6" t="s">
        <v>792</v>
      </c>
      <c r="E871" s="8" t="str">
        <f>IFERROR(VLOOKUP(LOG_RESEAU[[#This Row],[Cell_ID]],Registre_Maintenance!A:B,2,FALSE),"Non trouvé")</f>
        <v>Kinshasa</v>
      </c>
      <c r="F871" s="8">
        <f>IFERROR(VLOOKUP(LOG_RESEAU[[#This Row],[Cell_ID]],Registre_Maintenance!A:C,3,FALSE),"Non trouvé")</f>
        <v>-11.389362</v>
      </c>
      <c r="G871" s="8">
        <f>IFERROR(VLOOKUP(LOG_RESEAU[[#This Row],[Cell_ID]],Registre_Maintenance!A:D,4,FALSE),"Non trouvé")</f>
        <v>22.240174</v>
      </c>
      <c r="H871" s="6" t="str">
        <f>IFERROR(VLOOKUP(LOG_RESEAU[[#This Row],[Cell_ID]],Registre_Maintenance!A:E,5,FALSE),"Non trouvé")</f>
        <v>5G</v>
      </c>
      <c r="I871" s="6" t="str">
        <f>IFERROR(VLOOKUP(LOG_RESEAU[[#This Row],[Cell_ID]],Registre_Maintenance!A:F,6,FALSE),"Non trouvé")</f>
        <v>ZTE</v>
      </c>
      <c r="J871" s="6" t="str">
        <f t="shared" si="39"/>
        <v>OK</v>
      </c>
      <c r="K871" s="6">
        <f t="shared" si="40"/>
        <v>8</v>
      </c>
      <c r="L871" s="6">
        <f t="shared" si="41"/>
        <v>461</v>
      </c>
    </row>
    <row r="872" spans="1:12" ht="15.75" x14ac:dyDescent="0.25">
      <c r="A872" s="6" t="s">
        <v>952</v>
      </c>
      <c r="B872" s="7">
        <v>45201.623611111107</v>
      </c>
      <c r="C872" s="6">
        <v>28</v>
      </c>
      <c r="D872" s="6" t="s">
        <v>794</v>
      </c>
      <c r="E872" s="8" t="str">
        <f>IFERROR(VLOOKUP(LOG_RESEAU[[#This Row],[Cell_ID]],Registre_Maintenance!A:B,2,FALSE),"Non trouvé")</f>
        <v>Kinshasa</v>
      </c>
      <c r="F872" s="8">
        <f>IFERROR(VLOOKUP(LOG_RESEAU[[#This Row],[Cell_ID]],Registre_Maintenance!A:C,3,FALSE),"Non trouvé")</f>
        <v>-11.389362</v>
      </c>
      <c r="G872" s="8">
        <f>IFERROR(VLOOKUP(LOG_RESEAU[[#This Row],[Cell_ID]],Registre_Maintenance!A:D,4,FALSE),"Non trouvé")</f>
        <v>22.240174</v>
      </c>
      <c r="H872" s="6" t="str">
        <f>IFERROR(VLOOKUP(LOG_RESEAU[[#This Row],[Cell_ID]],Registre_Maintenance!A:E,5,FALSE),"Non trouvé")</f>
        <v>5G</v>
      </c>
      <c r="I872" s="6" t="str">
        <f>IFERROR(VLOOKUP(LOG_RESEAU[[#This Row],[Cell_ID]],Registre_Maintenance!A:F,6,FALSE),"Non trouvé")</f>
        <v>ZTE</v>
      </c>
      <c r="J872" s="6" t="str">
        <f t="shared" si="39"/>
        <v>OK</v>
      </c>
      <c r="K872" s="6">
        <f t="shared" si="40"/>
        <v>8</v>
      </c>
      <c r="L872" s="6">
        <f t="shared" si="41"/>
        <v>461</v>
      </c>
    </row>
    <row r="873" spans="1:12" ht="15.75" x14ac:dyDescent="0.25">
      <c r="A873" s="6" t="s">
        <v>952</v>
      </c>
      <c r="B873" s="7">
        <v>45226.84097222222</v>
      </c>
      <c r="C873" s="6">
        <v>74</v>
      </c>
      <c r="D873" s="6" t="s">
        <v>800</v>
      </c>
      <c r="E873" s="8" t="str">
        <f>IFERROR(VLOOKUP(LOG_RESEAU[[#This Row],[Cell_ID]],Registre_Maintenance!A:B,2,FALSE),"Non trouvé")</f>
        <v>Kinshasa</v>
      </c>
      <c r="F873" s="8">
        <f>IFERROR(VLOOKUP(LOG_RESEAU[[#This Row],[Cell_ID]],Registre_Maintenance!A:C,3,FALSE),"Non trouvé")</f>
        <v>-11.389362</v>
      </c>
      <c r="G873" s="8">
        <f>IFERROR(VLOOKUP(LOG_RESEAU[[#This Row],[Cell_ID]],Registre_Maintenance!A:D,4,FALSE),"Non trouvé")</f>
        <v>22.240174</v>
      </c>
      <c r="H873" s="6" t="str">
        <f>IFERROR(VLOOKUP(LOG_RESEAU[[#This Row],[Cell_ID]],Registre_Maintenance!A:E,5,FALSE),"Non trouvé")</f>
        <v>5G</v>
      </c>
      <c r="I873" s="6" t="str">
        <f>IFERROR(VLOOKUP(LOG_RESEAU[[#This Row],[Cell_ID]],Registre_Maintenance!A:F,6,FALSE),"Non trouvé")</f>
        <v>ZTE</v>
      </c>
      <c r="J873" s="6" t="str">
        <f t="shared" si="39"/>
        <v>OK</v>
      </c>
      <c r="K873" s="6">
        <f t="shared" si="40"/>
        <v>8</v>
      </c>
      <c r="L873" s="6">
        <f t="shared" si="41"/>
        <v>461</v>
      </c>
    </row>
    <row r="874" spans="1:12" ht="15.75" x14ac:dyDescent="0.25">
      <c r="A874" s="6" t="s">
        <v>952</v>
      </c>
      <c r="B874" s="7">
        <v>45218.088888888888</v>
      </c>
      <c r="C874" s="6">
        <v>12</v>
      </c>
      <c r="D874" s="6" t="s">
        <v>792</v>
      </c>
      <c r="E874" s="8" t="str">
        <f>IFERROR(VLOOKUP(LOG_RESEAU[[#This Row],[Cell_ID]],Registre_Maintenance!A:B,2,FALSE),"Non trouvé")</f>
        <v>Kinshasa</v>
      </c>
      <c r="F874" s="8">
        <f>IFERROR(VLOOKUP(LOG_RESEAU[[#This Row],[Cell_ID]],Registre_Maintenance!A:C,3,FALSE),"Non trouvé")</f>
        <v>-11.389362</v>
      </c>
      <c r="G874" s="8">
        <f>IFERROR(VLOOKUP(LOG_RESEAU[[#This Row],[Cell_ID]],Registre_Maintenance!A:D,4,FALSE),"Non trouvé")</f>
        <v>22.240174</v>
      </c>
      <c r="H874" s="6" t="str">
        <f>IFERROR(VLOOKUP(LOG_RESEAU[[#This Row],[Cell_ID]],Registre_Maintenance!A:E,5,FALSE),"Non trouvé")</f>
        <v>5G</v>
      </c>
      <c r="I874" s="6" t="str">
        <f>IFERROR(VLOOKUP(LOG_RESEAU[[#This Row],[Cell_ID]],Registre_Maintenance!A:F,6,FALSE),"Non trouvé")</f>
        <v>ZTE</v>
      </c>
      <c r="J874" s="6" t="str">
        <f t="shared" si="39"/>
        <v>OK</v>
      </c>
      <c r="K874" s="6">
        <f t="shared" si="40"/>
        <v>8</v>
      </c>
      <c r="L874" s="6">
        <f t="shared" si="41"/>
        <v>461</v>
      </c>
    </row>
    <row r="875" spans="1:12" ht="15.75" x14ac:dyDescent="0.25">
      <c r="A875" s="6" t="s">
        <v>952</v>
      </c>
      <c r="B875" s="7">
        <v>45209.215277777781</v>
      </c>
      <c r="C875" s="6">
        <v>23</v>
      </c>
      <c r="D875" s="6" t="s">
        <v>792</v>
      </c>
      <c r="E875" s="8" t="str">
        <f>IFERROR(VLOOKUP(LOG_RESEAU[[#This Row],[Cell_ID]],Registre_Maintenance!A:B,2,FALSE),"Non trouvé")</f>
        <v>Kinshasa</v>
      </c>
      <c r="F875" s="8">
        <f>IFERROR(VLOOKUP(LOG_RESEAU[[#This Row],[Cell_ID]],Registre_Maintenance!A:C,3,FALSE),"Non trouvé")</f>
        <v>-11.389362</v>
      </c>
      <c r="G875" s="8">
        <f>IFERROR(VLOOKUP(LOG_RESEAU[[#This Row],[Cell_ID]],Registre_Maintenance!A:D,4,FALSE),"Non trouvé")</f>
        <v>22.240174</v>
      </c>
      <c r="H875" s="6" t="str">
        <f>IFERROR(VLOOKUP(LOG_RESEAU[[#This Row],[Cell_ID]],Registre_Maintenance!A:E,5,FALSE),"Non trouvé")</f>
        <v>5G</v>
      </c>
      <c r="I875" s="6" t="str">
        <f>IFERROR(VLOOKUP(LOG_RESEAU[[#This Row],[Cell_ID]],Registre_Maintenance!A:F,6,FALSE),"Non trouvé")</f>
        <v>ZTE</v>
      </c>
      <c r="J875" s="6" t="str">
        <f t="shared" si="39"/>
        <v>OK</v>
      </c>
      <c r="K875" s="6">
        <f t="shared" si="40"/>
        <v>8</v>
      </c>
      <c r="L875" s="6">
        <f t="shared" si="41"/>
        <v>461</v>
      </c>
    </row>
    <row r="876" spans="1:12" ht="15.75" x14ac:dyDescent="0.25">
      <c r="A876" s="6" t="s">
        <v>815</v>
      </c>
      <c r="B876" s="7">
        <v>45217.411805555559</v>
      </c>
      <c r="C876" s="6">
        <v>56</v>
      </c>
      <c r="D876" s="6" t="s">
        <v>800</v>
      </c>
      <c r="E876" s="8" t="str">
        <f>IFERROR(VLOOKUP(LOG_RESEAU[[#This Row],[Cell_ID]],Registre_Maintenance!A:B,2,FALSE),"Non trouvé")</f>
        <v>Sud-Ubangi</v>
      </c>
      <c r="F876" s="8">
        <f>IFERROR(VLOOKUP(LOG_RESEAU[[#This Row],[Cell_ID]],Registre_Maintenance!A:C,3,FALSE),"Non trouvé")</f>
        <v>-0.54908599999999996</v>
      </c>
      <c r="G876" s="8">
        <f>IFERROR(VLOOKUP(LOG_RESEAU[[#This Row],[Cell_ID]],Registre_Maintenance!A:D,4,FALSE),"Non trouvé")</f>
        <v>14.816867</v>
      </c>
      <c r="H876" s="6" t="str">
        <f>IFERROR(VLOOKUP(LOG_RESEAU[[#This Row],[Cell_ID]],Registre_Maintenance!A:E,5,FALSE),"Non trouvé")</f>
        <v>5G</v>
      </c>
      <c r="I876" s="6" t="str">
        <f>IFERROR(VLOOKUP(LOG_RESEAU[[#This Row],[Cell_ID]],Registre_Maintenance!A:F,6,FALSE),"Non trouvé")</f>
        <v>ZTE</v>
      </c>
      <c r="J876" s="6" t="str">
        <f t="shared" si="39"/>
        <v>OK</v>
      </c>
      <c r="K876" s="6">
        <f t="shared" si="40"/>
        <v>5</v>
      </c>
      <c r="L876" s="6">
        <f t="shared" si="41"/>
        <v>296</v>
      </c>
    </row>
    <row r="877" spans="1:12" ht="15.75" x14ac:dyDescent="0.25">
      <c r="A877" s="6" t="s">
        <v>815</v>
      </c>
      <c r="B877" s="7">
        <v>45225.737500000003</v>
      </c>
      <c r="C877" s="6">
        <v>38</v>
      </c>
      <c r="D877" s="6" t="s">
        <v>794</v>
      </c>
      <c r="E877" s="8" t="str">
        <f>IFERROR(VLOOKUP(LOG_RESEAU[[#This Row],[Cell_ID]],Registre_Maintenance!A:B,2,FALSE),"Non trouvé")</f>
        <v>Sud-Ubangi</v>
      </c>
      <c r="F877" s="8">
        <f>IFERROR(VLOOKUP(LOG_RESEAU[[#This Row],[Cell_ID]],Registre_Maintenance!A:C,3,FALSE),"Non trouvé")</f>
        <v>-0.54908599999999996</v>
      </c>
      <c r="G877" s="8">
        <f>IFERROR(VLOOKUP(LOG_RESEAU[[#This Row],[Cell_ID]],Registre_Maintenance!A:D,4,FALSE),"Non trouvé")</f>
        <v>14.816867</v>
      </c>
      <c r="H877" s="6" t="str">
        <f>IFERROR(VLOOKUP(LOG_RESEAU[[#This Row],[Cell_ID]],Registre_Maintenance!A:E,5,FALSE),"Non trouvé")</f>
        <v>5G</v>
      </c>
      <c r="I877" s="6" t="str">
        <f>IFERROR(VLOOKUP(LOG_RESEAU[[#This Row],[Cell_ID]],Registre_Maintenance!A:F,6,FALSE),"Non trouvé")</f>
        <v>ZTE</v>
      </c>
      <c r="J877" s="6" t="str">
        <f t="shared" si="39"/>
        <v>OK</v>
      </c>
      <c r="K877" s="6">
        <f t="shared" si="40"/>
        <v>5</v>
      </c>
      <c r="L877" s="6">
        <f t="shared" si="41"/>
        <v>296</v>
      </c>
    </row>
    <row r="878" spans="1:12" ht="15.75" x14ac:dyDescent="0.25">
      <c r="A878" s="6" t="s">
        <v>815</v>
      </c>
      <c r="B878" s="7">
        <v>45216.734722222223</v>
      </c>
      <c r="C878" s="6">
        <v>87</v>
      </c>
      <c r="D878" s="6" t="s">
        <v>794</v>
      </c>
      <c r="E878" s="8" t="str">
        <f>IFERROR(VLOOKUP(LOG_RESEAU[[#This Row],[Cell_ID]],Registre_Maintenance!A:B,2,FALSE),"Non trouvé")</f>
        <v>Sud-Ubangi</v>
      </c>
      <c r="F878" s="8">
        <f>IFERROR(VLOOKUP(LOG_RESEAU[[#This Row],[Cell_ID]],Registre_Maintenance!A:C,3,FALSE),"Non trouvé")</f>
        <v>-0.54908599999999996</v>
      </c>
      <c r="G878" s="8">
        <f>IFERROR(VLOOKUP(LOG_RESEAU[[#This Row],[Cell_ID]],Registre_Maintenance!A:D,4,FALSE),"Non trouvé")</f>
        <v>14.816867</v>
      </c>
      <c r="H878" s="6" t="str">
        <f>IFERROR(VLOOKUP(LOG_RESEAU[[#This Row],[Cell_ID]],Registre_Maintenance!A:E,5,FALSE),"Non trouvé")</f>
        <v>5G</v>
      </c>
      <c r="I878" s="6" t="str">
        <f>IFERROR(VLOOKUP(LOG_RESEAU[[#This Row],[Cell_ID]],Registre_Maintenance!A:F,6,FALSE),"Non trouvé")</f>
        <v>ZTE</v>
      </c>
      <c r="J878" s="6" t="str">
        <f t="shared" si="39"/>
        <v>OK</v>
      </c>
      <c r="K878" s="6">
        <f t="shared" si="40"/>
        <v>5</v>
      </c>
      <c r="L878" s="6">
        <f t="shared" si="41"/>
        <v>296</v>
      </c>
    </row>
    <row r="879" spans="1:12" ht="15.75" x14ac:dyDescent="0.25">
      <c r="A879" s="6" t="s">
        <v>815</v>
      </c>
      <c r="B879" s="7">
        <v>45217.088888888888</v>
      </c>
      <c r="C879" s="6">
        <v>10</v>
      </c>
      <c r="D879" s="6" t="s">
        <v>792</v>
      </c>
      <c r="E879" s="8" t="str">
        <f>IFERROR(VLOOKUP(LOG_RESEAU[[#This Row],[Cell_ID]],Registre_Maintenance!A:B,2,FALSE),"Non trouvé")</f>
        <v>Sud-Ubangi</v>
      </c>
      <c r="F879" s="8">
        <f>IFERROR(VLOOKUP(LOG_RESEAU[[#This Row],[Cell_ID]],Registre_Maintenance!A:C,3,FALSE),"Non trouvé")</f>
        <v>-0.54908599999999996</v>
      </c>
      <c r="G879" s="8">
        <f>IFERROR(VLOOKUP(LOG_RESEAU[[#This Row],[Cell_ID]],Registre_Maintenance!A:D,4,FALSE),"Non trouvé")</f>
        <v>14.816867</v>
      </c>
      <c r="H879" s="6" t="str">
        <f>IFERROR(VLOOKUP(LOG_RESEAU[[#This Row],[Cell_ID]],Registre_Maintenance!A:E,5,FALSE),"Non trouvé")</f>
        <v>5G</v>
      </c>
      <c r="I879" s="6" t="str">
        <f>IFERROR(VLOOKUP(LOG_RESEAU[[#This Row],[Cell_ID]],Registre_Maintenance!A:F,6,FALSE),"Non trouvé")</f>
        <v>ZTE</v>
      </c>
      <c r="J879" s="6" t="str">
        <f t="shared" si="39"/>
        <v>OK</v>
      </c>
      <c r="K879" s="6">
        <f t="shared" si="40"/>
        <v>5</v>
      </c>
      <c r="L879" s="6">
        <f t="shared" si="41"/>
        <v>296</v>
      </c>
    </row>
    <row r="880" spans="1:12" ht="15.75" x14ac:dyDescent="0.25">
      <c r="A880" s="6" t="s">
        <v>815</v>
      </c>
      <c r="B880" s="7">
        <v>45219.438888888893</v>
      </c>
      <c r="C880" s="6">
        <v>105</v>
      </c>
      <c r="D880" s="6" t="s">
        <v>800</v>
      </c>
      <c r="E880" s="8" t="str">
        <f>IFERROR(VLOOKUP(LOG_RESEAU[[#This Row],[Cell_ID]],Registre_Maintenance!A:B,2,FALSE),"Non trouvé")</f>
        <v>Sud-Ubangi</v>
      </c>
      <c r="F880" s="8">
        <f>IFERROR(VLOOKUP(LOG_RESEAU[[#This Row],[Cell_ID]],Registre_Maintenance!A:C,3,FALSE),"Non trouvé")</f>
        <v>-0.54908599999999996</v>
      </c>
      <c r="G880" s="8">
        <f>IFERROR(VLOOKUP(LOG_RESEAU[[#This Row],[Cell_ID]],Registre_Maintenance!A:D,4,FALSE),"Non trouvé")</f>
        <v>14.816867</v>
      </c>
      <c r="H880" s="6" t="str">
        <f>IFERROR(VLOOKUP(LOG_RESEAU[[#This Row],[Cell_ID]],Registre_Maintenance!A:E,5,FALSE),"Non trouvé")</f>
        <v>5G</v>
      </c>
      <c r="I880" s="6" t="str">
        <f>IFERROR(VLOOKUP(LOG_RESEAU[[#This Row],[Cell_ID]],Registre_Maintenance!A:F,6,FALSE),"Non trouvé")</f>
        <v>ZTE</v>
      </c>
      <c r="J880" s="6" t="str">
        <f t="shared" si="39"/>
        <v>OK</v>
      </c>
      <c r="K880" s="6">
        <f t="shared" si="40"/>
        <v>5</v>
      </c>
      <c r="L880" s="6">
        <f t="shared" si="41"/>
        <v>296</v>
      </c>
    </row>
    <row r="881" spans="1:12" ht="15.75" x14ac:dyDescent="0.25">
      <c r="A881" s="6" t="s">
        <v>817</v>
      </c>
      <c r="B881" s="7">
        <v>45227.48333333333</v>
      </c>
      <c r="C881" s="6">
        <v>61</v>
      </c>
      <c r="D881" s="6" t="s">
        <v>800</v>
      </c>
      <c r="E881" s="8" t="str">
        <f>IFERROR(VLOOKUP(LOG_RESEAU[[#This Row],[Cell_ID]],Registre_Maintenance!A:B,2,FALSE),"Non trouvé")</f>
        <v>Sud-Ubangi</v>
      </c>
      <c r="F881" s="8">
        <f>IFERROR(VLOOKUP(LOG_RESEAU[[#This Row],[Cell_ID]],Registre_Maintenance!A:C,3,FALSE),"Non trouvé")</f>
        <v>-10.56448</v>
      </c>
      <c r="G881" s="8">
        <f>IFERROR(VLOOKUP(LOG_RESEAU[[#This Row],[Cell_ID]],Registre_Maintenance!A:D,4,FALSE),"Non trouvé")</f>
        <v>19.792876</v>
      </c>
      <c r="H881" s="6" t="str">
        <f>IFERROR(VLOOKUP(LOG_RESEAU[[#This Row],[Cell_ID]],Registre_Maintenance!A:E,5,FALSE),"Non trouvé")</f>
        <v>5G</v>
      </c>
      <c r="I881" s="6" t="str">
        <f>IFERROR(VLOOKUP(LOG_RESEAU[[#This Row],[Cell_ID]],Registre_Maintenance!A:F,6,FALSE),"Non trouvé")</f>
        <v>Ericsson</v>
      </c>
      <c r="J881" s="6" t="str">
        <f t="shared" si="39"/>
        <v>OK</v>
      </c>
      <c r="K881" s="6">
        <f t="shared" si="40"/>
        <v>11</v>
      </c>
      <c r="L881" s="6">
        <f t="shared" si="41"/>
        <v>456</v>
      </c>
    </row>
    <row r="882" spans="1:12" ht="15.75" x14ac:dyDescent="0.25">
      <c r="A882" s="6" t="s">
        <v>817</v>
      </c>
      <c r="B882" s="7">
        <v>45229.879166666673</v>
      </c>
      <c r="C882" s="6">
        <v>43</v>
      </c>
      <c r="D882" s="6" t="s">
        <v>792</v>
      </c>
      <c r="E882" s="8" t="str">
        <f>IFERROR(VLOOKUP(LOG_RESEAU[[#This Row],[Cell_ID]],Registre_Maintenance!A:B,2,FALSE),"Non trouvé")</f>
        <v>Sud-Ubangi</v>
      </c>
      <c r="F882" s="8">
        <f>IFERROR(VLOOKUP(LOG_RESEAU[[#This Row],[Cell_ID]],Registre_Maintenance!A:C,3,FALSE),"Non trouvé")</f>
        <v>-10.56448</v>
      </c>
      <c r="G882" s="8">
        <f>IFERROR(VLOOKUP(LOG_RESEAU[[#This Row],[Cell_ID]],Registre_Maintenance!A:D,4,FALSE),"Non trouvé")</f>
        <v>19.792876</v>
      </c>
      <c r="H882" s="6" t="str">
        <f>IFERROR(VLOOKUP(LOG_RESEAU[[#This Row],[Cell_ID]],Registre_Maintenance!A:E,5,FALSE),"Non trouvé")</f>
        <v>5G</v>
      </c>
      <c r="I882" s="6" t="str">
        <f>IFERROR(VLOOKUP(LOG_RESEAU[[#This Row],[Cell_ID]],Registre_Maintenance!A:F,6,FALSE),"Non trouvé")</f>
        <v>Ericsson</v>
      </c>
      <c r="J882" s="6" t="str">
        <f t="shared" si="39"/>
        <v>OK</v>
      </c>
      <c r="K882" s="6">
        <f t="shared" si="40"/>
        <v>11</v>
      </c>
      <c r="L882" s="6">
        <f t="shared" si="41"/>
        <v>456</v>
      </c>
    </row>
    <row r="883" spans="1:12" ht="15.75" x14ac:dyDescent="0.25">
      <c r="A883" s="6" t="s">
        <v>817</v>
      </c>
      <c r="B883" s="7">
        <v>45217.681944444441</v>
      </c>
      <c r="C883" s="6">
        <v>64</v>
      </c>
      <c r="D883" s="6" t="s">
        <v>800</v>
      </c>
      <c r="E883" s="8" t="str">
        <f>IFERROR(VLOOKUP(LOG_RESEAU[[#This Row],[Cell_ID]],Registre_Maintenance!A:B,2,FALSE),"Non trouvé")</f>
        <v>Sud-Ubangi</v>
      </c>
      <c r="F883" s="8">
        <f>IFERROR(VLOOKUP(LOG_RESEAU[[#This Row],[Cell_ID]],Registre_Maintenance!A:C,3,FALSE),"Non trouvé")</f>
        <v>-10.56448</v>
      </c>
      <c r="G883" s="8">
        <f>IFERROR(VLOOKUP(LOG_RESEAU[[#This Row],[Cell_ID]],Registre_Maintenance!A:D,4,FALSE),"Non trouvé")</f>
        <v>19.792876</v>
      </c>
      <c r="H883" s="6" t="str">
        <f>IFERROR(VLOOKUP(LOG_RESEAU[[#This Row],[Cell_ID]],Registre_Maintenance!A:E,5,FALSE),"Non trouvé")</f>
        <v>5G</v>
      </c>
      <c r="I883" s="6" t="str">
        <f>IFERROR(VLOOKUP(LOG_RESEAU[[#This Row],[Cell_ID]],Registre_Maintenance!A:F,6,FALSE),"Non trouvé")</f>
        <v>Ericsson</v>
      </c>
      <c r="J883" s="6" t="str">
        <f t="shared" si="39"/>
        <v>OK</v>
      </c>
      <c r="K883" s="6">
        <f t="shared" si="40"/>
        <v>11</v>
      </c>
      <c r="L883" s="6">
        <f t="shared" si="41"/>
        <v>456</v>
      </c>
    </row>
    <row r="884" spans="1:12" ht="15.75" x14ac:dyDescent="0.25">
      <c r="A884" s="6" t="s">
        <v>817</v>
      </c>
      <c r="B884" s="7">
        <v>45215.518750000003</v>
      </c>
      <c r="C884" s="6">
        <v>18</v>
      </c>
      <c r="D884" s="6" t="s">
        <v>800</v>
      </c>
      <c r="E884" s="8" t="str">
        <f>IFERROR(VLOOKUP(LOG_RESEAU[[#This Row],[Cell_ID]],Registre_Maintenance!A:B,2,FALSE),"Non trouvé")</f>
        <v>Sud-Ubangi</v>
      </c>
      <c r="F884" s="8">
        <f>IFERROR(VLOOKUP(LOG_RESEAU[[#This Row],[Cell_ID]],Registre_Maintenance!A:C,3,FALSE),"Non trouvé")</f>
        <v>-10.56448</v>
      </c>
      <c r="G884" s="8">
        <f>IFERROR(VLOOKUP(LOG_RESEAU[[#This Row],[Cell_ID]],Registre_Maintenance!A:D,4,FALSE),"Non trouvé")</f>
        <v>19.792876</v>
      </c>
      <c r="H884" s="6" t="str">
        <f>IFERROR(VLOOKUP(LOG_RESEAU[[#This Row],[Cell_ID]],Registre_Maintenance!A:E,5,FALSE),"Non trouvé")</f>
        <v>5G</v>
      </c>
      <c r="I884" s="6" t="str">
        <f>IFERROR(VLOOKUP(LOG_RESEAU[[#This Row],[Cell_ID]],Registre_Maintenance!A:F,6,FALSE),"Non trouvé")</f>
        <v>Ericsson</v>
      </c>
      <c r="J884" s="6" t="str">
        <f t="shared" si="39"/>
        <v>OK</v>
      </c>
      <c r="K884" s="6">
        <f t="shared" si="40"/>
        <v>11</v>
      </c>
      <c r="L884" s="6">
        <f t="shared" si="41"/>
        <v>456</v>
      </c>
    </row>
    <row r="885" spans="1:12" ht="15.75" x14ac:dyDescent="0.25">
      <c r="A885" s="6" t="s">
        <v>817</v>
      </c>
      <c r="B885" s="7">
        <v>45219.169444444437</v>
      </c>
      <c r="C885" s="6">
        <v>35</v>
      </c>
      <c r="D885" s="6" t="s">
        <v>800</v>
      </c>
      <c r="E885" s="8" t="str">
        <f>IFERROR(VLOOKUP(LOG_RESEAU[[#This Row],[Cell_ID]],Registre_Maintenance!A:B,2,FALSE),"Non trouvé")</f>
        <v>Sud-Ubangi</v>
      </c>
      <c r="F885" s="8">
        <f>IFERROR(VLOOKUP(LOG_RESEAU[[#This Row],[Cell_ID]],Registre_Maintenance!A:C,3,FALSE),"Non trouvé")</f>
        <v>-10.56448</v>
      </c>
      <c r="G885" s="8">
        <f>IFERROR(VLOOKUP(LOG_RESEAU[[#This Row],[Cell_ID]],Registre_Maintenance!A:D,4,FALSE),"Non trouvé")</f>
        <v>19.792876</v>
      </c>
      <c r="H885" s="6" t="str">
        <f>IFERROR(VLOOKUP(LOG_RESEAU[[#This Row],[Cell_ID]],Registre_Maintenance!A:E,5,FALSE),"Non trouvé")</f>
        <v>5G</v>
      </c>
      <c r="I885" s="6" t="str">
        <f>IFERROR(VLOOKUP(LOG_RESEAU[[#This Row],[Cell_ID]],Registre_Maintenance!A:F,6,FALSE),"Non trouvé")</f>
        <v>Ericsson</v>
      </c>
      <c r="J885" s="6" t="str">
        <f t="shared" si="39"/>
        <v>OK</v>
      </c>
      <c r="K885" s="6">
        <f t="shared" si="40"/>
        <v>11</v>
      </c>
      <c r="L885" s="6">
        <f t="shared" si="41"/>
        <v>456</v>
      </c>
    </row>
    <row r="886" spans="1:12" ht="15.75" x14ac:dyDescent="0.25">
      <c r="A886" s="6" t="s">
        <v>817</v>
      </c>
      <c r="B886" s="7">
        <v>45220.774305555547</v>
      </c>
      <c r="C886" s="6">
        <v>11</v>
      </c>
      <c r="D886" s="6" t="s">
        <v>792</v>
      </c>
      <c r="E886" s="8" t="str">
        <f>IFERROR(VLOOKUP(LOG_RESEAU[[#This Row],[Cell_ID]],Registre_Maintenance!A:B,2,FALSE),"Non trouvé")</f>
        <v>Sud-Ubangi</v>
      </c>
      <c r="F886" s="8">
        <f>IFERROR(VLOOKUP(LOG_RESEAU[[#This Row],[Cell_ID]],Registre_Maintenance!A:C,3,FALSE),"Non trouvé")</f>
        <v>-10.56448</v>
      </c>
      <c r="G886" s="8">
        <f>IFERROR(VLOOKUP(LOG_RESEAU[[#This Row],[Cell_ID]],Registre_Maintenance!A:D,4,FALSE),"Non trouvé")</f>
        <v>19.792876</v>
      </c>
      <c r="H886" s="6" t="str">
        <f>IFERROR(VLOOKUP(LOG_RESEAU[[#This Row],[Cell_ID]],Registre_Maintenance!A:E,5,FALSE),"Non trouvé")</f>
        <v>5G</v>
      </c>
      <c r="I886" s="6" t="str">
        <f>IFERROR(VLOOKUP(LOG_RESEAU[[#This Row],[Cell_ID]],Registre_Maintenance!A:F,6,FALSE),"Non trouvé")</f>
        <v>Ericsson</v>
      </c>
      <c r="J886" s="6" t="str">
        <f t="shared" si="39"/>
        <v>OK</v>
      </c>
      <c r="K886" s="6">
        <f t="shared" si="40"/>
        <v>11</v>
      </c>
      <c r="L886" s="6">
        <f t="shared" si="41"/>
        <v>456</v>
      </c>
    </row>
    <row r="887" spans="1:12" ht="15.75" x14ac:dyDescent="0.25">
      <c r="A887" s="6" t="s">
        <v>817</v>
      </c>
      <c r="B887" s="7">
        <v>45207.526388888888</v>
      </c>
      <c r="C887" s="6">
        <v>6</v>
      </c>
      <c r="D887" s="6" t="s">
        <v>794</v>
      </c>
      <c r="E887" s="8" t="str">
        <f>IFERROR(VLOOKUP(LOG_RESEAU[[#This Row],[Cell_ID]],Registre_Maintenance!A:B,2,FALSE),"Non trouvé")</f>
        <v>Sud-Ubangi</v>
      </c>
      <c r="F887" s="8">
        <f>IFERROR(VLOOKUP(LOG_RESEAU[[#This Row],[Cell_ID]],Registre_Maintenance!A:C,3,FALSE),"Non trouvé")</f>
        <v>-10.56448</v>
      </c>
      <c r="G887" s="8">
        <f>IFERROR(VLOOKUP(LOG_RESEAU[[#This Row],[Cell_ID]],Registre_Maintenance!A:D,4,FALSE),"Non trouvé")</f>
        <v>19.792876</v>
      </c>
      <c r="H887" s="6" t="str">
        <f>IFERROR(VLOOKUP(LOG_RESEAU[[#This Row],[Cell_ID]],Registre_Maintenance!A:E,5,FALSE),"Non trouvé")</f>
        <v>5G</v>
      </c>
      <c r="I887" s="6" t="str">
        <f>IFERROR(VLOOKUP(LOG_RESEAU[[#This Row],[Cell_ID]],Registre_Maintenance!A:F,6,FALSE),"Non trouvé")</f>
        <v>Ericsson</v>
      </c>
      <c r="J887" s="6" t="str">
        <f t="shared" si="39"/>
        <v>OK</v>
      </c>
      <c r="K887" s="6">
        <f t="shared" si="40"/>
        <v>11</v>
      </c>
      <c r="L887" s="6">
        <f t="shared" si="41"/>
        <v>456</v>
      </c>
    </row>
    <row r="888" spans="1:12" ht="15.75" x14ac:dyDescent="0.25">
      <c r="A888" s="6" t="s">
        <v>817</v>
      </c>
      <c r="B888" s="7">
        <v>45205.245138888888</v>
      </c>
      <c r="C888" s="6">
        <v>33</v>
      </c>
      <c r="D888" s="6" t="s">
        <v>794</v>
      </c>
      <c r="E888" s="8" t="str">
        <f>IFERROR(VLOOKUP(LOG_RESEAU[[#This Row],[Cell_ID]],Registre_Maintenance!A:B,2,FALSE),"Non trouvé")</f>
        <v>Sud-Ubangi</v>
      </c>
      <c r="F888" s="8">
        <f>IFERROR(VLOOKUP(LOG_RESEAU[[#This Row],[Cell_ID]],Registre_Maintenance!A:C,3,FALSE),"Non trouvé")</f>
        <v>-10.56448</v>
      </c>
      <c r="G888" s="8">
        <f>IFERROR(VLOOKUP(LOG_RESEAU[[#This Row],[Cell_ID]],Registre_Maintenance!A:D,4,FALSE),"Non trouvé")</f>
        <v>19.792876</v>
      </c>
      <c r="H888" s="6" t="str">
        <f>IFERROR(VLOOKUP(LOG_RESEAU[[#This Row],[Cell_ID]],Registre_Maintenance!A:E,5,FALSE),"Non trouvé")</f>
        <v>5G</v>
      </c>
      <c r="I888" s="6" t="str">
        <f>IFERROR(VLOOKUP(LOG_RESEAU[[#This Row],[Cell_ID]],Registre_Maintenance!A:F,6,FALSE),"Non trouvé")</f>
        <v>Ericsson</v>
      </c>
      <c r="J888" s="6" t="str">
        <f t="shared" si="39"/>
        <v>OK</v>
      </c>
      <c r="K888" s="6">
        <f t="shared" si="40"/>
        <v>11</v>
      </c>
      <c r="L888" s="6">
        <f t="shared" si="41"/>
        <v>456</v>
      </c>
    </row>
    <row r="889" spans="1:12" ht="15.75" x14ac:dyDescent="0.25">
      <c r="A889" s="6" t="s">
        <v>817</v>
      </c>
      <c r="B889" s="7">
        <v>45206.919444444437</v>
      </c>
      <c r="C889" s="6">
        <v>13</v>
      </c>
      <c r="D889" s="6" t="s">
        <v>800</v>
      </c>
      <c r="E889" s="8" t="str">
        <f>IFERROR(VLOOKUP(LOG_RESEAU[[#This Row],[Cell_ID]],Registre_Maintenance!A:B,2,FALSE),"Non trouvé")</f>
        <v>Sud-Ubangi</v>
      </c>
      <c r="F889" s="8">
        <f>IFERROR(VLOOKUP(LOG_RESEAU[[#This Row],[Cell_ID]],Registre_Maintenance!A:C,3,FALSE),"Non trouvé")</f>
        <v>-10.56448</v>
      </c>
      <c r="G889" s="8">
        <f>IFERROR(VLOOKUP(LOG_RESEAU[[#This Row],[Cell_ID]],Registre_Maintenance!A:D,4,FALSE),"Non trouvé")</f>
        <v>19.792876</v>
      </c>
      <c r="H889" s="6" t="str">
        <f>IFERROR(VLOOKUP(LOG_RESEAU[[#This Row],[Cell_ID]],Registre_Maintenance!A:E,5,FALSE),"Non trouvé")</f>
        <v>5G</v>
      </c>
      <c r="I889" s="6" t="str">
        <f>IFERROR(VLOOKUP(LOG_RESEAU[[#This Row],[Cell_ID]],Registre_Maintenance!A:F,6,FALSE),"Non trouvé")</f>
        <v>Ericsson</v>
      </c>
      <c r="J889" s="6" t="str">
        <f t="shared" si="39"/>
        <v>OK</v>
      </c>
      <c r="K889" s="6">
        <f t="shared" si="40"/>
        <v>11</v>
      </c>
      <c r="L889" s="6">
        <f t="shared" si="41"/>
        <v>456</v>
      </c>
    </row>
    <row r="890" spans="1:12" ht="15.75" x14ac:dyDescent="0.25">
      <c r="A890" s="6" t="s">
        <v>817</v>
      </c>
      <c r="B890" s="7">
        <v>45229.595833333333</v>
      </c>
      <c r="C890" s="6">
        <v>88</v>
      </c>
      <c r="D890" s="6" t="s">
        <v>792</v>
      </c>
      <c r="E890" s="8" t="str">
        <f>IFERROR(VLOOKUP(LOG_RESEAU[[#This Row],[Cell_ID]],Registre_Maintenance!A:B,2,FALSE),"Non trouvé")</f>
        <v>Sud-Ubangi</v>
      </c>
      <c r="F890" s="8">
        <f>IFERROR(VLOOKUP(LOG_RESEAU[[#This Row],[Cell_ID]],Registre_Maintenance!A:C,3,FALSE),"Non trouvé")</f>
        <v>-10.56448</v>
      </c>
      <c r="G890" s="8">
        <f>IFERROR(VLOOKUP(LOG_RESEAU[[#This Row],[Cell_ID]],Registre_Maintenance!A:D,4,FALSE),"Non trouvé")</f>
        <v>19.792876</v>
      </c>
      <c r="H890" s="6" t="str">
        <f>IFERROR(VLOOKUP(LOG_RESEAU[[#This Row],[Cell_ID]],Registre_Maintenance!A:E,5,FALSE),"Non trouvé")</f>
        <v>5G</v>
      </c>
      <c r="I890" s="6" t="str">
        <f>IFERROR(VLOOKUP(LOG_RESEAU[[#This Row],[Cell_ID]],Registre_Maintenance!A:F,6,FALSE),"Non trouvé")</f>
        <v>Ericsson</v>
      </c>
      <c r="J890" s="6" t="str">
        <f t="shared" si="39"/>
        <v>OK</v>
      </c>
      <c r="K890" s="6">
        <f t="shared" si="40"/>
        <v>11</v>
      </c>
      <c r="L890" s="6">
        <f t="shared" si="41"/>
        <v>456</v>
      </c>
    </row>
    <row r="891" spans="1:12" ht="15.75" x14ac:dyDescent="0.25">
      <c r="A891" s="6" t="s">
        <v>817</v>
      </c>
      <c r="B891" s="7">
        <v>45202.42083333333</v>
      </c>
      <c r="C891" s="6">
        <v>84</v>
      </c>
      <c r="D891" s="6" t="s">
        <v>794</v>
      </c>
      <c r="E891" s="8" t="str">
        <f>IFERROR(VLOOKUP(LOG_RESEAU[[#This Row],[Cell_ID]],Registre_Maintenance!A:B,2,FALSE),"Non trouvé")</f>
        <v>Sud-Ubangi</v>
      </c>
      <c r="F891" s="8">
        <f>IFERROR(VLOOKUP(LOG_RESEAU[[#This Row],[Cell_ID]],Registre_Maintenance!A:C,3,FALSE),"Non trouvé")</f>
        <v>-10.56448</v>
      </c>
      <c r="G891" s="8">
        <f>IFERROR(VLOOKUP(LOG_RESEAU[[#This Row],[Cell_ID]],Registre_Maintenance!A:D,4,FALSE),"Non trouvé")</f>
        <v>19.792876</v>
      </c>
      <c r="H891" s="6" t="str">
        <f>IFERROR(VLOOKUP(LOG_RESEAU[[#This Row],[Cell_ID]],Registre_Maintenance!A:E,5,FALSE),"Non trouvé")</f>
        <v>5G</v>
      </c>
      <c r="I891" s="6" t="str">
        <f>IFERROR(VLOOKUP(LOG_RESEAU[[#This Row],[Cell_ID]],Registre_Maintenance!A:F,6,FALSE),"Non trouvé")</f>
        <v>Ericsson</v>
      </c>
      <c r="J891" s="6" t="str">
        <f t="shared" si="39"/>
        <v>OK</v>
      </c>
      <c r="K891" s="6">
        <f t="shared" si="40"/>
        <v>11</v>
      </c>
      <c r="L891" s="6">
        <f t="shared" si="41"/>
        <v>456</v>
      </c>
    </row>
    <row r="892" spans="1:12" ht="15.75" x14ac:dyDescent="0.25">
      <c r="A892" s="6" t="s">
        <v>922</v>
      </c>
      <c r="B892" s="7">
        <v>45210.568055555559</v>
      </c>
      <c r="C892" s="6">
        <v>64</v>
      </c>
      <c r="D892" s="6" t="s">
        <v>800</v>
      </c>
      <c r="E892" s="8" t="str">
        <f>IFERROR(VLOOKUP(LOG_RESEAU[[#This Row],[Cell_ID]],Registre_Maintenance!A:B,2,FALSE),"Non trouvé")</f>
        <v>Non trouvé</v>
      </c>
      <c r="F892" s="8" t="str">
        <f>IFERROR(VLOOKUP(LOG_RESEAU[[#This Row],[Cell_ID]],Registre_Maintenance!A:C,3,FALSE),"Non trouvé")</f>
        <v>Non trouvé</v>
      </c>
      <c r="G892" s="8" t="str">
        <f>IFERROR(VLOOKUP(LOG_RESEAU[[#This Row],[Cell_ID]],Registre_Maintenance!A:D,4,FALSE),"Non trouvé")</f>
        <v>Non trouvé</v>
      </c>
      <c r="H892" s="6" t="str">
        <f>IFERROR(VLOOKUP(LOG_RESEAU[[#This Row],[Cell_ID]],Registre_Maintenance!A:E,5,FALSE),"Non trouvé")</f>
        <v>Non trouvé</v>
      </c>
      <c r="I892" s="6" t="str">
        <f>IFERROR(VLOOKUP(LOG_RESEAU[[#This Row],[Cell_ID]],Registre_Maintenance!A:F,6,FALSE),"Non trouvé")</f>
        <v>Non trouvé</v>
      </c>
      <c r="J892" s="6" t="str">
        <f t="shared" si="39"/>
        <v>Antenne inconnue</v>
      </c>
      <c r="K892" s="6">
        <f t="shared" si="40"/>
        <v>3</v>
      </c>
      <c r="L892" s="6">
        <f t="shared" si="41"/>
        <v>201</v>
      </c>
    </row>
    <row r="893" spans="1:12" ht="15.75" x14ac:dyDescent="0.25">
      <c r="A893" s="6" t="s">
        <v>922</v>
      </c>
      <c r="B893" s="7">
        <v>45219.89166666667</v>
      </c>
      <c r="C893" s="6">
        <v>115</v>
      </c>
      <c r="D893" s="6" t="s">
        <v>800</v>
      </c>
      <c r="E893" s="8" t="str">
        <f>IFERROR(VLOOKUP(LOG_RESEAU[[#This Row],[Cell_ID]],Registre_Maintenance!A:B,2,FALSE),"Non trouvé")</f>
        <v>Non trouvé</v>
      </c>
      <c r="F893" s="8" t="str">
        <f>IFERROR(VLOOKUP(LOG_RESEAU[[#This Row],[Cell_ID]],Registre_Maintenance!A:C,3,FALSE),"Non trouvé")</f>
        <v>Non trouvé</v>
      </c>
      <c r="G893" s="8" t="str">
        <f>IFERROR(VLOOKUP(LOG_RESEAU[[#This Row],[Cell_ID]],Registre_Maintenance!A:D,4,FALSE),"Non trouvé")</f>
        <v>Non trouvé</v>
      </c>
      <c r="H893" s="6" t="str">
        <f>IFERROR(VLOOKUP(LOG_RESEAU[[#This Row],[Cell_ID]],Registre_Maintenance!A:E,5,FALSE),"Non trouvé")</f>
        <v>Non trouvé</v>
      </c>
      <c r="I893" s="6" t="str">
        <f>IFERROR(VLOOKUP(LOG_RESEAU[[#This Row],[Cell_ID]],Registre_Maintenance!A:F,6,FALSE),"Non trouvé")</f>
        <v>Non trouvé</v>
      </c>
      <c r="J893" s="6" t="str">
        <f t="shared" si="39"/>
        <v>Antenne inconnue</v>
      </c>
      <c r="K893" s="6">
        <f t="shared" si="40"/>
        <v>3</v>
      </c>
      <c r="L893" s="6">
        <f t="shared" si="41"/>
        <v>201</v>
      </c>
    </row>
    <row r="894" spans="1:12" hidden="1" x14ac:dyDescent="0.25">
      <c r="A894" s="2"/>
      <c r="B894" s="2">
        <v>45210.511805555558</v>
      </c>
      <c r="C894" s="2">
        <v>39</v>
      </c>
      <c r="D894" s="2" t="s">
        <v>794</v>
      </c>
      <c r="E894" s="3" t="str">
        <f>IFERROR(VLOOKUP(LOG_RESEAU[[#This Row],[Cell_ID]],Registre_Maintenance!A:B,2,FALSE),"Non trouvé")</f>
        <v>Non trouvé</v>
      </c>
      <c r="F894" s="3" t="str">
        <f>IFERROR(VLOOKUP(LOG_RESEAU[[#This Row],[Cell_ID]],Registre_Maintenance!A:C,3,FALSE),"Non trouvé")</f>
        <v>Non trouvé</v>
      </c>
      <c r="G894" s="3" t="str">
        <f>IFERROR(VLOOKUP(LOG_RESEAU[[#This Row],[Cell_ID]],Registre_Maintenance!A:D,4,FALSE),"Non trouvé")</f>
        <v>Non trouvé</v>
      </c>
      <c r="H894" s="2" t="str">
        <f>IFERROR(VLOOKUP(LOG_RESEAU[[#This Row],[Cell_ID]],Registre_Maintenance!A:E,5,FALSE),"Non trouvé")</f>
        <v>Non trouvé</v>
      </c>
      <c r="I894" s="2" t="str">
        <f>IFERROR(VLOOKUP(LOG_RESEAU[[#This Row],[Cell_ID]],Registre_Maintenance!A:F,6,FALSE),"Non trouvé")</f>
        <v>Non trouvé</v>
      </c>
      <c r="J894" s="2" t="str">
        <f t="shared" si="39"/>
        <v>Antenne inconnue</v>
      </c>
      <c r="K894" s="2">
        <f t="shared" si="40"/>
        <v>0</v>
      </c>
      <c r="L894" s="2">
        <f t="shared" si="41"/>
        <v>0</v>
      </c>
    </row>
    <row r="895" spans="1:12" ht="15.75" x14ac:dyDescent="0.25">
      <c r="A895" s="6" t="s">
        <v>922</v>
      </c>
      <c r="B895" s="7">
        <v>45225.318055555559</v>
      </c>
      <c r="C895" s="6">
        <v>22</v>
      </c>
      <c r="D895" s="6" t="s">
        <v>800</v>
      </c>
      <c r="E895" s="8" t="str">
        <f>IFERROR(VLOOKUP(LOG_RESEAU[[#This Row],[Cell_ID]],Registre_Maintenance!A:B,2,FALSE),"Non trouvé")</f>
        <v>Non trouvé</v>
      </c>
      <c r="F895" s="8" t="str">
        <f>IFERROR(VLOOKUP(LOG_RESEAU[[#This Row],[Cell_ID]],Registre_Maintenance!A:C,3,FALSE),"Non trouvé")</f>
        <v>Non trouvé</v>
      </c>
      <c r="G895" s="8" t="str">
        <f>IFERROR(VLOOKUP(LOG_RESEAU[[#This Row],[Cell_ID]],Registre_Maintenance!A:D,4,FALSE),"Non trouvé")</f>
        <v>Non trouvé</v>
      </c>
      <c r="H895" s="6" t="str">
        <f>IFERROR(VLOOKUP(LOG_RESEAU[[#This Row],[Cell_ID]],Registre_Maintenance!A:E,5,FALSE),"Non trouvé")</f>
        <v>Non trouvé</v>
      </c>
      <c r="I895" s="6" t="str">
        <f>IFERROR(VLOOKUP(LOG_RESEAU[[#This Row],[Cell_ID]],Registre_Maintenance!A:F,6,FALSE),"Non trouvé")</f>
        <v>Non trouvé</v>
      </c>
      <c r="J895" s="6" t="str">
        <f t="shared" si="39"/>
        <v>Antenne inconnue</v>
      </c>
      <c r="K895" s="6">
        <f t="shared" si="40"/>
        <v>3</v>
      </c>
      <c r="L895" s="6">
        <f t="shared" si="41"/>
        <v>201</v>
      </c>
    </row>
    <row r="896" spans="1:12" ht="15.75" x14ac:dyDescent="0.25">
      <c r="A896" s="6" t="s">
        <v>825</v>
      </c>
      <c r="B896" s="7">
        <v>45217.96875</v>
      </c>
      <c r="C896" s="6">
        <v>107</v>
      </c>
      <c r="D896" s="6" t="s">
        <v>794</v>
      </c>
      <c r="E896" s="8" t="str">
        <f>IFERROR(VLOOKUP(LOG_RESEAU[[#This Row],[Cell_ID]],Registre_Maintenance!A:B,2,FALSE),"Non trouvé")</f>
        <v>Non trouvé</v>
      </c>
      <c r="F896" s="8" t="str">
        <f>IFERROR(VLOOKUP(LOG_RESEAU[[#This Row],[Cell_ID]],Registre_Maintenance!A:C,3,FALSE),"Non trouvé")</f>
        <v>Non trouvé</v>
      </c>
      <c r="G896" s="8" t="str">
        <f>IFERROR(VLOOKUP(LOG_RESEAU[[#This Row],[Cell_ID]],Registre_Maintenance!A:D,4,FALSE),"Non trouvé")</f>
        <v>Non trouvé</v>
      </c>
      <c r="H896" s="6" t="str">
        <f>IFERROR(VLOOKUP(LOG_RESEAU[[#This Row],[Cell_ID]],Registre_Maintenance!A:E,5,FALSE),"Non trouvé")</f>
        <v>Non trouvé</v>
      </c>
      <c r="I896" s="6" t="str">
        <f>IFERROR(VLOOKUP(LOG_RESEAU[[#This Row],[Cell_ID]],Registre_Maintenance!A:F,6,FALSE),"Non trouvé")</f>
        <v>Non trouvé</v>
      </c>
      <c r="J896" s="6" t="str">
        <f t="shared" si="39"/>
        <v>Antenne inconnue</v>
      </c>
      <c r="K896" s="6">
        <f t="shared" si="40"/>
        <v>4</v>
      </c>
      <c r="L896" s="6">
        <f t="shared" si="41"/>
        <v>218</v>
      </c>
    </row>
    <row r="897" spans="1:12" ht="15.75" x14ac:dyDescent="0.25">
      <c r="A897" s="6" t="s">
        <v>825</v>
      </c>
      <c r="B897" s="7">
        <v>45222.039583333331</v>
      </c>
      <c r="C897" s="6">
        <v>21</v>
      </c>
      <c r="D897" s="6" t="s">
        <v>800</v>
      </c>
      <c r="E897" s="8" t="str">
        <f>IFERROR(VLOOKUP(LOG_RESEAU[[#This Row],[Cell_ID]],Registre_Maintenance!A:B,2,FALSE),"Non trouvé")</f>
        <v>Non trouvé</v>
      </c>
      <c r="F897" s="8" t="str">
        <f>IFERROR(VLOOKUP(LOG_RESEAU[[#This Row],[Cell_ID]],Registre_Maintenance!A:C,3,FALSE),"Non trouvé")</f>
        <v>Non trouvé</v>
      </c>
      <c r="G897" s="8" t="str">
        <f>IFERROR(VLOOKUP(LOG_RESEAU[[#This Row],[Cell_ID]],Registre_Maintenance!A:D,4,FALSE),"Non trouvé")</f>
        <v>Non trouvé</v>
      </c>
      <c r="H897" s="6" t="str">
        <f>IFERROR(VLOOKUP(LOG_RESEAU[[#This Row],[Cell_ID]],Registre_Maintenance!A:E,5,FALSE),"Non trouvé")</f>
        <v>Non trouvé</v>
      </c>
      <c r="I897" s="6" t="str">
        <f>IFERROR(VLOOKUP(LOG_RESEAU[[#This Row],[Cell_ID]],Registre_Maintenance!A:F,6,FALSE),"Non trouvé")</f>
        <v>Non trouvé</v>
      </c>
      <c r="J897" s="6" t="str">
        <f t="shared" si="39"/>
        <v>Antenne inconnue</v>
      </c>
      <c r="K897" s="6">
        <f t="shared" si="40"/>
        <v>4</v>
      </c>
      <c r="L897" s="6">
        <f t="shared" si="41"/>
        <v>218</v>
      </c>
    </row>
    <row r="898" spans="1:12" ht="15.75" x14ac:dyDescent="0.25">
      <c r="A898" s="6" t="s">
        <v>825</v>
      </c>
      <c r="B898" s="7">
        <v>45224.60833333333</v>
      </c>
      <c r="C898" s="6">
        <v>54</v>
      </c>
      <c r="D898" s="6" t="s">
        <v>800</v>
      </c>
      <c r="E898" s="8" t="str">
        <f>IFERROR(VLOOKUP(LOG_RESEAU[[#This Row],[Cell_ID]],Registre_Maintenance!A:B,2,FALSE),"Non trouvé")</f>
        <v>Non trouvé</v>
      </c>
      <c r="F898" s="8" t="str">
        <f>IFERROR(VLOOKUP(LOG_RESEAU[[#This Row],[Cell_ID]],Registre_Maintenance!A:C,3,FALSE),"Non trouvé")</f>
        <v>Non trouvé</v>
      </c>
      <c r="G898" s="8" t="str">
        <f>IFERROR(VLOOKUP(LOG_RESEAU[[#This Row],[Cell_ID]],Registre_Maintenance!A:D,4,FALSE),"Non trouvé")</f>
        <v>Non trouvé</v>
      </c>
      <c r="H898" s="6" t="str">
        <f>IFERROR(VLOOKUP(LOG_RESEAU[[#This Row],[Cell_ID]],Registre_Maintenance!A:E,5,FALSE),"Non trouvé")</f>
        <v>Non trouvé</v>
      </c>
      <c r="I898" s="6" t="str">
        <f>IFERROR(VLOOKUP(LOG_RESEAU[[#This Row],[Cell_ID]],Registre_Maintenance!A:F,6,FALSE),"Non trouvé")</f>
        <v>Non trouvé</v>
      </c>
      <c r="J898" s="6" t="str">
        <f t="shared" ref="J898:J961" si="42">IF(ISERROR(SEARCH("Non trouvé",F898)),"OK","Antenne inconnue")</f>
        <v>Antenne inconnue</v>
      </c>
      <c r="K898" s="6">
        <f t="shared" ref="K898:K961" si="43">COUNTIF(A:A,A898)</f>
        <v>4</v>
      </c>
      <c r="L898" s="6">
        <f t="shared" ref="L898:L961" si="44">SUMIF(A:A,A898,C:C)</f>
        <v>218</v>
      </c>
    </row>
    <row r="899" spans="1:12" ht="15.75" x14ac:dyDescent="0.25">
      <c r="A899" s="6" t="s">
        <v>825</v>
      </c>
      <c r="B899" s="7">
        <v>45216.137499999997</v>
      </c>
      <c r="C899" s="6">
        <v>36</v>
      </c>
      <c r="D899" s="6" t="s">
        <v>792</v>
      </c>
      <c r="E899" s="8" t="str">
        <f>IFERROR(VLOOKUP(LOG_RESEAU[[#This Row],[Cell_ID]],Registre_Maintenance!A:B,2,FALSE),"Non trouvé")</f>
        <v>Non trouvé</v>
      </c>
      <c r="F899" s="8" t="str">
        <f>IFERROR(VLOOKUP(LOG_RESEAU[[#This Row],[Cell_ID]],Registre_Maintenance!A:C,3,FALSE),"Non trouvé")</f>
        <v>Non trouvé</v>
      </c>
      <c r="G899" s="8" t="str">
        <f>IFERROR(VLOOKUP(LOG_RESEAU[[#This Row],[Cell_ID]],Registre_Maintenance!A:D,4,FALSE),"Non trouvé")</f>
        <v>Non trouvé</v>
      </c>
      <c r="H899" s="6" t="str">
        <f>IFERROR(VLOOKUP(LOG_RESEAU[[#This Row],[Cell_ID]],Registre_Maintenance!A:E,5,FALSE),"Non trouvé")</f>
        <v>Non trouvé</v>
      </c>
      <c r="I899" s="6" t="str">
        <f>IFERROR(VLOOKUP(LOG_RESEAU[[#This Row],[Cell_ID]],Registre_Maintenance!A:F,6,FALSE),"Non trouvé")</f>
        <v>Non trouvé</v>
      </c>
      <c r="J899" s="6" t="str">
        <f t="shared" si="42"/>
        <v>Antenne inconnue</v>
      </c>
      <c r="K899" s="6">
        <f t="shared" si="43"/>
        <v>4</v>
      </c>
      <c r="L899" s="6">
        <f t="shared" si="44"/>
        <v>218</v>
      </c>
    </row>
    <row r="900" spans="1:12" ht="15.75" x14ac:dyDescent="0.25">
      <c r="A900" s="6" t="s">
        <v>955</v>
      </c>
      <c r="B900" s="7">
        <v>45210.45</v>
      </c>
      <c r="C900" s="6">
        <v>108</v>
      </c>
      <c r="D900" s="6" t="s">
        <v>794</v>
      </c>
      <c r="E900" s="8" t="str">
        <f>IFERROR(VLOOKUP(LOG_RESEAU[[#This Row],[Cell_ID]],Registre_Maintenance!A:B,2,FALSE),"Non trouvé")</f>
        <v>Non trouvé</v>
      </c>
      <c r="F900" s="8" t="str">
        <f>IFERROR(VLOOKUP(LOG_RESEAU[[#This Row],[Cell_ID]],Registre_Maintenance!A:C,3,FALSE),"Non trouvé")</f>
        <v>Non trouvé</v>
      </c>
      <c r="G900" s="8" t="str">
        <f>IFERROR(VLOOKUP(LOG_RESEAU[[#This Row],[Cell_ID]],Registre_Maintenance!A:D,4,FALSE),"Non trouvé")</f>
        <v>Non trouvé</v>
      </c>
      <c r="H900" s="6" t="str">
        <f>IFERROR(VLOOKUP(LOG_RESEAU[[#This Row],[Cell_ID]],Registre_Maintenance!A:E,5,FALSE),"Non trouvé")</f>
        <v>Non trouvé</v>
      </c>
      <c r="I900" s="6" t="str">
        <f>IFERROR(VLOOKUP(LOG_RESEAU[[#This Row],[Cell_ID]],Registre_Maintenance!A:F,6,FALSE),"Non trouvé")</f>
        <v>Non trouvé</v>
      </c>
      <c r="J900" s="6" t="str">
        <f t="shared" si="42"/>
        <v>Antenne inconnue</v>
      </c>
      <c r="K900" s="6">
        <f t="shared" si="43"/>
        <v>6</v>
      </c>
      <c r="L900" s="6">
        <f t="shared" si="44"/>
        <v>425</v>
      </c>
    </row>
    <row r="901" spans="1:12" ht="15.75" x14ac:dyDescent="0.25">
      <c r="A901" s="6" t="s">
        <v>955</v>
      </c>
      <c r="B901" s="7">
        <v>45227.629166666673</v>
      </c>
      <c r="C901" s="6">
        <v>81</v>
      </c>
      <c r="D901" s="6" t="s">
        <v>800</v>
      </c>
      <c r="E901" s="8" t="str">
        <f>IFERROR(VLOOKUP(LOG_RESEAU[[#This Row],[Cell_ID]],Registre_Maintenance!A:B,2,FALSE),"Non trouvé")</f>
        <v>Non trouvé</v>
      </c>
      <c r="F901" s="8" t="str">
        <f>IFERROR(VLOOKUP(LOG_RESEAU[[#This Row],[Cell_ID]],Registre_Maintenance!A:C,3,FALSE),"Non trouvé")</f>
        <v>Non trouvé</v>
      </c>
      <c r="G901" s="8" t="str">
        <f>IFERROR(VLOOKUP(LOG_RESEAU[[#This Row],[Cell_ID]],Registre_Maintenance!A:D,4,FALSE),"Non trouvé")</f>
        <v>Non trouvé</v>
      </c>
      <c r="H901" s="6" t="str">
        <f>IFERROR(VLOOKUP(LOG_RESEAU[[#This Row],[Cell_ID]],Registre_Maintenance!A:E,5,FALSE),"Non trouvé")</f>
        <v>Non trouvé</v>
      </c>
      <c r="I901" s="6" t="str">
        <f>IFERROR(VLOOKUP(LOG_RESEAU[[#This Row],[Cell_ID]],Registre_Maintenance!A:F,6,FALSE),"Non trouvé")</f>
        <v>Non trouvé</v>
      </c>
      <c r="J901" s="6" t="str">
        <f t="shared" si="42"/>
        <v>Antenne inconnue</v>
      </c>
      <c r="K901" s="6">
        <f t="shared" si="43"/>
        <v>6</v>
      </c>
      <c r="L901" s="6">
        <f t="shared" si="44"/>
        <v>425</v>
      </c>
    </row>
    <row r="902" spans="1:12" ht="15.75" x14ac:dyDescent="0.25">
      <c r="A902" s="6" t="s">
        <v>955</v>
      </c>
      <c r="B902" s="7">
        <v>45228.848611111112</v>
      </c>
      <c r="C902" s="6">
        <v>91</v>
      </c>
      <c r="D902" s="6" t="s">
        <v>792</v>
      </c>
      <c r="E902" s="8" t="str">
        <f>IFERROR(VLOOKUP(LOG_RESEAU[[#This Row],[Cell_ID]],Registre_Maintenance!A:B,2,FALSE),"Non trouvé")</f>
        <v>Non trouvé</v>
      </c>
      <c r="F902" s="8" t="str">
        <f>IFERROR(VLOOKUP(LOG_RESEAU[[#This Row],[Cell_ID]],Registre_Maintenance!A:C,3,FALSE),"Non trouvé")</f>
        <v>Non trouvé</v>
      </c>
      <c r="G902" s="8" t="str">
        <f>IFERROR(VLOOKUP(LOG_RESEAU[[#This Row],[Cell_ID]],Registre_Maintenance!A:D,4,FALSE),"Non trouvé")</f>
        <v>Non trouvé</v>
      </c>
      <c r="H902" s="6" t="str">
        <f>IFERROR(VLOOKUP(LOG_RESEAU[[#This Row],[Cell_ID]],Registre_Maintenance!A:E,5,FALSE),"Non trouvé")</f>
        <v>Non trouvé</v>
      </c>
      <c r="I902" s="6" t="str">
        <f>IFERROR(VLOOKUP(LOG_RESEAU[[#This Row],[Cell_ID]],Registre_Maintenance!A:F,6,FALSE),"Non trouvé")</f>
        <v>Non trouvé</v>
      </c>
      <c r="J902" s="6" t="str">
        <f t="shared" si="42"/>
        <v>Antenne inconnue</v>
      </c>
      <c r="K902" s="6">
        <f t="shared" si="43"/>
        <v>6</v>
      </c>
      <c r="L902" s="6">
        <f t="shared" si="44"/>
        <v>425</v>
      </c>
    </row>
    <row r="903" spans="1:12" ht="15.75" x14ac:dyDescent="0.25">
      <c r="A903" s="6" t="s">
        <v>955</v>
      </c>
      <c r="B903" s="7">
        <v>45207.793055555558</v>
      </c>
      <c r="C903" s="6">
        <v>76</v>
      </c>
      <c r="D903" s="6" t="s">
        <v>792</v>
      </c>
      <c r="E903" s="8" t="str">
        <f>IFERROR(VLOOKUP(LOG_RESEAU[[#This Row],[Cell_ID]],Registre_Maintenance!A:B,2,FALSE),"Non trouvé")</f>
        <v>Non trouvé</v>
      </c>
      <c r="F903" s="8" t="str">
        <f>IFERROR(VLOOKUP(LOG_RESEAU[[#This Row],[Cell_ID]],Registre_Maintenance!A:C,3,FALSE),"Non trouvé")</f>
        <v>Non trouvé</v>
      </c>
      <c r="G903" s="8" t="str">
        <f>IFERROR(VLOOKUP(LOG_RESEAU[[#This Row],[Cell_ID]],Registre_Maintenance!A:D,4,FALSE),"Non trouvé")</f>
        <v>Non trouvé</v>
      </c>
      <c r="H903" s="6" t="str">
        <f>IFERROR(VLOOKUP(LOG_RESEAU[[#This Row],[Cell_ID]],Registre_Maintenance!A:E,5,FALSE),"Non trouvé")</f>
        <v>Non trouvé</v>
      </c>
      <c r="I903" s="6" t="str">
        <f>IFERROR(VLOOKUP(LOG_RESEAU[[#This Row],[Cell_ID]],Registre_Maintenance!A:F,6,FALSE),"Non trouvé")</f>
        <v>Non trouvé</v>
      </c>
      <c r="J903" s="6" t="str">
        <f t="shared" si="42"/>
        <v>Antenne inconnue</v>
      </c>
      <c r="K903" s="6">
        <f t="shared" si="43"/>
        <v>6</v>
      </c>
      <c r="L903" s="6">
        <f t="shared" si="44"/>
        <v>425</v>
      </c>
    </row>
    <row r="904" spans="1:12" ht="15.75" x14ac:dyDescent="0.25">
      <c r="A904" s="6" t="s">
        <v>955</v>
      </c>
      <c r="B904" s="7">
        <v>45211.102083333331</v>
      </c>
      <c r="C904" s="6">
        <v>19</v>
      </c>
      <c r="D904" s="6" t="s">
        <v>800</v>
      </c>
      <c r="E904" s="8" t="str">
        <f>IFERROR(VLOOKUP(LOG_RESEAU[[#This Row],[Cell_ID]],Registre_Maintenance!A:B,2,FALSE),"Non trouvé")</f>
        <v>Non trouvé</v>
      </c>
      <c r="F904" s="8" t="str">
        <f>IFERROR(VLOOKUP(LOG_RESEAU[[#This Row],[Cell_ID]],Registre_Maintenance!A:C,3,FALSE),"Non trouvé")</f>
        <v>Non trouvé</v>
      </c>
      <c r="G904" s="8" t="str">
        <f>IFERROR(VLOOKUP(LOG_RESEAU[[#This Row],[Cell_ID]],Registre_Maintenance!A:D,4,FALSE),"Non trouvé")</f>
        <v>Non trouvé</v>
      </c>
      <c r="H904" s="6" t="str">
        <f>IFERROR(VLOOKUP(LOG_RESEAU[[#This Row],[Cell_ID]],Registre_Maintenance!A:E,5,FALSE),"Non trouvé")</f>
        <v>Non trouvé</v>
      </c>
      <c r="I904" s="6" t="str">
        <f>IFERROR(VLOOKUP(LOG_RESEAU[[#This Row],[Cell_ID]],Registre_Maintenance!A:F,6,FALSE),"Non trouvé")</f>
        <v>Non trouvé</v>
      </c>
      <c r="J904" s="6" t="str">
        <f t="shared" si="42"/>
        <v>Antenne inconnue</v>
      </c>
      <c r="K904" s="6">
        <f t="shared" si="43"/>
        <v>6</v>
      </c>
      <c r="L904" s="6">
        <f t="shared" si="44"/>
        <v>425</v>
      </c>
    </row>
    <row r="905" spans="1:12" ht="15.75" x14ac:dyDescent="0.25">
      <c r="A905" s="6" t="s">
        <v>955</v>
      </c>
      <c r="B905" s="7">
        <v>45208.594444444447</v>
      </c>
      <c r="C905" s="6">
        <v>50</v>
      </c>
      <c r="D905" s="6" t="s">
        <v>794</v>
      </c>
      <c r="E905" s="8" t="str">
        <f>IFERROR(VLOOKUP(LOG_RESEAU[[#This Row],[Cell_ID]],Registre_Maintenance!A:B,2,FALSE),"Non trouvé")</f>
        <v>Non trouvé</v>
      </c>
      <c r="F905" s="8" t="str">
        <f>IFERROR(VLOOKUP(LOG_RESEAU[[#This Row],[Cell_ID]],Registre_Maintenance!A:C,3,FALSE),"Non trouvé")</f>
        <v>Non trouvé</v>
      </c>
      <c r="G905" s="8" t="str">
        <f>IFERROR(VLOOKUP(LOG_RESEAU[[#This Row],[Cell_ID]],Registre_Maintenance!A:D,4,FALSE),"Non trouvé")</f>
        <v>Non trouvé</v>
      </c>
      <c r="H905" s="6" t="str">
        <f>IFERROR(VLOOKUP(LOG_RESEAU[[#This Row],[Cell_ID]],Registre_Maintenance!A:E,5,FALSE),"Non trouvé")</f>
        <v>Non trouvé</v>
      </c>
      <c r="I905" s="6" t="str">
        <f>IFERROR(VLOOKUP(LOG_RESEAU[[#This Row],[Cell_ID]],Registre_Maintenance!A:F,6,FALSE),"Non trouvé")</f>
        <v>Non trouvé</v>
      </c>
      <c r="J905" s="6" t="str">
        <f t="shared" si="42"/>
        <v>Antenne inconnue</v>
      </c>
      <c r="K905" s="6">
        <f t="shared" si="43"/>
        <v>6</v>
      </c>
      <c r="L905" s="6">
        <f t="shared" si="44"/>
        <v>425</v>
      </c>
    </row>
    <row r="906" spans="1:12" ht="15.75" x14ac:dyDescent="0.25">
      <c r="A906" s="6" t="s">
        <v>824</v>
      </c>
      <c r="B906" s="7">
        <v>45208.957638888889</v>
      </c>
      <c r="C906" s="6">
        <v>107</v>
      </c>
      <c r="D906" s="6" t="s">
        <v>800</v>
      </c>
      <c r="E906" s="8" t="str">
        <f>IFERROR(VLOOKUP(LOG_RESEAU[[#This Row],[Cell_ID]],Registre_Maintenance!A:B,2,FALSE),"Non trouvé")</f>
        <v>Bas-Uele</v>
      </c>
      <c r="F906" s="8">
        <f>IFERROR(VLOOKUP(LOG_RESEAU[[#This Row],[Cell_ID]],Registre_Maintenance!A:C,3,FALSE),"Non trouvé")</f>
        <v>-12.244119</v>
      </c>
      <c r="G906" s="8">
        <f>IFERROR(VLOOKUP(LOG_RESEAU[[#This Row],[Cell_ID]],Registre_Maintenance!A:D,4,FALSE),"Non trouvé")</f>
        <v>28.279755999999999</v>
      </c>
      <c r="H906" s="6" t="str">
        <f>IFERROR(VLOOKUP(LOG_RESEAU[[#This Row],[Cell_ID]],Registre_Maintenance!A:E,5,FALSE),"Non trouvé")</f>
        <v>5G</v>
      </c>
      <c r="I906" s="6" t="str">
        <f>IFERROR(VLOOKUP(LOG_RESEAU[[#This Row],[Cell_ID]],Registre_Maintenance!A:F,6,FALSE),"Non trouvé")</f>
        <v>ZTE</v>
      </c>
      <c r="J906" s="6" t="str">
        <f t="shared" si="42"/>
        <v>OK</v>
      </c>
      <c r="K906" s="6">
        <f t="shared" si="43"/>
        <v>4</v>
      </c>
      <c r="L906" s="6">
        <f t="shared" si="44"/>
        <v>255</v>
      </c>
    </row>
    <row r="907" spans="1:12" ht="15.75" x14ac:dyDescent="0.25">
      <c r="A907" s="6" t="s">
        <v>824</v>
      </c>
      <c r="B907" s="7">
        <v>45223.355555555558</v>
      </c>
      <c r="C907" s="6">
        <v>60</v>
      </c>
      <c r="D907" s="6" t="s">
        <v>792</v>
      </c>
      <c r="E907" s="8" t="str">
        <f>IFERROR(VLOOKUP(LOG_RESEAU[[#This Row],[Cell_ID]],Registre_Maintenance!A:B,2,FALSE),"Non trouvé")</f>
        <v>Bas-Uele</v>
      </c>
      <c r="F907" s="8">
        <f>IFERROR(VLOOKUP(LOG_RESEAU[[#This Row],[Cell_ID]],Registre_Maintenance!A:C,3,FALSE),"Non trouvé")</f>
        <v>-12.244119</v>
      </c>
      <c r="G907" s="8">
        <f>IFERROR(VLOOKUP(LOG_RESEAU[[#This Row],[Cell_ID]],Registre_Maintenance!A:D,4,FALSE),"Non trouvé")</f>
        <v>28.279755999999999</v>
      </c>
      <c r="H907" s="6" t="str">
        <f>IFERROR(VLOOKUP(LOG_RESEAU[[#This Row],[Cell_ID]],Registre_Maintenance!A:E,5,FALSE),"Non trouvé")</f>
        <v>5G</v>
      </c>
      <c r="I907" s="6" t="str">
        <f>IFERROR(VLOOKUP(LOG_RESEAU[[#This Row],[Cell_ID]],Registre_Maintenance!A:F,6,FALSE),"Non trouvé")</f>
        <v>ZTE</v>
      </c>
      <c r="J907" s="6" t="str">
        <f t="shared" si="42"/>
        <v>OK</v>
      </c>
      <c r="K907" s="6">
        <f t="shared" si="43"/>
        <v>4</v>
      </c>
      <c r="L907" s="6">
        <f t="shared" si="44"/>
        <v>255</v>
      </c>
    </row>
    <row r="908" spans="1:12" ht="15.75" x14ac:dyDescent="0.25">
      <c r="A908" s="6" t="s">
        <v>824</v>
      </c>
      <c r="B908" s="7">
        <v>45223.071527777778</v>
      </c>
      <c r="C908" s="6">
        <v>78</v>
      </c>
      <c r="D908" s="6" t="s">
        <v>794</v>
      </c>
      <c r="E908" s="8" t="str">
        <f>IFERROR(VLOOKUP(LOG_RESEAU[[#This Row],[Cell_ID]],Registre_Maintenance!A:B,2,FALSE),"Non trouvé")</f>
        <v>Bas-Uele</v>
      </c>
      <c r="F908" s="8">
        <f>IFERROR(VLOOKUP(LOG_RESEAU[[#This Row],[Cell_ID]],Registre_Maintenance!A:C,3,FALSE),"Non trouvé")</f>
        <v>-12.244119</v>
      </c>
      <c r="G908" s="8">
        <f>IFERROR(VLOOKUP(LOG_RESEAU[[#This Row],[Cell_ID]],Registre_Maintenance!A:D,4,FALSE),"Non trouvé")</f>
        <v>28.279755999999999</v>
      </c>
      <c r="H908" s="6" t="str">
        <f>IFERROR(VLOOKUP(LOG_RESEAU[[#This Row],[Cell_ID]],Registre_Maintenance!A:E,5,FALSE),"Non trouvé")</f>
        <v>5G</v>
      </c>
      <c r="I908" s="6" t="str">
        <f>IFERROR(VLOOKUP(LOG_RESEAU[[#This Row],[Cell_ID]],Registre_Maintenance!A:F,6,FALSE),"Non trouvé")</f>
        <v>ZTE</v>
      </c>
      <c r="J908" s="6" t="str">
        <f t="shared" si="42"/>
        <v>OK</v>
      </c>
      <c r="K908" s="6">
        <f t="shared" si="43"/>
        <v>4</v>
      </c>
      <c r="L908" s="6">
        <f t="shared" si="44"/>
        <v>255</v>
      </c>
    </row>
    <row r="909" spans="1:12" ht="15.75" x14ac:dyDescent="0.25">
      <c r="A909" s="6" t="s">
        <v>824</v>
      </c>
      <c r="B909" s="7">
        <v>45203.222916666673</v>
      </c>
      <c r="C909" s="6">
        <v>10</v>
      </c>
      <c r="D909" s="6" t="s">
        <v>792</v>
      </c>
      <c r="E909" s="8" t="str">
        <f>IFERROR(VLOOKUP(LOG_RESEAU[[#This Row],[Cell_ID]],Registre_Maintenance!A:B,2,FALSE),"Non trouvé")</f>
        <v>Bas-Uele</v>
      </c>
      <c r="F909" s="8">
        <f>IFERROR(VLOOKUP(LOG_RESEAU[[#This Row],[Cell_ID]],Registre_Maintenance!A:C,3,FALSE),"Non trouvé")</f>
        <v>-12.244119</v>
      </c>
      <c r="G909" s="8">
        <f>IFERROR(VLOOKUP(LOG_RESEAU[[#This Row],[Cell_ID]],Registre_Maintenance!A:D,4,FALSE),"Non trouvé")</f>
        <v>28.279755999999999</v>
      </c>
      <c r="H909" s="6" t="str">
        <f>IFERROR(VLOOKUP(LOG_RESEAU[[#This Row],[Cell_ID]],Registre_Maintenance!A:E,5,FALSE),"Non trouvé")</f>
        <v>5G</v>
      </c>
      <c r="I909" s="6" t="str">
        <f>IFERROR(VLOOKUP(LOG_RESEAU[[#This Row],[Cell_ID]],Registre_Maintenance!A:F,6,FALSE),"Non trouvé")</f>
        <v>ZTE</v>
      </c>
      <c r="J909" s="6" t="str">
        <f t="shared" si="42"/>
        <v>OK</v>
      </c>
      <c r="K909" s="6">
        <f t="shared" si="43"/>
        <v>4</v>
      </c>
      <c r="L909" s="6">
        <f t="shared" si="44"/>
        <v>255</v>
      </c>
    </row>
    <row r="910" spans="1:12" ht="15.75" x14ac:dyDescent="0.25">
      <c r="A910" s="6" t="s">
        <v>953</v>
      </c>
      <c r="B910" s="7">
        <v>45204.59097222222</v>
      </c>
      <c r="C910" s="6">
        <v>43</v>
      </c>
      <c r="D910" s="6" t="s">
        <v>800</v>
      </c>
      <c r="E910" s="8" t="str">
        <f>IFERROR(VLOOKUP(LOG_RESEAU[[#This Row],[Cell_ID]],Registre_Maintenance!A:B,2,FALSE),"Non trouvé")</f>
        <v>Kwilu</v>
      </c>
      <c r="F910" s="8">
        <f>IFERROR(VLOOKUP(LOG_RESEAU[[#This Row],[Cell_ID]],Registre_Maintenance!A:C,3,FALSE),"Non trouvé")</f>
        <v>-3.571288</v>
      </c>
      <c r="G910" s="8">
        <f>IFERROR(VLOOKUP(LOG_RESEAU[[#This Row],[Cell_ID]],Registre_Maintenance!A:D,4,FALSE),"Non trouvé")</f>
        <v>12.931596000000001</v>
      </c>
      <c r="H910" s="6" t="str">
        <f>IFERROR(VLOOKUP(LOG_RESEAU[[#This Row],[Cell_ID]],Registre_Maintenance!A:E,5,FALSE),"Non trouvé")</f>
        <v>4G</v>
      </c>
      <c r="I910" s="6" t="str">
        <f>IFERROR(VLOOKUP(LOG_RESEAU[[#This Row],[Cell_ID]],Registre_Maintenance!A:F,6,FALSE),"Non trouvé")</f>
        <v>Nokia</v>
      </c>
      <c r="J910" s="6" t="str">
        <f t="shared" si="42"/>
        <v>OK</v>
      </c>
      <c r="K910" s="6">
        <f t="shared" si="43"/>
        <v>2</v>
      </c>
      <c r="L910" s="6">
        <f t="shared" si="44"/>
        <v>137</v>
      </c>
    </row>
    <row r="911" spans="1:12" ht="15.75" x14ac:dyDescent="0.25">
      <c r="A911" s="6" t="s">
        <v>953</v>
      </c>
      <c r="B911" s="7">
        <v>45223.897916666669</v>
      </c>
      <c r="C911" s="6">
        <v>94</v>
      </c>
      <c r="D911" s="6" t="s">
        <v>800</v>
      </c>
      <c r="E911" s="8" t="str">
        <f>IFERROR(VLOOKUP(LOG_RESEAU[[#This Row],[Cell_ID]],Registre_Maintenance!A:B,2,FALSE),"Non trouvé")</f>
        <v>Kwilu</v>
      </c>
      <c r="F911" s="8">
        <f>IFERROR(VLOOKUP(LOG_RESEAU[[#This Row],[Cell_ID]],Registre_Maintenance!A:C,3,FALSE),"Non trouvé")</f>
        <v>-3.571288</v>
      </c>
      <c r="G911" s="8">
        <f>IFERROR(VLOOKUP(LOG_RESEAU[[#This Row],[Cell_ID]],Registre_Maintenance!A:D,4,FALSE),"Non trouvé")</f>
        <v>12.931596000000001</v>
      </c>
      <c r="H911" s="6" t="str">
        <f>IFERROR(VLOOKUP(LOG_RESEAU[[#This Row],[Cell_ID]],Registre_Maintenance!A:E,5,FALSE),"Non trouvé")</f>
        <v>4G</v>
      </c>
      <c r="I911" s="6" t="str">
        <f>IFERROR(VLOOKUP(LOG_RESEAU[[#This Row],[Cell_ID]],Registre_Maintenance!A:F,6,FALSE),"Non trouvé")</f>
        <v>Nokia</v>
      </c>
      <c r="J911" s="6" t="str">
        <f t="shared" si="42"/>
        <v>OK</v>
      </c>
      <c r="K911" s="6">
        <f t="shared" si="43"/>
        <v>2</v>
      </c>
      <c r="L911" s="6">
        <f t="shared" si="44"/>
        <v>137</v>
      </c>
    </row>
    <row r="912" spans="1:12" ht="15.75" x14ac:dyDescent="0.25">
      <c r="A912" s="6" t="s">
        <v>889</v>
      </c>
      <c r="B912" s="7">
        <v>45222.631249999999</v>
      </c>
      <c r="C912" s="6">
        <v>104</v>
      </c>
      <c r="D912" s="6" t="s">
        <v>792</v>
      </c>
      <c r="E912" s="8" t="str">
        <f>IFERROR(VLOOKUP(LOG_RESEAU[[#This Row],[Cell_ID]],Registre_Maintenance!A:B,2,FALSE),"Non trouvé")</f>
        <v>Lualaba</v>
      </c>
      <c r="F912" s="8">
        <f>IFERROR(VLOOKUP(LOG_RESEAU[[#This Row],[Cell_ID]],Registre_Maintenance!A:C,3,FALSE),"Non trouvé")</f>
        <v>2.266232</v>
      </c>
      <c r="G912" s="8">
        <f>IFERROR(VLOOKUP(LOG_RESEAU[[#This Row],[Cell_ID]],Registre_Maintenance!A:D,4,FALSE),"Non trouvé")</f>
        <v>29.532896000000001</v>
      </c>
      <c r="H912" s="6" t="str">
        <f>IFERROR(VLOOKUP(LOG_RESEAU[[#This Row],[Cell_ID]],Registre_Maintenance!A:E,5,FALSE),"Non trouvé")</f>
        <v>4G</v>
      </c>
      <c r="I912" s="6" t="str">
        <f>IFERROR(VLOOKUP(LOG_RESEAU[[#This Row],[Cell_ID]],Registre_Maintenance!A:F,6,FALSE),"Non trouvé")</f>
        <v>Ericsson</v>
      </c>
      <c r="J912" s="6" t="str">
        <f t="shared" si="42"/>
        <v>OK</v>
      </c>
      <c r="K912" s="6">
        <f t="shared" si="43"/>
        <v>4</v>
      </c>
      <c r="L912" s="6">
        <f t="shared" si="44"/>
        <v>221</v>
      </c>
    </row>
    <row r="913" spans="1:12" ht="15.75" x14ac:dyDescent="0.25">
      <c r="A913" s="6" t="s">
        <v>889</v>
      </c>
      <c r="B913" s="7">
        <v>45211.081250000003</v>
      </c>
      <c r="C913" s="6">
        <v>51</v>
      </c>
      <c r="D913" s="6" t="s">
        <v>794</v>
      </c>
      <c r="E913" s="8" t="str">
        <f>IFERROR(VLOOKUP(LOG_RESEAU[[#This Row],[Cell_ID]],Registre_Maintenance!A:B,2,FALSE),"Non trouvé")</f>
        <v>Lualaba</v>
      </c>
      <c r="F913" s="8">
        <f>IFERROR(VLOOKUP(LOG_RESEAU[[#This Row],[Cell_ID]],Registre_Maintenance!A:C,3,FALSE),"Non trouvé")</f>
        <v>2.266232</v>
      </c>
      <c r="G913" s="8">
        <f>IFERROR(VLOOKUP(LOG_RESEAU[[#This Row],[Cell_ID]],Registre_Maintenance!A:D,4,FALSE),"Non trouvé")</f>
        <v>29.532896000000001</v>
      </c>
      <c r="H913" s="6" t="str">
        <f>IFERROR(VLOOKUP(LOG_RESEAU[[#This Row],[Cell_ID]],Registre_Maintenance!A:E,5,FALSE),"Non trouvé")</f>
        <v>4G</v>
      </c>
      <c r="I913" s="6" t="str">
        <f>IFERROR(VLOOKUP(LOG_RESEAU[[#This Row],[Cell_ID]],Registre_Maintenance!A:F,6,FALSE),"Non trouvé")</f>
        <v>Ericsson</v>
      </c>
      <c r="J913" s="6" t="str">
        <f t="shared" si="42"/>
        <v>OK</v>
      </c>
      <c r="K913" s="6">
        <f t="shared" si="43"/>
        <v>4</v>
      </c>
      <c r="L913" s="6">
        <f t="shared" si="44"/>
        <v>221</v>
      </c>
    </row>
    <row r="914" spans="1:12" ht="15.75" x14ac:dyDescent="0.25">
      <c r="A914" s="6" t="s">
        <v>889</v>
      </c>
      <c r="B914" s="7">
        <v>45214.543749999997</v>
      </c>
      <c r="C914" s="6">
        <v>10</v>
      </c>
      <c r="D914" s="6" t="s">
        <v>800</v>
      </c>
      <c r="E914" s="8" t="str">
        <f>IFERROR(VLOOKUP(LOG_RESEAU[[#This Row],[Cell_ID]],Registre_Maintenance!A:B,2,FALSE),"Non trouvé")</f>
        <v>Lualaba</v>
      </c>
      <c r="F914" s="8">
        <f>IFERROR(VLOOKUP(LOG_RESEAU[[#This Row],[Cell_ID]],Registre_Maintenance!A:C,3,FALSE),"Non trouvé")</f>
        <v>2.266232</v>
      </c>
      <c r="G914" s="8">
        <f>IFERROR(VLOOKUP(LOG_RESEAU[[#This Row],[Cell_ID]],Registre_Maintenance!A:D,4,FALSE),"Non trouvé")</f>
        <v>29.532896000000001</v>
      </c>
      <c r="H914" s="6" t="str">
        <f>IFERROR(VLOOKUP(LOG_RESEAU[[#This Row],[Cell_ID]],Registre_Maintenance!A:E,5,FALSE),"Non trouvé")</f>
        <v>4G</v>
      </c>
      <c r="I914" s="6" t="str">
        <f>IFERROR(VLOOKUP(LOG_RESEAU[[#This Row],[Cell_ID]],Registre_Maintenance!A:F,6,FALSE),"Non trouvé")</f>
        <v>Ericsson</v>
      </c>
      <c r="J914" s="6" t="str">
        <f t="shared" si="42"/>
        <v>OK</v>
      </c>
      <c r="K914" s="6">
        <f t="shared" si="43"/>
        <v>4</v>
      </c>
      <c r="L914" s="6">
        <f t="shared" si="44"/>
        <v>221</v>
      </c>
    </row>
    <row r="915" spans="1:12" ht="15.75" x14ac:dyDescent="0.25">
      <c r="A915" s="6" t="s">
        <v>889</v>
      </c>
      <c r="B915" s="7">
        <v>45219.683333333327</v>
      </c>
      <c r="C915" s="6">
        <v>56</v>
      </c>
      <c r="D915" s="6" t="s">
        <v>800</v>
      </c>
      <c r="E915" s="8" t="str">
        <f>IFERROR(VLOOKUP(LOG_RESEAU[[#This Row],[Cell_ID]],Registre_Maintenance!A:B,2,FALSE),"Non trouvé")</f>
        <v>Lualaba</v>
      </c>
      <c r="F915" s="8">
        <f>IFERROR(VLOOKUP(LOG_RESEAU[[#This Row],[Cell_ID]],Registre_Maintenance!A:C,3,FALSE),"Non trouvé")</f>
        <v>2.266232</v>
      </c>
      <c r="G915" s="8">
        <f>IFERROR(VLOOKUP(LOG_RESEAU[[#This Row],[Cell_ID]],Registre_Maintenance!A:D,4,FALSE),"Non trouvé")</f>
        <v>29.532896000000001</v>
      </c>
      <c r="H915" s="6" t="str">
        <f>IFERROR(VLOOKUP(LOG_RESEAU[[#This Row],[Cell_ID]],Registre_Maintenance!A:E,5,FALSE),"Non trouvé")</f>
        <v>4G</v>
      </c>
      <c r="I915" s="6" t="str">
        <f>IFERROR(VLOOKUP(LOG_RESEAU[[#This Row],[Cell_ID]],Registre_Maintenance!A:F,6,FALSE),"Non trouvé")</f>
        <v>Ericsson</v>
      </c>
      <c r="J915" s="6" t="str">
        <f t="shared" si="42"/>
        <v>OK</v>
      </c>
      <c r="K915" s="6">
        <f t="shared" si="43"/>
        <v>4</v>
      </c>
      <c r="L915" s="6">
        <f t="shared" si="44"/>
        <v>221</v>
      </c>
    </row>
    <row r="916" spans="1:12" ht="15.75" x14ac:dyDescent="0.25">
      <c r="A916" s="6" t="s">
        <v>838</v>
      </c>
      <c r="B916" s="7">
        <v>45218.581250000003</v>
      </c>
      <c r="C916" s="6">
        <v>89</v>
      </c>
      <c r="D916" s="6" t="s">
        <v>792</v>
      </c>
      <c r="E916" s="8" t="str">
        <f>IFERROR(VLOOKUP(LOG_RESEAU[[#This Row],[Cell_ID]],Registre_Maintenance!A:B,2,FALSE),"Non trouvé")</f>
        <v>Non trouvé</v>
      </c>
      <c r="F916" s="8" t="str">
        <f>IFERROR(VLOOKUP(LOG_RESEAU[[#This Row],[Cell_ID]],Registre_Maintenance!A:C,3,FALSE),"Non trouvé")</f>
        <v>Non trouvé</v>
      </c>
      <c r="G916" s="8" t="str">
        <f>IFERROR(VLOOKUP(LOG_RESEAU[[#This Row],[Cell_ID]],Registre_Maintenance!A:D,4,FALSE),"Non trouvé")</f>
        <v>Non trouvé</v>
      </c>
      <c r="H916" s="6" t="str">
        <f>IFERROR(VLOOKUP(LOG_RESEAU[[#This Row],[Cell_ID]],Registre_Maintenance!A:E,5,FALSE),"Non trouvé")</f>
        <v>Non trouvé</v>
      </c>
      <c r="I916" s="6" t="str">
        <f>IFERROR(VLOOKUP(LOG_RESEAU[[#This Row],[Cell_ID]],Registre_Maintenance!A:F,6,FALSE),"Non trouvé")</f>
        <v>Non trouvé</v>
      </c>
      <c r="J916" s="6" t="str">
        <f t="shared" si="42"/>
        <v>Antenne inconnue</v>
      </c>
      <c r="K916" s="6">
        <f t="shared" si="43"/>
        <v>10</v>
      </c>
      <c r="L916" s="6">
        <f t="shared" si="44"/>
        <v>646</v>
      </c>
    </row>
    <row r="917" spans="1:12" ht="15.75" x14ac:dyDescent="0.25">
      <c r="A917" s="6" t="s">
        <v>838</v>
      </c>
      <c r="B917" s="7">
        <v>45218.086805555547</v>
      </c>
      <c r="C917" s="6">
        <v>91</v>
      </c>
      <c r="D917" s="6" t="s">
        <v>792</v>
      </c>
      <c r="E917" s="8" t="str">
        <f>IFERROR(VLOOKUP(LOG_RESEAU[[#This Row],[Cell_ID]],Registre_Maintenance!A:B,2,FALSE),"Non trouvé")</f>
        <v>Non trouvé</v>
      </c>
      <c r="F917" s="8" t="str">
        <f>IFERROR(VLOOKUP(LOG_RESEAU[[#This Row],[Cell_ID]],Registre_Maintenance!A:C,3,FALSE),"Non trouvé")</f>
        <v>Non trouvé</v>
      </c>
      <c r="G917" s="8" t="str">
        <f>IFERROR(VLOOKUP(LOG_RESEAU[[#This Row],[Cell_ID]],Registre_Maintenance!A:D,4,FALSE),"Non trouvé")</f>
        <v>Non trouvé</v>
      </c>
      <c r="H917" s="6" t="str">
        <f>IFERROR(VLOOKUP(LOG_RESEAU[[#This Row],[Cell_ID]],Registre_Maintenance!A:E,5,FALSE),"Non trouvé")</f>
        <v>Non trouvé</v>
      </c>
      <c r="I917" s="6" t="str">
        <f>IFERROR(VLOOKUP(LOG_RESEAU[[#This Row],[Cell_ID]],Registre_Maintenance!A:F,6,FALSE),"Non trouvé")</f>
        <v>Non trouvé</v>
      </c>
      <c r="J917" s="6" t="str">
        <f t="shared" si="42"/>
        <v>Antenne inconnue</v>
      </c>
      <c r="K917" s="6">
        <f t="shared" si="43"/>
        <v>10</v>
      </c>
      <c r="L917" s="6">
        <f t="shared" si="44"/>
        <v>646</v>
      </c>
    </row>
    <row r="918" spans="1:12" ht="15.75" x14ac:dyDescent="0.25">
      <c r="A918" s="6" t="s">
        <v>838</v>
      </c>
      <c r="B918" s="7">
        <v>45215.326388888891</v>
      </c>
      <c r="C918" s="6">
        <v>52</v>
      </c>
      <c r="D918" s="6" t="s">
        <v>794</v>
      </c>
      <c r="E918" s="8" t="str">
        <f>IFERROR(VLOOKUP(LOG_RESEAU[[#This Row],[Cell_ID]],Registre_Maintenance!A:B,2,FALSE),"Non trouvé")</f>
        <v>Non trouvé</v>
      </c>
      <c r="F918" s="8" t="str">
        <f>IFERROR(VLOOKUP(LOG_RESEAU[[#This Row],[Cell_ID]],Registre_Maintenance!A:C,3,FALSE),"Non trouvé")</f>
        <v>Non trouvé</v>
      </c>
      <c r="G918" s="8" t="str">
        <f>IFERROR(VLOOKUP(LOG_RESEAU[[#This Row],[Cell_ID]],Registre_Maintenance!A:D,4,FALSE),"Non trouvé")</f>
        <v>Non trouvé</v>
      </c>
      <c r="H918" s="6" t="str">
        <f>IFERROR(VLOOKUP(LOG_RESEAU[[#This Row],[Cell_ID]],Registre_Maintenance!A:E,5,FALSE),"Non trouvé")</f>
        <v>Non trouvé</v>
      </c>
      <c r="I918" s="6" t="str">
        <f>IFERROR(VLOOKUP(LOG_RESEAU[[#This Row],[Cell_ID]],Registre_Maintenance!A:F,6,FALSE),"Non trouvé")</f>
        <v>Non trouvé</v>
      </c>
      <c r="J918" s="6" t="str">
        <f t="shared" si="42"/>
        <v>Antenne inconnue</v>
      </c>
      <c r="K918" s="6">
        <f t="shared" si="43"/>
        <v>10</v>
      </c>
      <c r="L918" s="6">
        <f t="shared" si="44"/>
        <v>646</v>
      </c>
    </row>
    <row r="919" spans="1:12" ht="15.75" x14ac:dyDescent="0.25">
      <c r="A919" s="6" t="s">
        <v>838</v>
      </c>
      <c r="B919" s="7">
        <v>45210.194444444453</v>
      </c>
      <c r="C919" s="6">
        <v>33</v>
      </c>
      <c r="D919" s="6" t="s">
        <v>800</v>
      </c>
      <c r="E919" s="8" t="str">
        <f>IFERROR(VLOOKUP(LOG_RESEAU[[#This Row],[Cell_ID]],Registre_Maintenance!A:B,2,FALSE),"Non trouvé")</f>
        <v>Non trouvé</v>
      </c>
      <c r="F919" s="8" t="str">
        <f>IFERROR(VLOOKUP(LOG_RESEAU[[#This Row],[Cell_ID]],Registre_Maintenance!A:C,3,FALSE),"Non trouvé")</f>
        <v>Non trouvé</v>
      </c>
      <c r="G919" s="8" t="str">
        <f>IFERROR(VLOOKUP(LOG_RESEAU[[#This Row],[Cell_ID]],Registre_Maintenance!A:D,4,FALSE),"Non trouvé")</f>
        <v>Non trouvé</v>
      </c>
      <c r="H919" s="6" t="str">
        <f>IFERROR(VLOOKUP(LOG_RESEAU[[#This Row],[Cell_ID]],Registre_Maintenance!A:E,5,FALSE),"Non trouvé")</f>
        <v>Non trouvé</v>
      </c>
      <c r="I919" s="6" t="str">
        <f>IFERROR(VLOOKUP(LOG_RESEAU[[#This Row],[Cell_ID]],Registre_Maintenance!A:F,6,FALSE),"Non trouvé")</f>
        <v>Non trouvé</v>
      </c>
      <c r="J919" s="6" t="str">
        <f t="shared" si="42"/>
        <v>Antenne inconnue</v>
      </c>
      <c r="K919" s="6">
        <f t="shared" si="43"/>
        <v>10</v>
      </c>
      <c r="L919" s="6">
        <f t="shared" si="44"/>
        <v>646</v>
      </c>
    </row>
    <row r="920" spans="1:12" ht="15.75" x14ac:dyDescent="0.25">
      <c r="A920" s="6" t="s">
        <v>838</v>
      </c>
      <c r="B920" s="7">
        <v>45203.750694444447</v>
      </c>
      <c r="C920" s="6">
        <v>23</v>
      </c>
      <c r="D920" s="6" t="s">
        <v>794</v>
      </c>
      <c r="E920" s="8" t="str">
        <f>IFERROR(VLOOKUP(LOG_RESEAU[[#This Row],[Cell_ID]],Registre_Maintenance!A:B,2,FALSE),"Non trouvé")</f>
        <v>Non trouvé</v>
      </c>
      <c r="F920" s="8" t="str">
        <f>IFERROR(VLOOKUP(LOG_RESEAU[[#This Row],[Cell_ID]],Registre_Maintenance!A:C,3,FALSE),"Non trouvé")</f>
        <v>Non trouvé</v>
      </c>
      <c r="G920" s="8" t="str">
        <f>IFERROR(VLOOKUP(LOG_RESEAU[[#This Row],[Cell_ID]],Registre_Maintenance!A:D,4,FALSE),"Non trouvé")</f>
        <v>Non trouvé</v>
      </c>
      <c r="H920" s="6" t="str">
        <f>IFERROR(VLOOKUP(LOG_RESEAU[[#This Row],[Cell_ID]],Registre_Maintenance!A:E,5,FALSE),"Non trouvé")</f>
        <v>Non trouvé</v>
      </c>
      <c r="I920" s="6" t="str">
        <f>IFERROR(VLOOKUP(LOG_RESEAU[[#This Row],[Cell_ID]],Registre_Maintenance!A:F,6,FALSE),"Non trouvé")</f>
        <v>Non trouvé</v>
      </c>
      <c r="J920" s="6" t="str">
        <f t="shared" si="42"/>
        <v>Antenne inconnue</v>
      </c>
      <c r="K920" s="6">
        <f t="shared" si="43"/>
        <v>10</v>
      </c>
      <c r="L920" s="6">
        <f t="shared" si="44"/>
        <v>646</v>
      </c>
    </row>
    <row r="921" spans="1:12" ht="15.75" x14ac:dyDescent="0.25">
      <c r="A921" s="6" t="s">
        <v>838</v>
      </c>
      <c r="B921" s="7">
        <v>45204.570138888892</v>
      </c>
      <c r="C921" s="6">
        <v>76</v>
      </c>
      <c r="D921" s="6" t="s">
        <v>792</v>
      </c>
      <c r="E921" s="8" t="str">
        <f>IFERROR(VLOOKUP(LOG_RESEAU[[#This Row],[Cell_ID]],Registre_Maintenance!A:B,2,FALSE),"Non trouvé")</f>
        <v>Non trouvé</v>
      </c>
      <c r="F921" s="8" t="str">
        <f>IFERROR(VLOOKUP(LOG_RESEAU[[#This Row],[Cell_ID]],Registre_Maintenance!A:C,3,FALSE),"Non trouvé")</f>
        <v>Non trouvé</v>
      </c>
      <c r="G921" s="8" t="str">
        <f>IFERROR(VLOOKUP(LOG_RESEAU[[#This Row],[Cell_ID]],Registre_Maintenance!A:D,4,FALSE),"Non trouvé")</f>
        <v>Non trouvé</v>
      </c>
      <c r="H921" s="6" t="str">
        <f>IFERROR(VLOOKUP(LOG_RESEAU[[#This Row],[Cell_ID]],Registre_Maintenance!A:E,5,FALSE),"Non trouvé")</f>
        <v>Non trouvé</v>
      </c>
      <c r="I921" s="6" t="str">
        <f>IFERROR(VLOOKUP(LOG_RESEAU[[#This Row],[Cell_ID]],Registre_Maintenance!A:F,6,FALSE),"Non trouvé")</f>
        <v>Non trouvé</v>
      </c>
      <c r="J921" s="6" t="str">
        <f t="shared" si="42"/>
        <v>Antenne inconnue</v>
      </c>
      <c r="K921" s="6">
        <f t="shared" si="43"/>
        <v>10</v>
      </c>
      <c r="L921" s="6">
        <f t="shared" si="44"/>
        <v>646</v>
      </c>
    </row>
    <row r="922" spans="1:12" ht="15.75" x14ac:dyDescent="0.25">
      <c r="A922" s="6" t="s">
        <v>838</v>
      </c>
      <c r="B922" s="7">
        <v>45219.076388888891</v>
      </c>
      <c r="C922" s="6">
        <v>43</v>
      </c>
      <c r="D922" s="6" t="s">
        <v>800</v>
      </c>
      <c r="E922" s="8" t="str">
        <f>IFERROR(VLOOKUP(LOG_RESEAU[[#This Row],[Cell_ID]],Registre_Maintenance!A:B,2,FALSE),"Non trouvé")</f>
        <v>Non trouvé</v>
      </c>
      <c r="F922" s="8" t="str">
        <f>IFERROR(VLOOKUP(LOG_RESEAU[[#This Row],[Cell_ID]],Registre_Maintenance!A:C,3,FALSE),"Non trouvé")</f>
        <v>Non trouvé</v>
      </c>
      <c r="G922" s="8" t="str">
        <f>IFERROR(VLOOKUP(LOG_RESEAU[[#This Row],[Cell_ID]],Registre_Maintenance!A:D,4,FALSE),"Non trouvé")</f>
        <v>Non trouvé</v>
      </c>
      <c r="H922" s="6" t="str">
        <f>IFERROR(VLOOKUP(LOG_RESEAU[[#This Row],[Cell_ID]],Registre_Maintenance!A:E,5,FALSE),"Non trouvé")</f>
        <v>Non trouvé</v>
      </c>
      <c r="I922" s="6" t="str">
        <f>IFERROR(VLOOKUP(LOG_RESEAU[[#This Row],[Cell_ID]],Registre_Maintenance!A:F,6,FALSE),"Non trouvé")</f>
        <v>Non trouvé</v>
      </c>
      <c r="J922" s="6" t="str">
        <f t="shared" si="42"/>
        <v>Antenne inconnue</v>
      </c>
      <c r="K922" s="6">
        <f t="shared" si="43"/>
        <v>10</v>
      </c>
      <c r="L922" s="6">
        <f t="shared" si="44"/>
        <v>646</v>
      </c>
    </row>
    <row r="923" spans="1:12" ht="15.75" x14ac:dyDescent="0.25">
      <c r="A923" s="6" t="s">
        <v>838</v>
      </c>
      <c r="B923" s="7">
        <v>45219.181250000001</v>
      </c>
      <c r="C923" s="6">
        <v>88</v>
      </c>
      <c r="D923" s="6" t="s">
        <v>800</v>
      </c>
      <c r="E923" s="8" t="str">
        <f>IFERROR(VLOOKUP(LOG_RESEAU[[#This Row],[Cell_ID]],Registre_Maintenance!A:B,2,FALSE),"Non trouvé")</f>
        <v>Non trouvé</v>
      </c>
      <c r="F923" s="8" t="str">
        <f>IFERROR(VLOOKUP(LOG_RESEAU[[#This Row],[Cell_ID]],Registre_Maintenance!A:C,3,FALSE),"Non trouvé")</f>
        <v>Non trouvé</v>
      </c>
      <c r="G923" s="8" t="str">
        <f>IFERROR(VLOOKUP(LOG_RESEAU[[#This Row],[Cell_ID]],Registre_Maintenance!A:D,4,FALSE),"Non trouvé")</f>
        <v>Non trouvé</v>
      </c>
      <c r="H923" s="6" t="str">
        <f>IFERROR(VLOOKUP(LOG_RESEAU[[#This Row],[Cell_ID]],Registre_Maintenance!A:E,5,FALSE),"Non trouvé")</f>
        <v>Non trouvé</v>
      </c>
      <c r="I923" s="6" t="str">
        <f>IFERROR(VLOOKUP(LOG_RESEAU[[#This Row],[Cell_ID]],Registre_Maintenance!A:F,6,FALSE),"Non trouvé")</f>
        <v>Non trouvé</v>
      </c>
      <c r="J923" s="6" t="str">
        <f t="shared" si="42"/>
        <v>Antenne inconnue</v>
      </c>
      <c r="K923" s="6">
        <f t="shared" si="43"/>
        <v>10</v>
      </c>
      <c r="L923" s="6">
        <f t="shared" si="44"/>
        <v>646</v>
      </c>
    </row>
    <row r="924" spans="1:12" ht="15.75" x14ac:dyDescent="0.25">
      <c r="A924" s="6" t="s">
        <v>838</v>
      </c>
      <c r="B924" s="7">
        <v>45218.647916666669</v>
      </c>
      <c r="C924" s="6">
        <v>78</v>
      </c>
      <c r="D924" s="6" t="s">
        <v>794</v>
      </c>
      <c r="E924" s="8" t="str">
        <f>IFERROR(VLOOKUP(LOG_RESEAU[[#This Row],[Cell_ID]],Registre_Maintenance!A:B,2,FALSE),"Non trouvé")</f>
        <v>Non trouvé</v>
      </c>
      <c r="F924" s="8" t="str">
        <f>IFERROR(VLOOKUP(LOG_RESEAU[[#This Row],[Cell_ID]],Registre_Maintenance!A:C,3,FALSE),"Non trouvé")</f>
        <v>Non trouvé</v>
      </c>
      <c r="G924" s="8" t="str">
        <f>IFERROR(VLOOKUP(LOG_RESEAU[[#This Row],[Cell_ID]],Registre_Maintenance!A:D,4,FALSE),"Non trouvé")</f>
        <v>Non trouvé</v>
      </c>
      <c r="H924" s="6" t="str">
        <f>IFERROR(VLOOKUP(LOG_RESEAU[[#This Row],[Cell_ID]],Registre_Maintenance!A:E,5,FALSE),"Non trouvé")</f>
        <v>Non trouvé</v>
      </c>
      <c r="I924" s="6" t="str">
        <f>IFERROR(VLOOKUP(LOG_RESEAU[[#This Row],[Cell_ID]],Registre_Maintenance!A:F,6,FALSE),"Non trouvé")</f>
        <v>Non trouvé</v>
      </c>
      <c r="J924" s="6" t="str">
        <f t="shared" si="42"/>
        <v>Antenne inconnue</v>
      </c>
      <c r="K924" s="6">
        <f t="shared" si="43"/>
        <v>10</v>
      </c>
      <c r="L924" s="6">
        <f t="shared" si="44"/>
        <v>646</v>
      </c>
    </row>
    <row r="925" spans="1:12" ht="15.75" x14ac:dyDescent="0.25">
      <c r="A925" s="6" t="s">
        <v>838</v>
      </c>
      <c r="B925" s="7">
        <v>45200.629166666673</v>
      </c>
      <c r="C925" s="6">
        <v>73</v>
      </c>
      <c r="D925" s="6" t="s">
        <v>800</v>
      </c>
      <c r="E925" s="8" t="str">
        <f>IFERROR(VLOOKUP(LOG_RESEAU[[#This Row],[Cell_ID]],Registre_Maintenance!A:B,2,FALSE),"Non trouvé")</f>
        <v>Non trouvé</v>
      </c>
      <c r="F925" s="8" t="str">
        <f>IFERROR(VLOOKUP(LOG_RESEAU[[#This Row],[Cell_ID]],Registre_Maintenance!A:C,3,FALSE),"Non trouvé")</f>
        <v>Non trouvé</v>
      </c>
      <c r="G925" s="8" t="str">
        <f>IFERROR(VLOOKUP(LOG_RESEAU[[#This Row],[Cell_ID]],Registre_Maintenance!A:D,4,FALSE),"Non trouvé")</f>
        <v>Non trouvé</v>
      </c>
      <c r="H925" s="6" t="str">
        <f>IFERROR(VLOOKUP(LOG_RESEAU[[#This Row],[Cell_ID]],Registre_Maintenance!A:E,5,FALSE),"Non trouvé")</f>
        <v>Non trouvé</v>
      </c>
      <c r="I925" s="6" t="str">
        <f>IFERROR(VLOOKUP(LOG_RESEAU[[#This Row],[Cell_ID]],Registre_Maintenance!A:F,6,FALSE),"Non trouvé")</f>
        <v>Non trouvé</v>
      </c>
      <c r="J925" s="6" t="str">
        <f t="shared" si="42"/>
        <v>Antenne inconnue</v>
      </c>
      <c r="K925" s="6">
        <f t="shared" si="43"/>
        <v>10</v>
      </c>
      <c r="L925" s="6">
        <f t="shared" si="44"/>
        <v>646</v>
      </c>
    </row>
    <row r="926" spans="1:12" ht="15.75" x14ac:dyDescent="0.25">
      <c r="A926" s="6" t="s">
        <v>885</v>
      </c>
      <c r="B926" s="7">
        <v>45213.645833333343</v>
      </c>
      <c r="C926" s="6">
        <v>28</v>
      </c>
      <c r="D926" s="6" t="s">
        <v>792</v>
      </c>
      <c r="E926" s="8" t="str">
        <f>IFERROR(VLOOKUP(LOG_RESEAU[[#This Row],[Cell_ID]],Registre_Maintenance!A:B,2,FALSE),"Non trouvé")</f>
        <v>Maniema</v>
      </c>
      <c r="F926" s="8">
        <f>IFERROR(VLOOKUP(LOG_RESEAU[[#This Row],[Cell_ID]],Registre_Maintenance!A:C,3,FALSE),"Non trouvé")</f>
        <v>3.08182</v>
      </c>
      <c r="G926" s="8">
        <f>IFERROR(VLOOKUP(LOG_RESEAU[[#This Row],[Cell_ID]],Registre_Maintenance!A:D,4,FALSE),"Non trouvé")</f>
        <v>29.961940999999999</v>
      </c>
      <c r="H926" s="6" t="str">
        <f>IFERROR(VLOOKUP(LOG_RESEAU[[#This Row],[Cell_ID]],Registre_Maintenance!A:E,5,FALSE),"Non trouvé")</f>
        <v>4G</v>
      </c>
      <c r="I926" s="6" t="str">
        <f>IFERROR(VLOOKUP(LOG_RESEAU[[#This Row],[Cell_ID]],Registre_Maintenance!A:F,6,FALSE),"Non trouvé")</f>
        <v>Huawei</v>
      </c>
      <c r="J926" s="6" t="str">
        <f t="shared" si="42"/>
        <v>OK</v>
      </c>
      <c r="K926" s="6">
        <f t="shared" si="43"/>
        <v>5</v>
      </c>
      <c r="L926" s="6">
        <f t="shared" si="44"/>
        <v>314</v>
      </c>
    </row>
    <row r="927" spans="1:12" ht="15.75" x14ac:dyDescent="0.25">
      <c r="A927" s="6" t="s">
        <v>885</v>
      </c>
      <c r="B927" s="7">
        <v>45201.824305555558</v>
      </c>
      <c r="C927" s="6">
        <v>56</v>
      </c>
      <c r="D927" s="6" t="s">
        <v>794</v>
      </c>
      <c r="E927" s="8" t="str">
        <f>IFERROR(VLOOKUP(LOG_RESEAU[[#This Row],[Cell_ID]],Registre_Maintenance!A:B,2,FALSE),"Non trouvé")</f>
        <v>Maniema</v>
      </c>
      <c r="F927" s="8">
        <f>IFERROR(VLOOKUP(LOG_RESEAU[[#This Row],[Cell_ID]],Registre_Maintenance!A:C,3,FALSE),"Non trouvé")</f>
        <v>3.08182</v>
      </c>
      <c r="G927" s="8">
        <f>IFERROR(VLOOKUP(LOG_RESEAU[[#This Row],[Cell_ID]],Registre_Maintenance!A:D,4,FALSE),"Non trouvé")</f>
        <v>29.961940999999999</v>
      </c>
      <c r="H927" s="6" t="str">
        <f>IFERROR(VLOOKUP(LOG_RESEAU[[#This Row],[Cell_ID]],Registre_Maintenance!A:E,5,FALSE),"Non trouvé")</f>
        <v>4G</v>
      </c>
      <c r="I927" s="6" t="str">
        <f>IFERROR(VLOOKUP(LOG_RESEAU[[#This Row],[Cell_ID]],Registre_Maintenance!A:F,6,FALSE),"Non trouvé")</f>
        <v>Huawei</v>
      </c>
      <c r="J927" s="6" t="str">
        <f t="shared" si="42"/>
        <v>OK</v>
      </c>
      <c r="K927" s="6">
        <f t="shared" si="43"/>
        <v>5</v>
      </c>
      <c r="L927" s="6">
        <f t="shared" si="44"/>
        <v>314</v>
      </c>
    </row>
    <row r="928" spans="1:12" ht="15.75" x14ac:dyDescent="0.25">
      <c r="A928" s="6" t="s">
        <v>885</v>
      </c>
      <c r="B928" s="7">
        <v>45204.36041666667</v>
      </c>
      <c r="C928" s="6">
        <v>36</v>
      </c>
      <c r="D928" s="6" t="s">
        <v>792</v>
      </c>
      <c r="E928" s="8" t="str">
        <f>IFERROR(VLOOKUP(LOG_RESEAU[[#This Row],[Cell_ID]],Registre_Maintenance!A:B,2,FALSE),"Non trouvé")</f>
        <v>Maniema</v>
      </c>
      <c r="F928" s="8">
        <f>IFERROR(VLOOKUP(LOG_RESEAU[[#This Row],[Cell_ID]],Registre_Maintenance!A:C,3,FALSE),"Non trouvé")</f>
        <v>3.08182</v>
      </c>
      <c r="G928" s="8">
        <f>IFERROR(VLOOKUP(LOG_RESEAU[[#This Row],[Cell_ID]],Registre_Maintenance!A:D,4,FALSE),"Non trouvé")</f>
        <v>29.961940999999999</v>
      </c>
      <c r="H928" s="6" t="str">
        <f>IFERROR(VLOOKUP(LOG_RESEAU[[#This Row],[Cell_ID]],Registre_Maintenance!A:E,5,FALSE),"Non trouvé")</f>
        <v>4G</v>
      </c>
      <c r="I928" s="6" t="str">
        <f>IFERROR(VLOOKUP(LOG_RESEAU[[#This Row],[Cell_ID]],Registre_Maintenance!A:F,6,FALSE),"Non trouvé")</f>
        <v>Huawei</v>
      </c>
      <c r="J928" s="6" t="str">
        <f t="shared" si="42"/>
        <v>OK</v>
      </c>
      <c r="K928" s="6">
        <f t="shared" si="43"/>
        <v>5</v>
      </c>
      <c r="L928" s="6">
        <f t="shared" si="44"/>
        <v>314</v>
      </c>
    </row>
    <row r="929" spans="1:12" ht="15.75" x14ac:dyDescent="0.25">
      <c r="A929" s="6" t="s">
        <v>885</v>
      </c>
      <c r="B929" s="7">
        <v>45221.579861111109</v>
      </c>
      <c r="C929" s="6">
        <v>117</v>
      </c>
      <c r="D929" s="6" t="s">
        <v>794</v>
      </c>
      <c r="E929" s="8" t="str">
        <f>IFERROR(VLOOKUP(LOG_RESEAU[[#This Row],[Cell_ID]],Registre_Maintenance!A:B,2,FALSE),"Non trouvé")</f>
        <v>Maniema</v>
      </c>
      <c r="F929" s="8">
        <f>IFERROR(VLOOKUP(LOG_RESEAU[[#This Row],[Cell_ID]],Registre_Maintenance!A:C,3,FALSE),"Non trouvé")</f>
        <v>3.08182</v>
      </c>
      <c r="G929" s="8">
        <f>IFERROR(VLOOKUP(LOG_RESEAU[[#This Row],[Cell_ID]],Registre_Maintenance!A:D,4,FALSE),"Non trouvé")</f>
        <v>29.961940999999999</v>
      </c>
      <c r="H929" s="6" t="str">
        <f>IFERROR(VLOOKUP(LOG_RESEAU[[#This Row],[Cell_ID]],Registre_Maintenance!A:E,5,FALSE),"Non trouvé")</f>
        <v>4G</v>
      </c>
      <c r="I929" s="6" t="str">
        <f>IFERROR(VLOOKUP(LOG_RESEAU[[#This Row],[Cell_ID]],Registre_Maintenance!A:F,6,FALSE),"Non trouvé")</f>
        <v>Huawei</v>
      </c>
      <c r="J929" s="6" t="str">
        <f t="shared" si="42"/>
        <v>OK</v>
      </c>
      <c r="K929" s="6">
        <f t="shared" si="43"/>
        <v>5</v>
      </c>
      <c r="L929" s="6">
        <f t="shared" si="44"/>
        <v>314</v>
      </c>
    </row>
    <row r="930" spans="1:12" ht="15.75" x14ac:dyDescent="0.25">
      <c r="A930" s="6" t="s">
        <v>885</v>
      </c>
      <c r="B930" s="7">
        <v>45209.28402777778</v>
      </c>
      <c r="C930" s="6">
        <v>77</v>
      </c>
      <c r="D930" s="6" t="s">
        <v>800</v>
      </c>
      <c r="E930" s="8" t="str">
        <f>IFERROR(VLOOKUP(LOG_RESEAU[[#This Row],[Cell_ID]],Registre_Maintenance!A:B,2,FALSE),"Non trouvé")</f>
        <v>Maniema</v>
      </c>
      <c r="F930" s="8">
        <f>IFERROR(VLOOKUP(LOG_RESEAU[[#This Row],[Cell_ID]],Registre_Maintenance!A:C,3,FALSE),"Non trouvé")</f>
        <v>3.08182</v>
      </c>
      <c r="G930" s="8">
        <f>IFERROR(VLOOKUP(LOG_RESEAU[[#This Row],[Cell_ID]],Registre_Maintenance!A:D,4,FALSE),"Non trouvé")</f>
        <v>29.961940999999999</v>
      </c>
      <c r="H930" s="6" t="str">
        <f>IFERROR(VLOOKUP(LOG_RESEAU[[#This Row],[Cell_ID]],Registre_Maintenance!A:E,5,FALSE),"Non trouvé")</f>
        <v>4G</v>
      </c>
      <c r="I930" s="6" t="str">
        <f>IFERROR(VLOOKUP(LOG_RESEAU[[#This Row],[Cell_ID]],Registre_Maintenance!A:F,6,FALSE),"Non trouvé")</f>
        <v>Huawei</v>
      </c>
      <c r="J930" s="6" t="str">
        <f t="shared" si="42"/>
        <v>OK</v>
      </c>
      <c r="K930" s="6">
        <f t="shared" si="43"/>
        <v>5</v>
      </c>
      <c r="L930" s="6">
        <f t="shared" si="44"/>
        <v>314</v>
      </c>
    </row>
    <row r="931" spans="1:12" ht="15.75" x14ac:dyDescent="0.25">
      <c r="A931" s="6" t="s">
        <v>823</v>
      </c>
      <c r="B931" s="7">
        <v>45211.279166666667</v>
      </c>
      <c r="C931" s="6">
        <v>52</v>
      </c>
      <c r="D931" s="6" t="s">
        <v>792</v>
      </c>
      <c r="E931" s="8" t="str">
        <f>IFERROR(VLOOKUP(LOG_RESEAU[[#This Row],[Cell_ID]],Registre_Maintenance!A:B,2,FALSE),"Non trouvé")</f>
        <v>Maniema</v>
      </c>
      <c r="F931" s="8">
        <f>IFERROR(VLOOKUP(LOG_RESEAU[[#This Row],[Cell_ID]],Registre_Maintenance!A:C,3,FALSE),"Non trouvé")</f>
        <v>0.850665</v>
      </c>
      <c r="G931" s="8">
        <f>IFERROR(VLOOKUP(LOG_RESEAU[[#This Row],[Cell_ID]],Registre_Maintenance!A:D,4,FALSE),"Non trouvé")</f>
        <v>19.446418000000001</v>
      </c>
      <c r="H931" s="6" t="str">
        <f>IFERROR(VLOOKUP(LOG_RESEAU[[#This Row],[Cell_ID]],Registre_Maintenance!A:E,5,FALSE),"Non trouvé")</f>
        <v>4G</v>
      </c>
      <c r="I931" s="6" t="str">
        <f>IFERROR(VLOOKUP(LOG_RESEAU[[#This Row],[Cell_ID]],Registre_Maintenance!A:F,6,FALSE),"Non trouvé")</f>
        <v>Huawei</v>
      </c>
      <c r="J931" s="6" t="str">
        <f t="shared" si="42"/>
        <v>OK</v>
      </c>
      <c r="K931" s="6">
        <f t="shared" si="43"/>
        <v>3</v>
      </c>
      <c r="L931" s="6">
        <f t="shared" si="44"/>
        <v>164</v>
      </c>
    </row>
    <row r="932" spans="1:12" ht="15.75" x14ac:dyDescent="0.25">
      <c r="A932" s="6" t="s">
        <v>823</v>
      </c>
      <c r="B932" s="7">
        <v>45215.476388888892</v>
      </c>
      <c r="C932" s="6">
        <v>69</v>
      </c>
      <c r="D932" s="6" t="s">
        <v>800</v>
      </c>
      <c r="E932" s="8" t="str">
        <f>IFERROR(VLOOKUP(LOG_RESEAU[[#This Row],[Cell_ID]],Registre_Maintenance!A:B,2,FALSE),"Non trouvé")</f>
        <v>Maniema</v>
      </c>
      <c r="F932" s="8">
        <f>IFERROR(VLOOKUP(LOG_RESEAU[[#This Row],[Cell_ID]],Registre_Maintenance!A:C,3,FALSE),"Non trouvé")</f>
        <v>0.850665</v>
      </c>
      <c r="G932" s="8">
        <f>IFERROR(VLOOKUP(LOG_RESEAU[[#This Row],[Cell_ID]],Registre_Maintenance!A:D,4,FALSE),"Non trouvé")</f>
        <v>19.446418000000001</v>
      </c>
      <c r="H932" s="6" t="str">
        <f>IFERROR(VLOOKUP(LOG_RESEAU[[#This Row],[Cell_ID]],Registre_Maintenance!A:E,5,FALSE),"Non trouvé")</f>
        <v>4G</v>
      </c>
      <c r="I932" s="6" t="str">
        <f>IFERROR(VLOOKUP(LOG_RESEAU[[#This Row],[Cell_ID]],Registre_Maintenance!A:F,6,FALSE),"Non trouvé")</f>
        <v>Huawei</v>
      </c>
      <c r="J932" s="6" t="str">
        <f t="shared" si="42"/>
        <v>OK</v>
      </c>
      <c r="K932" s="6">
        <f t="shared" si="43"/>
        <v>3</v>
      </c>
      <c r="L932" s="6">
        <f t="shared" si="44"/>
        <v>164</v>
      </c>
    </row>
    <row r="933" spans="1:12" ht="15.75" x14ac:dyDescent="0.25">
      <c r="A933" s="6" t="s">
        <v>823</v>
      </c>
      <c r="B933" s="7">
        <v>45230.722222222219</v>
      </c>
      <c r="C933" s="6">
        <v>43</v>
      </c>
      <c r="D933" s="6" t="s">
        <v>794</v>
      </c>
      <c r="E933" s="8" t="str">
        <f>IFERROR(VLOOKUP(LOG_RESEAU[[#This Row],[Cell_ID]],Registre_Maintenance!A:B,2,FALSE),"Non trouvé")</f>
        <v>Maniema</v>
      </c>
      <c r="F933" s="8">
        <f>IFERROR(VLOOKUP(LOG_RESEAU[[#This Row],[Cell_ID]],Registre_Maintenance!A:C,3,FALSE),"Non trouvé")</f>
        <v>0.850665</v>
      </c>
      <c r="G933" s="8">
        <f>IFERROR(VLOOKUP(LOG_RESEAU[[#This Row],[Cell_ID]],Registre_Maintenance!A:D,4,FALSE),"Non trouvé")</f>
        <v>19.446418000000001</v>
      </c>
      <c r="H933" s="6" t="str">
        <f>IFERROR(VLOOKUP(LOG_RESEAU[[#This Row],[Cell_ID]],Registre_Maintenance!A:E,5,FALSE),"Non trouvé")</f>
        <v>4G</v>
      </c>
      <c r="I933" s="6" t="str">
        <f>IFERROR(VLOOKUP(LOG_RESEAU[[#This Row],[Cell_ID]],Registre_Maintenance!A:F,6,FALSE),"Non trouvé")</f>
        <v>Huawei</v>
      </c>
      <c r="J933" s="6" t="str">
        <f t="shared" si="42"/>
        <v>OK</v>
      </c>
      <c r="K933" s="6">
        <f t="shared" si="43"/>
        <v>3</v>
      </c>
      <c r="L933" s="6">
        <f t="shared" si="44"/>
        <v>164</v>
      </c>
    </row>
    <row r="934" spans="1:12" ht="15.75" x14ac:dyDescent="0.25">
      <c r="A934" s="6" t="s">
        <v>937</v>
      </c>
      <c r="B934" s="7">
        <v>45224.15902777778</v>
      </c>
      <c r="C934" s="6">
        <v>85</v>
      </c>
      <c r="D934" s="6" t="s">
        <v>794</v>
      </c>
      <c r="E934" s="8" t="str">
        <f>IFERROR(VLOOKUP(LOG_RESEAU[[#This Row],[Cell_ID]],Registre_Maintenance!A:B,2,FALSE),"Non trouvé")</f>
        <v>Non trouvé</v>
      </c>
      <c r="F934" s="8" t="str">
        <f>IFERROR(VLOOKUP(LOG_RESEAU[[#This Row],[Cell_ID]],Registre_Maintenance!A:C,3,FALSE),"Non trouvé")</f>
        <v>Non trouvé</v>
      </c>
      <c r="G934" s="8" t="str">
        <f>IFERROR(VLOOKUP(LOG_RESEAU[[#This Row],[Cell_ID]],Registre_Maintenance!A:D,4,FALSE),"Non trouvé")</f>
        <v>Non trouvé</v>
      </c>
      <c r="H934" s="6" t="str">
        <f>IFERROR(VLOOKUP(LOG_RESEAU[[#This Row],[Cell_ID]],Registre_Maintenance!A:E,5,FALSE),"Non trouvé")</f>
        <v>Non trouvé</v>
      </c>
      <c r="I934" s="6" t="str">
        <f>IFERROR(VLOOKUP(LOG_RESEAU[[#This Row],[Cell_ID]],Registre_Maintenance!A:F,6,FALSE),"Non trouvé")</f>
        <v>Non trouvé</v>
      </c>
      <c r="J934" s="6" t="str">
        <f t="shared" si="42"/>
        <v>Antenne inconnue</v>
      </c>
      <c r="K934" s="6">
        <f t="shared" si="43"/>
        <v>6</v>
      </c>
      <c r="L934" s="6">
        <f t="shared" si="44"/>
        <v>204</v>
      </c>
    </row>
    <row r="935" spans="1:12" ht="15.75" x14ac:dyDescent="0.25">
      <c r="A935" s="6" t="s">
        <v>937</v>
      </c>
      <c r="B935" s="7">
        <v>45207.095138888893</v>
      </c>
      <c r="C935" s="6">
        <v>11</v>
      </c>
      <c r="D935" s="6" t="s">
        <v>794</v>
      </c>
      <c r="E935" s="8" t="str">
        <f>IFERROR(VLOOKUP(LOG_RESEAU[[#This Row],[Cell_ID]],Registre_Maintenance!A:B,2,FALSE),"Non trouvé")</f>
        <v>Non trouvé</v>
      </c>
      <c r="F935" s="8" t="str">
        <f>IFERROR(VLOOKUP(LOG_RESEAU[[#This Row],[Cell_ID]],Registre_Maintenance!A:C,3,FALSE),"Non trouvé")</f>
        <v>Non trouvé</v>
      </c>
      <c r="G935" s="8" t="str">
        <f>IFERROR(VLOOKUP(LOG_RESEAU[[#This Row],[Cell_ID]],Registre_Maintenance!A:D,4,FALSE),"Non trouvé")</f>
        <v>Non trouvé</v>
      </c>
      <c r="H935" s="6" t="str">
        <f>IFERROR(VLOOKUP(LOG_RESEAU[[#This Row],[Cell_ID]],Registre_Maintenance!A:E,5,FALSE),"Non trouvé")</f>
        <v>Non trouvé</v>
      </c>
      <c r="I935" s="6" t="str">
        <f>IFERROR(VLOOKUP(LOG_RESEAU[[#This Row],[Cell_ID]],Registre_Maintenance!A:F,6,FALSE),"Non trouvé")</f>
        <v>Non trouvé</v>
      </c>
      <c r="J935" s="6" t="str">
        <f t="shared" si="42"/>
        <v>Antenne inconnue</v>
      </c>
      <c r="K935" s="6">
        <f t="shared" si="43"/>
        <v>6</v>
      </c>
      <c r="L935" s="6">
        <f t="shared" si="44"/>
        <v>204</v>
      </c>
    </row>
    <row r="936" spans="1:12" ht="15.75" x14ac:dyDescent="0.25">
      <c r="A936" s="6" t="s">
        <v>937</v>
      </c>
      <c r="B936" s="7">
        <v>45200.94027777778</v>
      </c>
      <c r="C936" s="6">
        <v>11</v>
      </c>
      <c r="D936" s="6" t="s">
        <v>794</v>
      </c>
      <c r="E936" s="8" t="str">
        <f>IFERROR(VLOOKUP(LOG_RESEAU[[#This Row],[Cell_ID]],Registre_Maintenance!A:B,2,FALSE),"Non trouvé")</f>
        <v>Non trouvé</v>
      </c>
      <c r="F936" s="8" t="str">
        <f>IFERROR(VLOOKUP(LOG_RESEAU[[#This Row],[Cell_ID]],Registre_Maintenance!A:C,3,FALSE),"Non trouvé")</f>
        <v>Non trouvé</v>
      </c>
      <c r="G936" s="8" t="str">
        <f>IFERROR(VLOOKUP(LOG_RESEAU[[#This Row],[Cell_ID]],Registre_Maintenance!A:D,4,FALSE),"Non trouvé")</f>
        <v>Non trouvé</v>
      </c>
      <c r="H936" s="6" t="str">
        <f>IFERROR(VLOOKUP(LOG_RESEAU[[#This Row],[Cell_ID]],Registre_Maintenance!A:E,5,FALSE),"Non trouvé")</f>
        <v>Non trouvé</v>
      </c>
      <c r="I936" s="6" t="str">
        <f>IFERROR(VLOOKUP(LOG_RESEAU[[#This Row],[Cell_ID]],Registre_Maintenance!A:F,6,FALSE),"Non trouvé")</f>
        <v>Non trouvé</v>
      </c>
      <c r="J936" s="6" t="str">
        <f t="shared" si="42"/>
        <v>Antenne inconnue</v>
      </c>
      <c r="K936" s="6">
        <f t="shared" si="43"/>
        <v>6</v>
      </c>
      <c r="L936" s="6">
        <f t="shared" si="44"/>
        <v>204</v>
      </c>
    </row>
    <row r="937" spans="1:12" ht="15.75" x14ac:dyDescent="0.25">
      <c r="A937" s="6" t="s">
        <v>937</v>
      </c>
      <c r="B937" s="7">
        <v>45230.444444444453</v>
      </c>
      <c r="C937" s="6">
        <v>11</v>
      </c>
      <c r="D937" s="6" t="s">
        <v>792</v>
      </c>
      <c r="E937" s="8" t="str">
        <f>IFERROR(VLOOKUP(LOG_RESEAU[[#This Row],[Cell_ID]],Registre_Maintenance!A:B,2,FALSE),"Non trouvé")</f>
        <v>Non trouvé</v>
      </c>
      <c r="F937" s="8" t="str">
        <f>IFERROR(VLOOKUP(LOG_RESEAU[[#This Row],[Cell_ID]],Registre_Maintenance!A:C,3,FALSE),"Non trouvé")</f>
        <v>Non trouvé</v>
      </c>
      <c r="G937" s="8" t="str">
        <f>IFERROR(VLOOKUP(LOG_RESEAU[[#This Row],[Cell_ID]],Registre_Maintenance!A:D,4,FALSE),"Non trouvé")</f>
        <v>Non trouvé</v>
      </c>
      <c r="H937" s="6" t="str">
        <f>IFERROR(VLOOKUP(LOG_RESEAU[[#This Row],[Cell_ID]],Registre_Maintenance!A:E,5,FALSE),"Non trouvé")</f>
        <v>Non trouvé</v>
      </c>
      <c r="I937" s="6" t="str">
        <f>IFERROR(VLOOKUP(LOG_RESEAU[[#This Row],[Cell_ID]],Registre_Maintenance!A:F,6,FALSE),"Non trouvé")</f>
        <v>Non trouvé</v>
      </c>
      <c r="J937" s="6" t="str">
        <f t="shared" si="42"/>
        <v>Antenne inconnue</v>
      </c>
      <c r="K937" s="6">
        <f t="shared" si="43"/>
        <v>6</v>
      </c>
      <c r="L937" s="6">
        <f t="shared" si="44"/>
        <v>204</v>
      </c>
    </row>
    <row r="938" spans="1:12" ht="15.75" x14ac:dyDescent="0.25">
      <c r="A938" s="6" t="s">
        <v>937</v>
      </c>
      <c r="B938" s="7">
        <v>45226.545138888891</v>
      </c>
      <c r="C938" s="6">
        <v>81</v>
      </c>
      <c r="D938" s="6" t="s">
        <v>792</v>
      </c>
      <c r="E938" s="8" t="str">
        <f>IFERROR(VLOOKUP(LOG_RESEAU[[#This Row],[Cell_ID]],Registre_Maintenance!A:B,2,FALSE),"Non trouvé")</f>
        <v>Non trouvé</v>
      </c>
      <c r="F938" s="8" t="str">
        <f>IFERROR(VLOOKUP(LOG_RESEAU[[#This Row],[Cell_ID]],Registre_Maintenance!A:C,3,FALSE),"Non trouvé")</f>
        <v>Non trouvé</v>
      </c>
      <c r="G938" s="8" t="str">
        <f>IFERROR(VLOOKUP(LOG_RESEAU[[#This Row],[Cell_ID]],Registre_Maintenance!A:D,4,FALSE),"Non trouvé")</f>
        <v>Non trouvé</v>
      </c>
      <c r="H938" s="6" t="str">
        <f>IFERROR(VLOOKUP(LOG_RESEAU[[#This Row],[Cell_ID]],Registre_Maintenance!A:E,5,FALSE),"Non trouvé")</f>
        <v>Non trouvé</v>
      </c>
      <c r="I938" s="6" t="str">
        <f>IFERROR(VLOOKUP(LOG_RESEAU[[#This Row],[Cell_ID]],Registre_Maintenance!A:F,6,FALSE),"Non trouvé")</f>
        <v>Non trouvé</v>
      </c>
      <c r="J938" s="6" t="str">
        <f t="shared" si="42"/>
        <v>Antenne inconnue</v>
      </c>
      <c r="K938" s="6">
        <f t="shared" si="43"/>
        <v>6</v>
      </c>
      <c r="L938" s="6">
        <f t="shared" si="44"/>
        <v>204</v>
      </c>
    </row>
    <row r="939" spans="1:12" ht="15.75" x14ac:dyDescent="0.25">
      <c r="A939" s="6" t="s">
        <v>937</v>
      </c>
      <c r="B939" s="7">
        <v>45203.35833333333</v>
      </c>
      <c r="C939" s="6">
        <v>5</v>
      </c>
      <c r="D939" s="6" t="s">
        <v>794</v>
      </c>
      <c r="E939" s="8" t="str">
        <f>IFERROR(VLOOKUP(LOG_RESEAU[[#This Row],[Cell_ID]],Registre_Maintenance!A:B,2,FALSE),"Non trouvé")</f>
        <v>Non trouvé</v>
      </c>
      <c r="F939" s="8" t="str">
        <f>IFERROR(VLOOKUP(LOG_RESEAU[[#This Row],[Cell_ID]],Registre_Maintenance!A:C,3,FALSE),"Non trouvé")</f>
        <v>Non trouvé</v>
      </c>
      <c r="G939" s="8" t="str">
        <f>IFERROR(VLOOKUP(LOG_RESEAU[[#This Row],[Cell_ID]],Registre_Maintenance!A:D,4,FALSE),"Non trouvé")</f>
        <v>Non trouvé</v>
      </c>
      <c r="H939" s="6" t="str">
        <f>IFERROR(VLOOKUP(LOG_RESEAU[[#This Row],[Cell_ID]],Registre_Maintenance!A:E,5,FALSE),"Non trouvé")</f>
        <v>Non trouvé</v>
      </c>
      <c r="I939" s="6" t="str">
        <f>IFERROR(VLOOKUP(LOG_RESEAU[[#This Row],[Cell_ID]],Registre_Maintenance!A:F,6,FALSE),"Non trouvé")</f>
        <v>Non trouvé</v>
      </c>
      <c r="J939" s="6" t="str">
        <f t="shared" si="42"/>
        <v>Antenne inconnue</v>
      </c>
      <c r="K939" s="6">
        <f t="shared" si="43"/>
        <v>6</v>
      </c>
      <c r="L939" s="6">
        <f t="shared" si="44"/>
        <v>204</v>
      </c>
    </row>
    <row r="940" spans="1:12" ht="15.75" x14ac:dyDescent="0.25">
      <c r="A940" s="6" t="s">
        <v>977</v>
      </c>
      <c r="B940" s="7">
        <v>45215.376388888893</v>
      </c>
      <c r="C940" s="6">
        <v>29</v>
      </c>
      <c r="D940" s="6" t="s">
        <v>792</v>
      </c>
      <c r="E940" s="8" t="str">
        <f>IFERROR(VLOOKUP(LOG_RESEAU[[#This Row],[Cell_ID]],Registre_Maintenance!A:B,2,FALSE),"Non trouvé")</f>
        <v>Non trouvé</v>
      </c>
      <c r="F940" s="8" t="str">
        <f>IFERROR(VLOOKUP(LOG_RESEAU[[#This Row],[Cell_ID]],Registre_Maintenance!A:C,3,FALSE),"Non trouvé")</f>
        <v>Non trouvé</v>
      </c>
      <c r="G940" s="8" t="str">
        <f>IFERROR(VLOOKUP(LOG_RESEAU[[#This Row],[Cell_ID]],Registre_Maintenance!A:D,4,FALSE),"Non trouvé")</f>
        <v>Non trouvé</v>
      </c>
      <c r="H940" s="6" t="str">
        <f>IFERROR(VLOOKUP(LOG_RESEAU[[#This Row],[Cell_ID]],Registre_Maintenance!A:E,5,FALSE),"Non trouvé")</f>
        <v>Non trouvé</v>
      </c>
      <c r="I940" s="6" t="str">
        <f>IFERROR(VLOOKUP(LOG_RESEAU[[#This Row],[Cell_ID]],Registre_Maintenance!A:F,6,FALSE),"Non trouvé")</f>
        <v>Non trouvé</v>
      </c>
      <c r="J940" s="6" t="str">
        <f t="shared" si="42"/>
        <v>Antenne inconnue</v>
      </c>
      <c r="K940" s="6">
        <f t="shared" si="43"/>
        <v>3</v>
      </c>
      <c r="L940" s="6">
        <f t="shared" si="44"/>
        <v>198</v>
      </c>
    </row>
    <row r="941" spans="1:12" ht="15.75" x14ac:dyDescent="0.25">
      <c r="A941" s="6" t="s">
        <v>977</v>
      </c>
      <c r="B941" s="7">
        <v>45229.62777777778</v>
      </c>
      <c r="C941" s="6">
        <v>103</v>
      </c>
      <c r="D941" s="6" t="s">
        <v>794</v>
      </c>
      <c r="E941" s="8" t="str">
        <f>IFERROR(VLOOKUP(LOG_RESEAU[[#This Row],[Cell_ID]],Registre_Maintenance!A:B,2,FALSE),"Non trouvé")</f>
        <v>Non trouvé</v>
      </c>
      <c r="F941" s="8" t="str">
        <f>IFERROR(VLOOKUP(LOG_RESEAU[[#This Row],[Cell_ID]],Registre_Maintenance!A:C,3,FALSE),"Non trouvé")</f>
        <v>Non trouvé</v>
      </c>
      <c r="G941" s="8" t="str">
        <f>IFERROR(VLOOKUP(LOG_RESEAU[[#This Row],[Cell_ID]],Registre_Maintenance!A:D,4,FALSE),"Non trouvé")</f>
        <v>Non trouvé</v>
      </c>
      <c r="H941" s="6" t="str">
        <f>IFERROR(VLOOKUP(LOG_RESEAU[[#This Row],[Cell_ID]],Registre_Maintenance!A:E,5,FALSE),"Non trouvé")</f>
        <v>Non trouvé</v>
      </c>
      <c r="I941" s="6" t="str">
        <f>IFERROR(VLOOKUP(LOG_RESEAU[[#This Row],[Cell_ID]],Registre_Maintenance!A:F,6,FALSE),"Non trouvé")</f>
        <v>Non trouvé</v>
      </c>
      <c r="J941" s="6" t="str">
        <f t="shared" si="42"/>
        <v>Antenne inconnue</v>
      </c>
      <c r="K941" s="6">
        <f t="shared" si="43"/>
        <v>3</v>
      </c>
      <c r="L941" s="6">
        <f t="shared" si="44"/>
        <v>198</v>
      </c>
    </row>
    <row r="942" spans="1:12" ht="15.75" x14ac:dyDescent="0.25">
      <c r="A942" s="6" t="s">
        <v>977</v>
      </c>
      <c r="B942" s="7">
        <v>45230.401388888888</v>
      </c>
      <c r="C942" s="6">
        <v>66</v>
      </c>
      <c r="D942" s="6" t="s">
        <v>800</v>
      </c>
      <c r="E942" s="8" t="str">
        <f>IFERROR(VLOOKUP(LOG_RESEAU[[#This Row],[Cell_ID]],Registre_Maintenance!A:B,2,FALSE),"Non trouvé")</f>
        <v>Non trouvé</v>
      </c>
      <c r="F942" s="8" t="str">
        <f>IFERROR(VLOOKUP(LOG_RESEAU[[#This Row],[Cell_ID]],Registre_Maintenance!A:C,3,FALSE),"Non trouvé")</f>
        <v>Non trouvé</v>
      </c>
      <c r="G942" s="8" t="str">
        <f>IFERROR(VLOOKUP(LOG_RESEAU[[#This Row],[Cell_ID]],Registre_Maintenance!A:D,4,FALSE),"Non trouvé")</f>
        <v>Non trouvé</v>
      </c>
      <c r="H942" s="6" t="str">
        <f>IFERROR(VLOOKUP(LOG_RESEAU[[#This Row],[Cell_ID]],Registre_Maintenance!A:E,5,FALSE),"Non trouvé")</f>
        <v>Non trouvé</v>
      </c>
      <c r="I942" s="6" t="str">
        <f>IFERROR(VLOOKUP(LOG_RESEAU[[#This Row],[Cell_ID]],Registre_Maintenance!A:F,6,FALSE),"Non trouvé")</f>
        <v>Non trouvé</v>
      </c>
      <c r="J942" s="6" t="str">
        <f t="shared" si="42"/>
        <v>Antenne inconnue</v>
      </c>
      <c r="K942" s="6">
        <f t="shared" si="43"/>
        <v>3</v>
      </c>
      <c r="L942" s="6">
        <f t="shared" si="44"/>
        <v>198</v>
      </c>
    </row>
    <row r="943" spans="1:12" ht="15.75" x14ac:dyDescent="0.25">
      <c r="A943" s="6" t="s">
        <v>966</v>
      </c>
      <c r="B943" s="7">
        <v>45206.282638888893</v>
      </c>
      <c r="C943" s="6">
        <v>69</v>
      </c>
      <c r="D943" s="6" t="s">
        <v>794</v>
      </c>
      <c r="E943" s="8" t="str">
        <f>IFERROR(VLOOKUP(LOG_RESEAU[[#This Row],[Cell_ID]],Registre_Maintenance!A:B,2,FALSE),"Non trouvé")</f>
        <v>Kasai</v>
      </c>
      <c r="F943" s="8">
        <f>IFERROR(VLOOKUP(LOG_RESEAU[[#This Row],[Cell_ID]],Registre_Maintenance!A:C,3,FALSE),"Non trouvé")</f>
        <v>4.1464489999999996</v>
      </c>
      <c r="G943" s="8">
        <f>IFERROR(VLOOKUP(LOG_RESEAU[[#This Row],[Cell_ID]],Registre_Maintenance!A:D,4,FALSE),"Non trouvé")</f>
        <v>17.793337000000001</v>
      </c>
      <c r="H943" s="6" t="str">
        <f>IFERROR(VLOOKUP(LOG_RESEAU[[#This Row],[Cell_ID]],Registre_Maintenance!A:E,5,FALSE),"Non trouvé")</f>
        <v>5G</v>
      </c>
      <c r="I943" s="6" t="str">
        <f>IFERROR(VLOOKUP(LOG_RESEAU[[#This Row],[Cell_ID]],Registre_Maintenance!A:F,6,FALSE),"Non trouvé")</f>
        <v>ZTE</v>
      </c>
      <c r="J943" s="6" t="str">
        <f t="shared" si="42"/>
        <v>OK</v>
      </c>
      <c r="K943" s="6">
        <f t="shared" si="43"/>
        <v>7</v>
      </c>
      <c r="L943" s="6">
        <f t="shared" si="44"/>
        <v>434</v>
      </c>
    </row>
    <row r="944" spans="1:12" ht="15.75" x14ac:dyDescent="0.25">
      <c r="A944" s="6" t="s">
        <v>966</v>
      </c>
      <c r="B944" s="7">
        <v>45203.861805555563</v>
      </c>
      <c r="C944" s="6">
        <v>66</v>
      </c>
      <c r="D944" s="6" t="s">
        <v>794</v>
      </c>
      <c r="E944" s="8" t="str">
        <f>IFERROR(VLOOKUP(LOG_RESEAU[[#This Row],[Cell_ID]],Registre_Maintenance!A:B,2,FALSE),"Non trouvé")</f>
        <v>Kasai</v>
      </c>
      <c r="F944" s="8">
        <f>IFERROR(VLOOKUP(LOG_RESEAU[[#This Row],[Cell_ID]],Registre_Maintenance!A:C,3,FALSE),"Non trouvé")</f>
        <v>4.1464489999999996</v>
      </c>
      <c r="G944" s="8">
        <f>IFERROR(VLOOKUP(LOG_RESEAU[[#This Row],[Cell_ID]],Registre_Maintenance!A:D,4,FALSE),"Non trouvé")</f>
        <v>17.793337000000001</v>
      </c>
      <c r="H944" s="6" t="str">
        <f>IFERROR(VLOOKUP(LOG_RESEAU[[#This Row],[Cell_ID]],Registre_Maintenance!A:E,5,FALSE),"Non trouvé")</f>
        <v>5G</v>
      </c>
      <c r="I944" s="6" t="str">
        <f>IFERROR(VLOOKUP(LOG_RESEAU[[#This Row],[Cell_ID]],Registre_Maintenance!A:F,6,FALSE),"Non trouvé")</f>
        <v>ZTE</v>
      </c>
      <c r="J944" s="6" t="str">
        <f t="shared" si="42"/>
        <v>OK</v>
      </c>
      <c r="K944" s="6">
        <f t="shared" si="43"/>
        <v>7</v>
      </c>
      <c r="L944" s="6">
        <f t="shared" si="44"/>
        <v>434</v>
      </c>
    </row>
    <row r="945" spans="1:12" ht="15.75" x14ac:dyDescent="0.25">
      <c r="A945" s="6" t="s">
        <v>966</v>
      </c>
      <c r="B945" s="7">
        <v>45205.373611111107</v>
      </c>
      <c r="C945" s="6">
        <v>50</v>
      </c>
      <c r="D945" s="6" t="s">
        <v>800</v>
      </c>
      <c r="E945" s="8" t="str">
        <f>IFERROR(VLOOKUP(LOG_RESEAU[[#This Row],[Cell_ID]],Registre_Maintenance!A:B,2,FALSE),"Non trouvé")</f>
        <v>Kasai</v>
      </c>
      <c r="F945" s="8">
        <f>IFERROR(VLOOKUP(LOG_RESEAU[[#This Row],[Cell_ID]],Registre_Maintenance!A:C,3,FALSE),"Non trouvé")</f>
        <v>4.1464489999999996</v>
      </c>
      <c r="G945" s="8">
        <f>IFERROR(VLOOKUP(LOG_RESEAU[[#This Row],[Cell_ID]],Registre_Maintenance!A:D,4,FALSE),"Non trouvé")</f>
        <v>17.793337000000001</v>
      </c>
      <c r="H945" s="6" t="str">
        <f>IFERROR(VLOOKUP(LOG_RESEAU[[#This Row],[Cell_ID]],Registre_Maintenance!A:E,5,FALSE),"Non trouvé")</f>
        <v>5G</v>
      </c>
      <c r="I945" s="6" t="str">
        <f>IFERROR(VLOOKUP(LOG_RESEAU[[#This Row],[Cell_ID]],Registre_Maintenance!A:F,6,FALSE),"Non trouvé")</f>
        <v>ZTE</v>
      </c>
      <c r="J945" s="6" t="str">
        <f t="shared" si="42"/>
        <v>OK</v>
      </c>
      <c r="K945" s="6">
        <f t="shared" si="43"/>
        <v>7</v>
      </c>
      <c r="L945" s="6">
        <f t="shared" si="44"/>
        <v>434</v>
      </c>
    </row>
    <row r="946" spans="1:12" ht="15.75" x14ac:dyDescent="0.25">
      <c r="A946" s="6" t="s">
        <v>966</v>
      </c>
      <c r="B946" s="7">
        <v>45221.988888888889</v>
      </c>
      <c r="C946" s="6">
        <v>45</v>
      </c>
      <c r="D946" s="6" t="s">
        <v>794</v>
      </c>
      <c r="E946" s="8" t="str">
        <f>IFERROR(VLOOKUP(LOG_RESEAU[[#This Row],[Cell_ID]],Registre_Maintenance!A:B,2,FALSE),"Non trouvé")</f>
        <v>Kasai</v>
      </c>
      <c r="F946" s="8">
        <f>IFERROR(VLOOKUP(LOG_RESEAU[[#This Row],[Cell_ID]],Registre_Maintenance!A:C,3,FALSE),"Non trouvé")</f>
        <v>4.1464489999999996</v>
      </c>
      <c r="G946" s="8">
        <f>IFERROR(VLOOKUP(LOG_RESEAU[[#This Row],[Cell_ID]],Registre_Maintenance!A:D,4,FALSE),"Non trouvé")</f>
        <v>17.793337000000001</v>
      </c>
      <c r="H946" s="6" t="str">
        <f>IFERROR(VLOOKUP(LOG_RESEAU[[#This Row],[Cell_ID]],Registre_Maintenance!A:E,5,FALSE),"Non trouvé")</f>
        <v>5G</v>
      </c>
      <c r="I946" s="6" t="str">
        <f>IFERROR(VLOOKUP(LOG_RESEAU[[#This Row],[Cell_ID]],Registre_Maintenance!A:F,6,FALSE),"Non trouvé")</f>
        <v>ZTE</v>
      </c>
      <c r="J946" s="6" t="str">
        <f t="shared" si="42"/>
        <v>OK</v>
      </c>
      <c r="K946" s="6">
        <f t="shared" si="43"/>
        <v>7</v>
      </c>
      <c r="L946" s="6">
        <f t="shared" si="44"/>
        <v>434</v>
      </c>
    </row>
    <row r="947" spans="1:12" ht="15.75" x14ac:dyDescent="0.25">
      <c r="A947" s="6" t="s">
        <v>966</v>
      </c>
      <c r="B947" s="7">
        <v>45208.172222222223</v>
      </c>
      <c r="C947" s="6">
        <v>96</v>
      </c>
      <c r="D947" s="6" t="s">
        <v>794</v>
      </c>
      <c r="E947" s="8" t="str">
        <f>IFERROR(VLOOKUP(LOG_RESEAU[[#This Row],[Cell_ID]],Registre_Maintenance!A:B,2,FALSE),"Non trouvé")</f>
        <v>Kasai</v>
      </c>
      <c r="F947" s="8">
        <f>IFERROR(VLOOKUP(LOG_RESEAU[[#This Row],[Cell_ID]],Registre_Maintenance!A:C,3,FALSE),"Non trouvé")</f>
        <v>4.1464489999999996</v>
      </c>
      <c r="G947" s="8">
        <f>IFERROR(VLOOKUP(LOG_RESEAU[[#This Row],[Cell_ID]],Registre_Maintenance!A:D,4,FALSE),"Non trouvé")</f>
        <v>17.793337000000001</v>
      </c>
      <c r="H947" s="6" t="str">
        <f>IFERROR(VLOOKUP(LOG_RESEAU[[#This Row],[Cell_ID]],Registre_Maintenance!A:E,5,FALSE),"Non trouvé")</f>
        <v>5G</v>
      </c>
      <c r="I947" s="6" t="str">
        <f>IFERROR(VLOOKUP(LOG_RESEAU[[#This Row],[Cell_ID]],Registre_Maintenance!A:F,6,FALSE),"Non trouvé")</f>
        <v>ZTE</v>
      </c>
      <c r="J947" s="6" t="str">
        <f t="shared" si="42"/>
        <v>OK</v>
      </c>
      <c r="K947" s="6">
        <f t="shared" si="43"/>
        <v>7</v>
      </c>
      <c r="L947" s="6">
        <f t="shared" si="44"/>
        <v>434</v>
      </c>
    </row>
    <row r="948" spans="1:12" ht="15.75" x14ac:dyDescent="0.25">
      <c r="A948" s="6" t="s">
        <v>966</v>
      </c>
      <c r="B948" s="7">
        <v>45226.988194444442</v>
      </c>
      <c r="C948" s="6">
        <v>25</v>
      </c>
      <c r="D948" s="6" t="s">
        <v>800</v>
      </c>
      <c r="E948" s="8" t="str">
        <f>IFERROR(VLOOKUP(LOG_RESEAU[[#This Row],[Cell_ID]],Registre_Maintenance!A:B,2,FALSE),"Non trouvé")</f>
        <v>Kasai</v>
      </c>
      <c r="F948" s="8">
        <f>IFERROR(VLOOKUP(LOG_RESEAU[[#This Row],[Cell_ID]],Registre_Maintenance!A:C,3,FALSE),"Non trouvé")</f>
        <v>4.1464489999999996</v>
      </c>
      <c r="G948" s="8">
        <f>IFERROR(VLOOKUP(LOG_RESEAU[[#This Row],[Cell_ID]],Registre_Maintenance!A:D,4,FALSE),"Non trouvé")</f>
        <v>17.793337000000001</v>
      </c>
      <c r="H948" s="6" t="str">
        <f>IFERROR(VLOOKUP(LOG_RESEAU[[#This Row],[Cell_ID]],Registre_Maintenance!A:E,5,FALSE),"Non trouvé")</f>
        <v>5G</v>
      </c>
      <c r="I948" s="6" t="str">
        <f>IFERROR(VLOOKUP(LOG_RESEAU[[#This Row],[Cell_ID]],Registre_Maintenance!A:F,6,FALSE),"Non trouvé")</f>
        <v>ZTE</v>
      </c>
      <c r="J948" s="6" t="str">
        <f t="shared" si="42"/>
        <v>OK</v>
      </c>
      <c r="K948" s="6">
        <f t="shared" si="43"/>
        <v>7</v>
      </c>
      <c r="L948" s="6">
        <f t="shared" si="44"/>
        <v>434</v>
      </c>
    </row>
    <row r="949" spans="1:12" ht="15.75" x14ac:dyDescent="0.25">
      <c r="A949" s="6" t="s">
        <v>966</v>
      </c>
      <c r="B949" s="7">
        <v>45219.506249999999</v>
      </c>
      <c r="C949" s="6">
        <v>83</v>
      </c>
      <c r="D949" s="6" t="s">
        <v>800</v>
      </c>
      <c r="E949" s="8" t="str">
        <f>IFERROR(VLOOKUP(LOG_RESEAU[[#This Row],[Cell_ID]],Registre_Maintenance!A:B,2,FALSE),"Non trouvé")</f>
        <v>Kasai</v>
      </c>
      <c r="F949" s="8">
        <f>IFERROR(VLOOKUP(LOG_RESEAU[[#This Row],[Cell_ID]],Registre_Maintenance!A:C,3,FALSE),"Non trouvé")</f>
        <v>4.1464489999999996</v>
      </c>
      <c r="G949" s="8">
        <f>IFERROR(VLOOKUP(LOG_RESEAU[[#This Row],[Cell_ID]],Registre_Maintenance!A:D,4,FALSE),"Non trouvé")</f>
        <v>17.793337000000001</v>
      </c>
      <c r="H949" s="6" t="str">
        <f>IFERROR(VLOOKUP(LOG_RESEAU[[#This Row],[Cell_ID]],Registre_Maintenance!A:E,5,FALSE),"Non trouvé")</f>
        <v>5G</v>
      </c>
      <c r="I949" s="6" t="str">
        <f>IFERROR(VLOOKUP(LOG_RESEAU[[#This Row],[Cell_ID]],Registre_Maintenance!A:F,6,FALSE),"Non trouvé")</f>
        <v>ZTE</v>
      </c>
      <c r="J949" s="6" t="str">
        <f t="shared" si="42"/>
        <v>OK</v>
      </c>
      <c r="K949" s="6">
        <f t="shared" si="43"/>
        <v>7</v>
      </c>
      <c r="L949" s="6">
        <f t="shared" si="44"/>
        <v>434</v>
      </c>
    </row>
    <row r="950" spans="1:12" ht="15.75" x14ac:dyDescent="0.25">
      <c r="A950" s="6" t="s">
        <v>891</v>
      </c>
      <c r="B950" s="7">
        <v>45223.418749999997</v>
      </c>
      <c r="C950" s="6">
        <v>32</v>
      </c>
      <c r="D950" s="6" t="s">
        <v>800</v>
      </c>
      <c r="E950" s="8" t="str">
        <f>IFERROR(VLOOKUP(LOG_RESEAU[[#This Row],[Cell_ID]],Registre_Maintenance!A:B,2,FALSE),"Non trouvé")</f>
        <v>Nord-Kivu</v>
      </c>
      <c r="F950" s="8">
        <f>IFERROR(VLOOKUP(LOG_RESEAU[[#This Row],[Cell_ID]],Registre_Maintenance!A:C,3,FALSE),"Non trouvé")</f>
        <v>0.92885200000000001</v>
      </c>
      <c r="G950" s="8">
        <f>IFERROR(VLOOKUP(LOG_RESEAU[[#This Row],[Cell_ID]],Registre_Maintenance!A:D,4,FALSE),"Non trouvé")</f>
        <v>25.868548000000001</v>
      </c>
      <c r="H950" s="6" t="str">
        <f>IFERROR(VLOOKUP(LOG_RESEAU[[#This Row],[Cell_ID]],Registre_Maintenance!A:E,5,FALSE),"Non trouvé")</f>
        <v>5G</v>
      </c>
      <c r="I950" s="6" t="str">
        <f>IFERROR(VLOOKUP(LOG_RESEAU[[#This Row],[Cell_ID]],Registre_Maintenance!A:F,6,FALSE),"Non trouvé")</f>
        <v>Nokia</v>
      </c>
      <c r="J950" s="6" t="str">
        <f t="shared" si="42"/>
        <v>OK</v>
      </c>
      <c r="K950" s="6">
        <f t="shared" si="43"/>
        <v>5</v>
      </c>
      <c r="L950" s="6">
        <f t="shared" si="44"/>
        <v>328</v>
      </c>
    </row>
    <row r="951" spans="1:12" ht="15.75" x14ac:dyDescent="0.25">
      <c r="A951" s="6" t="s">
        <v>891</v>
      </c>
      <c r="B951" s="7">
        <v>45226.598611111112</v>
      </c>
      <c r="C951" s="6">
        <v>66</v>
      </c>
      <c r="D951" s="6" t="s">
        <v>794</v>
      </c>
      <c r="E951" s="8" t="str">
        <f>IFERROR(VLOOKUP(LOG_RESEAU[[#This Row],[Cell_ID]],Registre_Maintenance!A:B,2,FALSE),"Non trouvé")</f>
        <v>Nord-Kivu</v>
      </c>
      <c r="F951" s="8">
        <f>IFERROR(VLOOKUP(LOG_RESEAU[[#This Row],[Cell_ID]],Registre_Maintenance!A:C,3,FALSE),"Non trouvé")</f>
        <v>0.92885200000000001</v>
      </c>
      <c r="G951" s="8">
        <f>IFERROR(VLOOKUP(LOG_RESEAU[[#This Row],[Cell_ID]],Registre_Maintenance!A:D,4,FALSE),"Non trouvé")</f>
        <v>25.868548000000001</v>
      </c>
      <c r="H951" s="6" t="str">
        <f>IFERROR(VLOOKUP(LOG_RESEAU[[#This Row],[Cell_ID]],Registre_Maintenance!A:E,5,FALSE),"Non trouvé")</f>
        <v>5G</v>
      </c>
      <c r="I951" s="6" t="str">
        <f>IFERROR(VLOOKUP(LOG_RESEAU[[#This Row],[Cell_ID]],Registre_Maintenance!A:F,6,FALSE),"Non trouvé")</f>
        <v>Nokia</v>
      </c>
      <c r="J951" s="6" t="str">
        <f t="shared" si="42"/>
        <v>OK</v>
      </c>
      <c r="K951" s="6">
        <f t="shared" si="43"/>
        <v>5</v>
      </c>
      <c r="L951" s="6">
        <f t="shared" si="44"/>
        <v>328</v>
      </c>
    </row>
    <row r="952" spans="1:12" ht="15.75" x14ac:dyDescent="0.25">
      <c r="A952" s="6" t="s">
        <v>891</v>
      </c>
      <c r="B952" s="7">
        <v>45203.22152777778</v>
      </c>
      <c r="C952" s="6">
        <v>82</v>
      </c>
      <c r="D952" s="6" t="s">
        <v>794</v>
      </c>
      <c r="E952" s="8" t="str">
        <f>IFERROR(VLOOKUP(LOG_RESEAU[[#This Row],[Cell_ID]],Registre_Maintenance!A:B,2,FALSE),"Non trouvé")</f>
        <v>Nord-Kivu</v>
      </c>
      <c r="F952" s="8">
        <f>IFERROR(VLOOKUP(LOG_RESEAU[[#This Row],[Cell_ID]],Registre_Maintenance!A:C,3,FALSE),"Non trouvé")</f>
        <v>0.92885200000000001</v>
      </c>
      <c r="G952" s="8">
        <f>IFERROR(VLOOKUP(LOG_RESEAU[[#This Row],[Cell_ID]],Registre_Maintenance!A:D,4,FALSE),"Non trouvé")</f>
        <v>25.868548000000001</v>
      </c>
      <c r="H952" s="6" t="str">
        <f>IFERROR(VLOOKUP(LOG_RESEAU[[#This Row],[Cell_ID]],Registre_Maintenance!A:E,5,FALSE),"Non trouvé")</f>
        <v>5G</v>
      </c>
      <c r="I952" s="6" t="str">
        <f>IFERROR(VLOOKUP(LOG_RESEAU[[#This Row],[Cell_ID]],Registre_Maintenance!A:F,6,FALSE),"Non trouvé")</f>
        <v>Nokia</v>
      </c>
      <c r="J952" s="6" t="str">
        <f t="shared" si="42"/>
        <v>OK</v>
      </c>
      <c r="K952" s="6">
        <f t="shared" si="43"/>
        <v>5</v>
      </c>
      <c r="L952" s="6">
        <f t="shared" si="44"/>
        <v>328</v>
      </c>
    </row>
    <row r="953" spans="1:12" ht="15.75" x14ac:dyDescent="0.25">
      <c r="A953" s="6" t="s">
        <v>891</v>
      </c>
      <c r="B953" s="7">
        <v>45215.602083333331</v>
      </c>
      <c r="C953" s="6">
        <v>36</v>
      </c>
      <c r="D953" s="6" t="s">
        <v>792</v>
      </c>
      <c r="E953" s="8" t="str">
        <f>IFERROR(VLOOKUP(LOG_RESEAU[[#This Row],[Cell_ID]],Registre_Maintenance!A:B,2,FALSE),"Non trouvé")</f>
        <v>Nord-Kivu</v>
      </c>
      <c r="F953" s="8">
        <f>IFERROR(VLOOKUP(LOG_RESEAU[[#This Row],[Cell_ID]],Registre_Maintenance!A:C,3,FALSE),"Non trouvé")</f>
        <v>0.92885200000000001</v>
      </c>
      <c r="G953" s="8">
        <f>IFERROR(VLOOKUP(LOG_RESEAU[[#This Row],[Cell_ID]],Registre_Maintenance!A:D,4,FALSE),"Non trouvé")</f>
        <v>25.868548000000001</v>
      </c>
      <c r="H953" s="6" t="str">
        <f>IFERROR(VLOOKUP(LOG_RESEAU[[#This Row],[Cell_ID]],Registre_Maintenance!A:E,5,FALSE),"Non trouvé")</f>
        <v>5G</v>
      </c>
      <c r="I953" s="6" t="str">
        <f>IFERROR(VLOOKUP(LOG_RESEAU[[#This Row],[Cell_ID]],Registre_Maintenance!A:F,6,FALSE),"Non trouvé")</f>
        <v>Nokia</v>
      </c>
      <c r="J953" s="6" t="str">
        <f t="shared" si="42"/>
        <v>OK</v>
      </c>
      <c r="K953" s="6">
        <f t="shared" si="43"/>
        <v>5</v>
      </c>
      <c r="L953" s="6">
        <f t="shared" si="44"/>
        <v>328</v>
      </c>
    </row>
    <row r="954" spans="1:12" ht="15.75" x14ac:dyDescent="0.25">
      <c r="A954" s="6" t="s">
        <v>891</v>
      </c>
      <c r="B954" s="7">
        <v>45205.793749999997</v>
      </c>
      <c r="C954" s="6">
        <v>112</v>
      </c>
      <c r="D954" s="6" t="s">
        <v>792</v>
      </c>
      <c r="E954" s="8" t="str">
        <f>IFERROR(VLOOKUP(LOG_RESEAU[[#This Row],[Cell_ID]],Registre_Maintenance!A:B,2,FALSE),"Non trouvé")</f>
        <v>Nord-Kivu</v>
      </c>
      <c r="F954" s="8">
        <f>IFERROR(VLOOKUP(LOG_RESEAU[[#This Row],[Cell_ID]],Registre_Maintenance!A:C,3,FALSE),"Non trouvé")</f>
        <v>0.92885200000000001</v>
      </c>
      <c r="G954" s="8">
        <f>IFERROR(VLOOKUP(LOG_RESEAU[[#This Row],[Cell_ID]],Registre_Maintenance!A:D,4,FALSE),"Non trouvé")</f>
        <v>25.868548000000001</v>
      </c>
      <c r="H954" s="6" t="str">
        <f>IFERROR(VLOOKUP(LOG_RESEAU[[#This Row],[Cell_ID]],Registre_Maintenance!A:E,5,FALSE),"Non trouvé")</f>
        <v>5G</v>
      </c>
      <c r="I954" s="6" t="str">
        <f>IFERROR(VLOOKUP(LOG_RESEAU[[#This Row],[Cell_ID]],Registre_Maintenance!A:F,6,FALSE),"Non trouvé")</f>
        <v>Nokia</v>
      </c>
      <c r="J954" s="6" t="str">
        <f t="shared" si="42"/>
        <v>OK</v>
      </c>
      <c r="K954" s="6">
        <f t="shared" si="43"/>
        <v>5</v>
      </c>
      <c r="L954" s="6">
        <f t="shared" si="44"/>
        <v>328</v>
      </c>
    </row>
    <row r="955" spans="1:12" ht="15.75" x14ac:dyDescent="0.25">
      <c r="A955" s="6" t="s">
        <v>803</v>
      </c>
      <c r="B955" s="7">
        <v>45222.863888888889</v>
      </c>
      <c r="C955" s="6">
        <v>50</v>
      </c>
      <c r="D955" s="6" t="s">
        <v>792</v>
      </c>
      <c r="E955" s="8" t="str">
        <f>IFERROR(VLOOKUP(LOG_RESEAU[[#This Row],[Cell_ID]],Registre_Maintenance!A:B,2,FALSE),"Non trouvé")</f>
        <v>Tshopo</v>
      </c>
      <c r="F955" s="8">
        <f>IFERROR(VLOOKUP(LOG_RESEAU[[#This Row],[Cell_ID]],Registre_Maintenance!A:C,3,FALSE),"Non trouvé")</f>
        <v>2.4425979999999998</v>
      </c>
      <c r="G955" s="8">
        <f>IFERROR(VLOOKUP(LOG_RESEAU[[#This Row],[Cell_ID]],Registre_Maintenance!A:D,4,FALSE),"Non trouvé")</f>
        <v>24.924308</v>
      </c>
      <c r="H955" s="6" t="str">
        <f>IFERROR(VLOOKUP(LOG_RESEAU[[#This Row],[Cell_ID]],Registre_Maintenance!A:E,5,FALSE),"Non trouvé")</f>
        <v>5G</v>
      </c>
      <c r="I955" s="6" t="str">
        <f>IFERROR(VLOOKUP(LOG_RESEAU[[#This Row],[Cell_ID]],Registre_Maintenance!A:F,6,FALSE),"Non trouvé")</f>
        <v>Ericsson</v>
      </c>
      <c r="J955" s="6" t="str">
        <f t="shared" si="42"/>
        <v>OK</v>
      </c>
      <c r="K955" s="6">
        <f t="shared" si="43"/>
        <v>5</v>
      </c>
      <c r="L955" s="6">
        <f t="shared" si="44"/>
        <v>229</v>
      </c>
    </row>
    <row r="956" spans="1:12" ht="15.75" x14ac:dyDescent="0.25">
      <c r="A956" s="6" t="s">
        <v>803</v>
      </c>
      <c r="B956" s="7">
        <v>45215.618055555547</v>
      </c>
      <c r="C956" s="6">
        <v>29</v>
      </c>
      <c r="D956" s="6" t="s">
        <v>794</v>
      </c>
      <c r="E956" s="8" t="str">
        <f>IFERROR(VLOOKUP(LOG_RESEAU[[#This Row],[Cell_ID]],Registre_Maintenance!A:B,2,FALSE),"Non trouvé")</f>
        <v>Tshopo</v>
      </c>
      <c r="F956" s="8">
        <f>IFERROR(VLOOKUP(LOG_RESEAU[[#This Row],[Cell_ID]],Registre_Maintenance!A:C,3,FALSE),"Non trouvé")</f>
        <v>2.4425979999999998</v>
      </c>
      <c r="G956" s="8">
        <f>IFERROR(VLOOKUP(LOG_RESEAU[[#This Row],[Cell_ID]],Registre_Maintenance!A:D,4,FALSE),"Non trouvé")</f>
        <v>24.924308</v>
      </c>
      <c r="H956" s="6" t="str">
        <f>IFERROR(VLOOKUP(LOG_RESEAU[[#This Row],[Cell_ID]],Registre_Maintenance!A:E,5,FALSE),"Non trouvé")</f>
        <v>5G</v>
      </c>
      <c r="I956" s="6" t="str">
        <f>IFERROR(VLOOKUP(LOG_RESEAU[[#This Row],[Cell_ID]],Registre_Maintenance!A:F,6,FALSE),"Non trouvé")</f>
        <v>Ericsson</v>
      </c>
      <c r="J956" s="6" t="str">
        <f t="shared" si="42"/>
        <v>OK</v>
      </c>
      <c r="K956" s="6">
        <f t="shared" si="43"/>
        <v>5</v>
      </c>
      <c r="L956" s="6">
        <f t="shared" si="44"/>
        <v>229</v>
      </c>
    </row>
    <row r="957" spans="1:12" ht="15.75" x14ac:dyDescent="0.25">
      <c r="A957" s="6" t="s">
        <v>803</v>
      </c>
      <c r="B957" s="7">
        <v>45225.317361111112</v>
      </c>
      <c r="C957" s="6">
        <v>37</v>
      </c>
      <c r="D957" s="6" t="s">
        <v>792</v>
      </c>
      <c r="E957" s="8" t="str">
        <f>IFERROR(VLOOKUP(LOG_RESEAU[[#This Row],[Cell_ID]],Registre_Maintenance!A:B,2,FALSE),"Non trouvé")</f>
        <v>Tshopo</v>
      </c>
      <c r="F957" s="8">
        <f>IFERROR(VLOOKUP(LOG_RESEAU[[#This Row],[Cell_ID]],Registre_Maintenance!A:C,3,FALSE),"Non trouvé")</f>
        <v>2.4425979999999998</v>
      </c>
      <c r="G957" s="8">
        <f>IFERROR(VLOOKUP(LOG_RESEAU[[#This Row],[Cell_ID]],Registre_Maintenance!A:D,4,FALSE),"Non trouvé")</f>
        <v>24.924308</v>
      </c>
      <c r="H957" s="6" t="str">
        <f>IFERROR(VLOOKUP(LOG_RESEAU[[#This Row],[Cell_ID]],Registre_Maintenance!A:E,5,FALSE),"Non trouvé")</f>
        <v>5G</v>
      </c>
      <c r="I957" s="6" t="str">
        <f>IFERROR(VLOOKUP(LOG_RESEAU[[#This Row],[Cell_ID]],Registre_Maintenance!A:F,6,FALSE),"Non trouvé")</f>
        <v>Ericsson</v>
      </c>
      <c r="J957" s="6" t="str">
        <f t="shared" si="42"/>
        <v>OK</v>
      </c>
      <c r="K957" s="6">
        <f t="shared" si="43"/>
        <v>5</v>
      </c>
      <c r="L957" s="6">
        <f t="shared" si="44"/>
        <v>229</v>
      </c>
    </row>
    <row r="958" spans="1:12" ht="15.75" x14ac:dyDescent="0.25">
      <c r="A958" s="6" t="s">
        <v>803</v>
      </c>
      <c r="B958" s="7">
        <v>45227.144444444442</v>
      </c>
      <c r="C958" s="6">
        <v>11</v>
      </c>
      <c r="D958" s="6" t="s">
        <v>800</v>
      </c>
      <c r="E958" s="8" t="str">
        <f>IFERROR(VLOOKUP(LOG_RESEAU[[#This Row],[Cell_ID]],Registre_Maintenance!A:B,2,FALSE),"Non trouvé")</f>
        <v>Tshopo</v>
      </c>
      <c r="F958" s="8">
        <f>IFERROR(VLOOKUP(LOG_RESEAU[[#This Row],[Cell_ID]],Registre_Maintenance!A:C,3,FALSE),"Non trouvé")</f>
        <v>2.4425979999999998</v>
      </c>
      <c r="G958" s="8">
        <f>IFERROR(VLOOKUP(LOG_RESEAU[[#This Row],[Cell_ID]],Registre_Maintenance!A:D,4,FALSE),"Non trouvé")</f>
        <v>24.924308</v>
      </c>
      <c r="H958" s="6" t="str">
        <f>IFERROR(VLOOKUP(LOG_RESEAU[[#This Row],[Cell_ID]],Registre_Maintenance!A:E,5,FALSE),"Non trouvé")</f>
        <v>5G</v>
      </c>
      <c r="I958" s="6" t="str">
        <f>IFERROR(VLOOKUP(LOG_RESEAU[[#This Row],[Cell_ID]],Registre_Maintenance!A:F,6,FALSE),"Non trouvé")</f>
        <v>Ericsson</v>
      </c>
      <c r="J958" s="6" t="str">
        <f t="shared" si="42"/>
        <v>OK</v>
      </c>
      <c r="K958" s="6">
        <f t="shared" si="43"/>
        <v>5</v>
      </c>
      <c r="L958" s="6">
        <f t="shared" si="44"/>
        <v>229</v>
      </c>
    </row>
    <row r="959" spans="1:12" ht="15.75" x14ac:dyDescent="0.25">
      <c r="A959" s="6" t="s">
        <v>803</v>
      </c>
      <c r="B959" s="7">
        <v>45215.580555555563</v>
      </c>
      <c r="C959" s="6">
        <v>102</v>
      </c>
      <c r="D959" s="6" t="s">
        <v>792</v>
      </c>
      <c r="E959" s="8" t="str">
        <f>IFERROR(VLOOKUP(LOG_RESEAU[[#This Row],[Cell_ID]],Registre_Maintenance!A:B,2,FALSE),"Non trouvé")</f>
        <v>Tshopo</v>
      </c>
      <c r="F959" s="8">
        <f>IFERROR(VLOOKUP(LOG_RESEAU[[#This Row],[Cell_ID]],Registre_Maintenance!A:C,3,FALSE),"Non trouvé")</f>
        <v>2.4425979999999998</v>
      </c>
      <c r="G959" s="8">
        <f>IFERROR(VLOOKUP(LOG_RESEAU[[#This Row],[Cell_ID]],Registre_Maintenance!A:D,4,FALSE),"Non trouvé")</f>
        <v>24.924308</v>
      </c>
      <c r="H959" s="6" t="str">
        <f>IFERROR(VLOOKUP(LOG_RESEAU[[#This Row],[Cell_ID]],Registre_Maintenance!A:E,5,FALSE),"Non trouvé")</f>
        <v>5G</v>
      </c>
      <c r="I959" s="6" t="str">
        <f>IFERROR(VLOOKUP(LOG_RESEAU[[#This Row],[Cell_ID]],Registre_Maintenance!A:F,6,FALSE),"Non trouvé")</f>
        <v>Ericsson</v>
      </c>
      <c r="J959" s="6" t="str">
        <f t="shared" si="42"/>
        <v>OK</v>
      </c>
      <c r="K959" s="6">
        <f t="shared" si="43"/>
        <v>5</v>
      </c>
      <c r="L959" s="6">
        <f t="shared" si="44"/>
        <v>229</v>
      </c>
    </row>
    <row r="960" spans="1:12" ht="15.75" x14ac:dyDescent="0.25">
      <c r="A960" s="6" t="s">
        <v>858</v>
      </c>
      <c r="B960" s="7">
        <v>45223.661111111112</v>
      </c>
      <c r="C960" s="6">
        <v>25</v>
      </c>
      <c r="D960" s="6" t="s">
        <v>794</v>
      </c>
      <c r="E960" s="8" t="str">
        <f>IFERROR(VLOOKUP(LOG_RESEAU[[#This Row],[Cell_ID]],Registre_Maintenance!A:B,2,FALSE),"Non trouvé")</f>
        <v>Non trouvé</v>
      </c>
      <c r="F960" s="8" t="str">
        <f>IFERROR(VLOOKUP(LOG_RESEAU[[#This Row],[Cell_ID]],Registre_Maintenance!A:C,3,FALSE),"Non trouvé")</f>
        <v>Non trouvé</v>
      </c>
      <c r="G960" s="8" t="str">
        <f>IFERROR(VLOOKUP(LOG_RESEAU[[#This Row],[Cell_ID]],Registre_Maintenance!A:D,4,FALSE),"Non trouvé")</f>
        <v>Non trouvé</v>
      </c>
      <c r="H960" s="6" t="str">
        <f>IFERROR(VLOOKUP(LOG_RESEAU[[#This Row],[Cell_ID]],Registre_Maintenance!A:E,5,FALSE),"Non trouvé")</f>
        <v>Non trouvé</v>
      </c>
      <c r="I960" s="6" t="str">
        <f>IFERROR(VLOOKUP(LOG_RESEAU[[#This Row],[Cell_ID]],Registre_Maintenance!A:F,6,FALSE),"Non trouvé")</f>
        <v>Non trouvé</v>
      </c>
      <c r="J960" s="6" t="str">
        <f t="shared" si="42"/>
        <v>Antenne inconnue</v>
      </c>
      <c r="K960" s="6">
        <f t="shared" si="43"/>
        <v>5</v>
      </c>
      <c r="L960" s="6">
        <f t="shared" si="44"/>
        <v>296</v>
      </c>
    </row>
    <row r="961" spans="1:12" ht="15.75" x14ac:dyDescent="0.25">
      <c r="A961" s="6" t="s">
        <v>858</v>
      </c>
      <c r="B961" s="7">
        <v>45200.883333333331</v>
      </c>
      <c r="C961" s="6">
        <v>57</v>
      </c>
      <c r="D961" s="6" t="s">
        <v>800</v>
      </c>
      <c r="E961" s="8" t="str">
        <f>IFERROR(VLOOKUP(LOG_RESEAU[[#This Row],[Cell_ID]],Registre_Maintenance!A:B,2,FALSE),"Non trouvé")</f>
        <v>Non trouvé</v>
      </c>
      <c r="F961" s="8" t="str">
        <f>IFERROR(VLOOKUP(LOG_RESEAU[[#This Row],[Cell_ID]],Registre_Maintenance!A:C,3,FALSE),"Non trouvé")</f>
        <v>Non trouvé</v>
      </c>
      <c r="G961" s="8" t="str">
        <f>IFERROR(VLOOKUP(LOG_RESEAU[[#This Row],[Cell_ID]],Registre_Maintenance!A:D,4,FALSE),"Non trouvé")</f>
        <v>Non trouvé</v>
      </c>
      <c r="H961" s="6" t="str">
        <f>IFERROR(VLOOKUP(LOG_RESEAU[[#This Row],[Cell_ID]],Registre_Maintenance!A:E,5,FALSE),"Non trouvé")</f>
        <v>Non trouvé</v>
      </c>
      <c r="I961" s="6" t="str">
        <f>IFERROR(VLOOKUP(LOG_RESEAU[[#This Row],[Cell_ID]],Registre_Maintenance!A:F,6,FALSE),"Non trouvé")</f>
        <v>Non trouvé</v>
      </c>
      <c r="J961" s="6" t="str">
        <f t="shared" si="42"/>
        <v>Antenne inconnue</v>
      </c>
      <c r="K961" s="6">
        <f t="shared" si="43"/>
        <v>5</v>
      </c>
      <c r="L961" s="6">
        <f t="shared" si="44"/>
        <v>296</v>
      </c>
    </row>
    <row r="962" spans="1:12" ht="15.75" x14ac:dyDescent="0.25">
      <c r="A962" s="6" t="s">
        <v>858</v>
      </c>
      <c r="B962" s="7">
        <v>45204.341666666667</v>
      </c>
      <c r="C962" s="6">
        <v>106</v>
      </c>
      <c r="D962" s="6" t="s">
        <v>800</v>
      </c>
      <c r="E962" s="8" t="str">
        <f>IFERROR(VLOOKUP(LOG_RESEAU[[#This Row],[Cell_ID]],Registre_Maintenance!A:B,2,FALSE),"Non trouvé")</f>
        <v>Non trouvé</v>
      </c>
      <c r="F962" s="8" t="str">
        <f>IFERROR(VLOOKUP(LOG_RESEAU[[#This Row],[Cell_ID]],Registre_Maintenance!A:C,3,FALSE),"Non trouvé")</f>
        <v>Non trouvé</v>
      </c>
      <c r="G962" s="8" t="str">
        <f>IFERROR(VLOOKUP(LOG_RESEAU[[#This Row],[Cell_ID]],Registre_Maintenance!A:D,4,FALSE),"Non trouvé")</f>
        <v>Non trouvé</v>
      </c>
      <c r="H962" s="6" t="str">
        <f>IFERROR(VLOOKUP(LOG_RESEAU[[#This Row],[Cell_ID]],Registre_Maintenance!A:E,5,FALSE),"Non trouvé")</f>
        <v>Non trouvé</v>
      </c>
      <c r="I962" s="6" t="str">
        <f>IFERROR(VLOOKUP(LOG_RESEAU[[#This Row],[Cell_ID]],Registre_Maintenance!A:F,6,FALSE),"Non trouvé")</f>
        <v>Non trouvé</v>
      </c>
      <c r="J962" s="6" t="str">
        <f t="shared" ref="J962:J1025" si="45">IF(ISERROR(SEARCH("Non trouvé",F962)),"OK","Antenne inconnue")</f>
        <v>Antenne inconnue</v>
      </c>
      <c r="K962" s="6">
        <f t="shared" ref="K962:K1025" si="46">COUNTIF(A:A,A962)</f>
        <v>5</v>
      </c>
      <c r="L962" s="6">
        <f t="shared" ref="L962:L1025" si="47">SUMIF(A:A,A962,C:C)</f>
        <v>296</v>
      </c>
    </row>
    <row r="963" spans="1:12" ht="15.75" x14ac:dyDescent="0.25">
      <c r="A963" s="6" t="s">
        <v>858</v>
      </c>
      <c r="B963" s="7">
        <v>45218.613194444442</v>
      </c>
      <c r="C963" s="6">
        <v>29</v>
      </c>
      <c r="D963" s="6" t="s">
        <v>800</v>
      </c>
      <c r="E963" s="8" t="str">
        <f>IFERROR(VLOOKUP(LOG_RESEAU[[#This Row],[Cell_ID]],Registre_Maintenance!A:B,2,FALSE),"Non trouvé")</f>
        <v>Non trouvé</v>
      </c>
      <c r="F963" s="8" t="str">
        <f>IFERROR(VLOOKUP(LOG_RESEAU[[#This Row],[Cell_ID]],Registre_Maintenance!A:C,3,FALSE),"Non trouvé")</f>
        <v>Non trouvé</v>
      </c>
      <c r="G963" s="8" t="str">
        <f>IFERROR(VLOOKUP(LOG_RESEAU[[#This Row],[Cell_ID]],Registre_Maintenance!A:D,4,FALSE),"Non trouvé")</f>
        <v>Non trouvé</v>
      </c>
      <c r="H963" s="6" t="str">
        <f>IFERROR(VLOOKUP(LOG_RESEAU[[#This Row],[Cell_ID]],Registre_Maintenance!A:E,5,FALSE),"Non trouvé")</f>
        <v>Non trouvé</v>
      </c>
      <c r="I963" s="6" t="str">
        <f>IFERROR(VLOOKUP(LOG_RESEAU[[#This Row],[Cell_ID]],Registre_Maintenance!A:F,6,FALSE),"Non trouvé")</f>
        <v>Non trouvé</v>
      </c>
      <c r="J963" s="6" t="str">
        <f t="shared" si="45"/>
        <v>Antenne inconnue</v>
      </c>
      <c r="K963" s="6">
        <f t="shared" si="46"/>
        <v>5</v>
      </c>
      <c r="L963" s="6">
        <f t="shared" si="47"/>
        <v>296</v>
      </c>
    </row>
    <row r="964" spans="1:12" ht="15.75" x14ac:dyDescent="0.25">
      <c r="A964" s="6" t="s">
        <v>858</v>
      </c>
      <c r="B964" s="7">
        <v>45220.847916666673</v>
      </c>
      <c r="C964" s="6">
        <v>79</v>
      </c>
      <c r="D964" s="6" t="s">
        <v>800</v>
      </c>
      <c r="E964" s="8" t="str">
        <f>IFERROR(VLOOKUP(LOG_RESEAU[[#This Row],[Cell_ID]],Registre_Maintenance!A:B,2,FALSE),"Non trouvé")</f>
        <v>Non trouvé</v>
      </c>
      <c r="F964" s="8" t="str">
        <f>IFERROR(VLOOKUP(LOG_RESEAU[[#This Row],[Cell_ID]],Registre_Maintenance!A:C,3,FALSE),"Non trouvé")</f>
        <v>Non trouvé</v>
      </c>
      <c r="G964" s="8" t="str">
        <f>IFERROR(VLOOKUP(LOG_RESEAU[[#This Row],[Cell_ID]],Registre_Maintenance!A:D,4,FALSE),"Non trouvé")</f>
        <v>Non trouvé</v>
      </c>
      <c r="H964" s="6" t="str">
        <f>IFERROR(VLOOKUP(LOG_RESEAU[[#This Row],[Cell_ID]],Registre_Maintenance!A:E,5,FALSE),"Non trouvé")</f>
        <v>Non trouvé</v>
      </c>
      <c r="I964" s="6" t="str">
        <f>IFERROR(VLOOKUP(LOG_RESEAU[[#This Row],[Cell_ID]],Registre_Maintenance!A:F,6,FALSE),"Non trouvé")</f>
        <v>Non trouvé</v>
      </c>
      <c r="J964" s="6" t="str">
        <f t="shared" si="45"/>
        <v>Antenne inconnue</v>
      </c>
      <c r="K964" s="6">
        <f t="shared" si="46"/>
        <v>5</v>
      </c>
      <c r="L964" s="6">
        <f t="shared" si="47"/>
        <v>296</v>
      </c>
    </row>
    <row r="965" spans="1:12" ht="15.75" x14ac:dyDescent="0.25">
      <c r="A965" s="6" t="s">
        <v>896</v>
      </c>
      <c r="B965" s="7">
        <v>45222.427083333343</v>
      </c>
      <c r="C965" s="6">
        <v>96</v>
      </c>
      <c r="D965" s="6" t="s">
        <v>794</v>
      </c>
      <c r="E965" s="8" t="str">
        <f>IFERROR(VLOOKUP(LOG_RESEAU[[#This Row],[Cell_ID]],Registre_Maintenance!A:B,2,FALSE),"Non trouvé")</f>
        <v>Lualaba</v>
      </c>
      <c r="F965" s="8">
        <f>IFERROR(VLOOKUP(LOG_RESEAU[[#This Row],[Cell_ID]],Registre_Maintenance!A:C,3,FALSE),"Non trouvé")</f>
        <v>-3.234483</v>
      </c>
      <c r="G965" s="8">
        <f>IFERROR(VLOOKUP(LOG_RESEAU[[#This Row],[Cell_ID]],Registre_Maintenance!A:D,4,FALSE),"Non trouvé")</f>
        <v>13.241939</v>
      </c>
      <c r="H965" s="6" t="str">
        <f>IFERROR(VLOOKUP(LOG_RESEAU[[#This Row],[Cell_ID]],Registre_Maintenance!A:E,5,FALSE),"Non trouvé")</f>
        <v>4G</v>
      </c>
      <c r="I965" s="6" t="str">
        <f>IFERROR(VLOOKUP(LOG_RESEAU[[#This Row],[Cell_ID]],Registre_Maintenance!A:F,6,FALSE),"Non trouvé")</f>
        <v>ZTE</v>
      </c>
      <c r="J965" s="6" t="str">
        <f t="shared" si="45"/>
        <v>OK</v>
      </c>
      <c r="K965" s="6">
        <f t="shared" si="46"/>
        <v>5</v>
      </c>
      <c r="L965" s="6">
        <f t="shared" si="47"/>
        <v>316</v>
      </c>
    </row>
    <row r="966" spans="1:12" ht="15.75" x14ac:dyDescent="0.25">
      <c r="A966" s="6" t="s">
        <v>896</v>
      </c>
      <c r="B966" s="7">
        <v>45207.634722222218</v>
      </c>
      <c r="C966" s="6">
        <v>58</v>
      </c>
      <c r="D966" s="6" t="s">
        <v>800</v>
      </c>
      <c r="E966" s="8" t="str">
        <f>IFERROR(VLOOKUP(LOG_RESEAU[[#This Row],[Cell_ID]],Registre_Maintenance!A:B,2,FALSE),"Non trouvé")</f>
        <v>Lualaba</v>
      </c>
      <c r="F966" s="8">
        <f>IFERROR(VLOOKUP(LOG_RESEAU[[#This Row],[Cell_ID]],Registre_Maintenance!A:C,3,FALSE),"Non trouvé")</f>
        <v>-3.234483</v>
      </c>
      <c r="G966" s="8">
        <f>IFERROR(VLOOKUP(LOG_RESEAU[[#This Row],[Cell_ID]],Registre_Maintenance!A:D,4,FALSE),"Non trouvé")</f>
        <v>13.241939</v>
      </c>
      <c r="H966" s="6" t="str">
        <f>IFERROR(VLOOKUP(LOG_RESEAU[[#This Row],[Cell_ID]],Registre_Maintenance!A:E,5,FALSE),"Non trouvé")</f>
        <v>4G</v>
      </c>
      <c r="I966" s="6" t="str">
        <f>IFERROR(VLOOKUP(LOG_RESEAU[[#This Row],[Cell_ID]],Registre_Maintenance!A:F,6,FALSE),"Non trouvé")</f>
        <v>ZTE</v>
      </c>
      <c r="J966" s="6" t="str">
        <f t="shared" si="45"/>
        <v>OK</v>
      </c>
      <c r="K966" s="6">
        <f t="shared" si="46"/>
        <v>5</v>
      </c>
      <c r="L966" s="6">
        <f t="shared" si="47"/>
        <v>316</v>
      </c>
    </row>
    <row r="967" spans="1:12" ht="15.75" x14ac:dyDescent="0.25">
      <c r="A967" s="6" t="s">
        <v>896</v>
      </c>
      <c r="B967" s="7">
        <v>45201.054861111108</v>
      </c>
      <c r="C967" s="6">
        <v>31</v>
      </c>
      <c r="D967" s="6" t="s">
        <v>792</v>
      </c>
      <c r="E967" s="8" t="str">
        <f>IFERROR(VLOOKUP(LOG_RESEAU[[#This Row],[Cell_ID]],Registre_Maintenance!A:B,2,FALSE),"Non trouvé")</f>
        <v>Lualaba</v>
      </c>
      <c r="F967" s="8">
        <f>IFERROR(VLOOKUP(LOG_RESEAU[[#This Row],[Cell_ID]],Registre_Maintenance!A:C,3,FALSE),"Non trouvé")</f>
        <v>-3.234483</v>
      </c>
      <c r="G967" s="8">
        <f>IFERROR(VLOOKUP(LOG_RESEAU[[#This Row],[Cell_ID]],Registre_Maintenance!A:D,4,FALSE),"Non trouvé")</f>
        <v>13.241939</v>
      </c>
      <c r="H967" s="6" t="str">
        <f>IFERROR(VLOOKUP(LOG_RESEAU[[#This Row],[Cell_ID]],Registre_Maintenance!A:E,5,FALSE),"Non trouvé")</f>
        <v>4G</v>
      </c>
      <c r="I967" s="6" t="str">
        <f>IFERROR(VLOOKUP(LOG_RESEAU[[#This Row],[Cell_ID]],Registre_Maintenance!A:F,6,FALSE),"Non trouvé")</f>
        <v>ZTE</v>
      </c>
      <c r="J967" s="6" t="str">
        <f t="shared" si="45"/>
        <v>OK</v>
      </c>
      <c r="K967" s="6">
        <f t="shared" si="46"/>
        <v>5</v>
      </c>
      <c r="L967" s="6">
        <f t="shared" si="47"/>
        <v>316</v>
      </c>
    </row>
    <row r="968" spans="1:12" ht="15.75" x14ac:dyDescent="0.25">
      <c r="A968" s="6" t="s">
        <v>896</v>
      </c>
      <c r="B968" s="7">
        <v>45211.546527777777</v>
      </c>
      <c r="C968" s="6">
        <v>116</v>
      </c>
      <c r="D968" s="6" t="s">
        <v>794</v>
      </c>
      <c r="E968" s="8" t="str">
        <f>IFERROR(VLOOKUP(LOG_RESEAU[[#This Row],[Cell_ID]],Registre_Maintenance!A:B,2,FALSE),"Non trouvé")</f>
        <v>Lualaba</v>
      </c>
      <c r="F968" s="8">
        <f>IFERROR(VLOOKUP(LOG_RESEAU[[#This Row],[Cell_ID]],Registre_Maintenance!A:C,3,FALSE),"Non trouvé")</f>
        <v>-3.234483</v>
      </c>
      <c r="G968" s="8">
        <f>IFERROR(VLOOKUP(LOG_RESEAU[[#This Row],[Cell_ID]],Registre_Maintenance!A:D,4,FALSE),"Non trouvé")</f>
        <v>13.241939</v>
      </c>
      <c r="H968" s="6" t="str">
        <f>IFERROR(VLOOKUP(LOG_RESEAU[[#This Row],[Cell_ID]],Registre_Maintenance!A:E,5,FALSE),"Non trouvé")</f>
        <v>4G</v>
      </c>
      <c r="I968" s="6" t="str">
        <f>IFERROR(VLOOKUP(LOG_RESEAU[[#This Row],[Cell_ID]],Registre_Maintenance!A:F,6,FALSE),"Non trouvé")</f>
        <v>ZTE</v>
      </c>
      <c r="J968" s="6" t="str">
        <f t="shared" si="45"/>
        <v>OK</v>
      </c>
      <c r="K968" s="6">
        <f t="shared" si="46"/>
        <v>5</v>
      </c>
      <c r="L968" s="6">
        <f t="shared" si="47"/>
        <v>316</v>
      </c>
    </row>
    <row r="969" spans="1:12" ht="15.75" x14ac:dyDescent="0.25">
      <c r="A969" s="6" t="s">
        <v>896</v>
      </c>
      <c r="B969" s="7">
        <v>45200.543749999997</v>
      </c>
      <c r="C969" s="6">
        <v>15</v>
      </c>
      <c r="D969" s="6" t="s">
        <v>792</v>
      </c>
      <c r="E969" s="8" t="str">
        <f>IFERROR(VLOOKUP(LOG_RESEAU[[#This Row],[Cell_ID]],Registre_Maintenance!A:B,2,FALSE),"Non trouvé")</f>
        <v>Lualaba</v>
      </c>
      <c r="F969" s="8">
        <f>IFERROR(VLOOKUP(LOG_RESEAU[[#This Row],[Cell_ID]],Registre_Maintenance!A:C,3,FALSE),"Non trouvé")</f>
        <v>-3.234483</v>
      </c>
      <c r="G969" s="8">
        <f>IFERROR(VLOOKUP(LOG_RESEAU[[#This Row],[Cell_ID]],Registre_Maintenance!A:D,4,FALSE),"Non trouvé")</f>
        <v>13.241939</v>
      </c>
      <c r="H969" s="6" t="str">
        <f>IFERROR(VLOOKUP(LOG_RESEAU[[#This Row],[Cell_ID]],Registre_Maintenance!A:E,5,FALSE),"Non trouvé")</f>
        <v>4G</v>
      </c>
      <c r="I969" s="6" t="str">
        <f>IFERROR(VLOOKUP(LOG_RESEAU[[#This Row],[Cell_ID]],Registre_Maintenance!A:F,6,FALSE),"Non trouvé")</f>
        <v>ZTE</v>
      </c>
      <c r="J969" s="6" t="str">
        <f t="shared" si="45"/>
        <v>OK</v>
      </c>
      <c r="K969" s="6">
        <f t="shared" si="46"/>
        <v>5</v>
      </c>
      <c r="L969" s="6">
        <f t="shared" si="47"/>
        <v>316</v>
      </c>
    </row>
    <row r="970" spans="1:12" ht="15.75" x14ac:dyDescent="0.25">
      <c r="A970" s="6" t="s">
        <v>972</v>
      </c>
      <c r="B970" s="7">
        <v>45204.20208333333</v>
      </c>
      <c r="C970" s="6">
        <v>113</v>
      </c>
      <c r="D970" s="6" t="s">
        <v>792</v>
      </c>
      <c r="E970" s="8" t="str">
        <f>IFERROR(VLOOKUP(LOG_RESEAU[[#This Row],[Cell_ID]],Registre_Maintenance!A:B,2,FALSE),"Non trouvé")</f>
        <v>Kwango</v>
      </c>
      <c r="F970" s="8">
        <f>IFERROR(VLOOKUP(LOG_RESEAU[[#This Row],[Cell_ID]],Registre_Maintenance!A:C,3,FALSE),"Non trouvé")</f>
        <v>4.8319039999999998</v>
      </c>
      <c r="G970" s="8">
        <f>IFERROR(VLOOKUP(LOG_RESEAU[[#This Row],[Cell_ID]],Registre_Maintenance!A:D,4,FALSE),"Non trouvé")</f>
        <v>20.733468999999999</v>
      </c>
      <c r="H970" s="6" t="str">
        <f>IFERROR(VLOOKUP(LOG_RESEAU[[#This Row],[Cell_ID]],Registre_Maintenance!A:E,5,FALSE),"Non trouvé")</f>
        <v>5G</v>
      </c>
      <c r="I970" s="6" t="str">
        <f>IFERROR(VLOOKUP(LOG_RESEAU[[#This Row],[Cell_ID]],Registre_Maintenance!A:F,6,FALSE),"Non trouvé")</f>
        <v>Ericsson</v>
      </c>
      <c r="J970" s="6" t="str">
        <f t="shared" si="45"/>
        <v>OK</v>
      </c>
      <c r="K970" s="6">
        <f t="shared" si="46"/>
        <v>5</v>
      </c>
      <c r="L970" s="6">
        <f t="shared" si="47"/>
        <v>307</v>
      </c>
    </row>
    <row r="971" spans="1:12" ht="15.75" x14ac:dyDescent="0.25">
      <c r="A971" s="6" t="s">
        <v>972</v>
      </c>
      <c r="B971" s="7">
        <v>45216.029166666667</v>
      </c>
      <c r="C971" s="6">
        <v>71</v>
      </c>
      <c r="D971" s="6" t="s">
        <v>794</v>
      </c>
      <c r="E971" s="8" t="str">
        <f>IFERROR(VLOOKUP(LOG_RESEAU[[#This Row],[Cell_ID]],Registre_Maintenance!A:B,2,FALSE),"Non trouvé")</f>
        <v>Kwango</v>
      </c>
      <c r="F971" s="8">
        <f>IFERROR(VLOOKUP(LOG_RESEAU[[#This Row],[Cell_ID]],Registre_Maintenance!A:C,3,FALSE),"Non trouvé")</f>
        <v>4.8319039999999998</v>
      </c>
      <c r="G971" s="8">
        <f>IFERROR(VLOOKUP(LOG_RESEAU[[#This Row],[Cell_ID]],Registre_Maintenance!A:D,4,FALSE),"Non trouvé")</f>
        <v>20.733468999999999</v>
      </c>
      <c r="H971" s="6" t="str">
        <f>IFERROR(VLOOKUP(LOG_RESEAU[[#This Row],[Cell_ID]],Registre_Maintenance!A:E,5,FALSE),"Non trouvé")</f>
        <v>5G</v>
      </c>
      <c r="I971" s="6" t="str">
        <f>IFERROR(VLOOKUP(LOG_RESEAU[[#This Row],[Cell_ID]],Registre_Maintenance!A:F,6,FALSE),"Non trouvé")</f>
        <v>Ericsson</v>
      </c>
      <c r="J971" s="6" t="str">
        <f t="shared" si="45"/>
        <v>OK</v>
      </c>
      <c r="K971" s="6">
        <f t="shared" si="46"/>
        <v>5</v>
      </c>
      <c r="L971" s="6">
        <f t="shared" si="47"/>
        <v>307</v>
      </c>
    </row>
    <row r="972" spans="1:12" ht="15.75" x14ac:dyDescent="0.25">
      <c r="A972" s="6" t="s">
        <v>972</v>
      </c>
      <c r="B972" s="7">
        <v>45208.713888888888</v>
      </c>
      <c r="C972" s="6">
        <v>22</v>
      </c>
      <c r="D972" s="6" t="s">
        <v>794</v>
      </c>
      <c r="E972" s="8" t="str">
        <f>IFERROR(VLOOKUP(LOG_RESEAU[[#This Row],[Cell_ID]],Registre_Maintenance!A:B,2,FALSE),"Non trouvé")</f>
        <v>Kwango</v>
      </c>
      <c r="F972" s="8">
        <f>IFERROR(VLOOKUP(LOG_RESEAU[[#This Row],[Cell_ID]],Registre_Maintenance!A:C,3,FALSE),"Non trouvé")</f>
        <v>4.8319039999999998</v>
      </c>
      <c r="G972" s="8">
        <f>IFERROR(VLOOKUP(LOG_RESEAU[[#This Row],[Cell_ID]],Registre_Maintenance!A:D,4,FALSE),"Non trouvé")</f>
        <v>20.733468999999999</v>
      </c>
      <c r="H972" s="6" t="str">
        <f>IFERROR(VLOOKUP(LOG_RESEAU[[#This Row],[Cell_ID]],Registre_Maintenance!A:E,5,FALSE),"Non trouvé")</f>
        <v>5G</v>
      </c>
      <c r="I972" s="6" t="str">
        <f>IFERROR(VLOOKUP(LOG_RESEAU[[#This Row],[Cell_ID]],Registre_Maintenance!A:F,6,FALSE),"Non trouvé")</f>
        <v>Ericsson</v>
      </c>
      <c r="J972" s="6" t="str">
        <f t="shared" si="45"/>
        <v>OK</v>
      </c>
      <c r="K972" s="6">
        <f t="shared" si="46"/>
        <v>5</v>
      </c>
      <c r="L972" s="6">
        <f t="shared" si="47"/>
        <v>307</v>
      </c>
    </row>
    <row r="973" spans="1:12" ht="15.75" x14ac:dyDescent="0.25">
      <c r="A973" s="6" t="s">
        <v>972</v>
      </c>
      <c r="B973" s="7">
        <v>45213.311111111107</v>
      </c>
      <c r="C973" s="6">
        <v>22</v>
      </c>
      <c r="D973" s="6" t="s">
        <v>800</v>
      </c>
      <c r="E973" s="8" t="str">
        <f>IFERROR(VLOOKUP(LOG_RESEAU[[#This Row],[Cell_ID]],Registre_Maintenance!A:B,2,FALSE),"Non trouvé")</f>
        <v>Kwango</v>
      </c>
      <c r="F973" s="8">
        <f>IFERROR(VLOOKUP(LOG_RESEAU[[#This Row],[Cell_ID]],Registre_Maintenance!A:C,3,FALSE),"Non trouvé")</f>
        <v>4.8319039999999998</v>
      </c>
      <c r="G973" s="8">
        <f>IFERROR(VLOOKUP(LOG_RESEAU[[#This Row],[Cell_ID]],Registre_Maintenance!A:D,4,FALSE),"Non trouvé")</f>
        <v>20.733468999999999</v>
      </c>
      <c r="H973" s="6" t="str">
        <f>IFERROR(VLOOKUP(LOG_RESEAU[[#This Row],[Cell_ID]],Registre_Maintenance!A:E,5,FALSE),"Non trouvé")</f>
        <v>5G</v>
      </c>
      <c r="I973" s="6" t="str">
        <f>IFERROR(VLOOKUP(LOG_RESEAU[[#This Row],[Cell_ID]],Registre_Maintenance!A:F,6,FALSE),"Non trouvé")</f>
        <v>Ericsson</v>
      </c>
      <c r="J973" s="6" t="str">
        <f t="shared" si="45"/>
        <v>OK</v>
      </c>
      <c r="K973" s="6">
        <f t="shared" si="46"/>
        <v>5</v>
      </c>
      <c r="L973" s="6">
        <f t="shared" si="47"/>
        <v>307</v>
      </c>
    </row>
    <row r="974" spans="1:12" ht="15.75" x14ac:dyDescent="0.25">
      <c r="A974" s="6" t="s">
        <v>972</v>
      </c>
      <c r="B974" s="7">
        <v>45212.311111111107</v>
      </c>
      <c r="C974" s="6">
        <v>79</v>
      </c>
      <c r="D974" s="6" t="s">
        <v>794</v>
      </c>
      <c r="E974" s="8" t="str">
        <f>IFERROR(VLOOKUP(LOG_RESEAU[[#This Row],[Cell_ID]],Registre_Maintenance!A:B,2,FALSE),"Non trouvé")</f>
        <v>Kwango</v>
      </c>
      <c r="F974" s="8">
        <f>IFERROR(VLOOKUP(LOG_RESEAU[[#This Row],[Cell_ID]],Registre_Maintenance!A:C,3,FALSE),"Non trouvé")</f>
        <v>4.8319039999999998</v>
      </c>
      <c r="G974" s="8">
        <f>IFERROR(VLOOKUP(LOG_RESEAU[[#This Row],[Cell_ID]],Registre_Maintenance!A:D,4,FALSE),"Non trouvé")</f>
        <v>20.733468999999999</v>
      </c>
      <c r="H974" s="6" t="str">
        <f>IFERROR(VLOOKUP(LOG_RESEAU[[#This Row],[Cell_ID]],Registre_Maintenance!A:E,5,FALSE),"Non trouvé")</f>
        <v>5G</v>
      </c>
      <c r="I974" s="6" t="str">
        <f>IFERROR(VLOOKUP(LOG_RESEAU[[#This Row],[Cell_ID]],Registre_Maintenance!A:F,6,FALSE),"Non trouvé")</f>
        <v>Ericsson</v>
      </c>
      <c r="J974" s="6" t="str">
        <f t="shared" si="45"/>
        <v>OK</v>
      </c>
      <c r="K974" s="6">
        <f t="shared" si="46"/>
        <v>5</v>
      </c>
      <c r="L974" s="6">
        <f t="shared" si="47"/>
        <v>307</v>
      </c>
    </row>
    <row r="975" spans="1:12" ht="15.75" x14ac:dyDescent="0.25">
      <c r="A975" s="6" t="s">
        <v>1001</v>
      </c>
      <c r="B975" s="7">
        <v>45206.162499999999</v>
      </c>
      <c r="C975" s="6">
        <v>53</v>
      </c>
      <c r="D975" s="6" t="s">
        <v>794</v>
      </c>
      <c r="E975" s="8" t="str">
        <f>IFERROR(VLOOKUP(LOG_RESEAU[[#This Row],[Cell_ID]],Registre_Maintenance!A:B,2,FALSE),"Non trouvé")</f>
        <v>Kwilu</v>
      </c>
      <c r="F975" s="8">
        <f>IFERROR(VLOOKUP(LOG_RESEAU[[#This Row],[Cell_ID]],Registre_Maintenance!A:C,3,FALSE),"Non trouvé")</f>
        <v>-10.161428000000001</v>
      </c>
      <c r="G975" s="8">
        <f>IFERROR(VLOOKUP(LOG_RESEAU[[#This Row],[Cell_ID]],Registre_Maintenance!A:D,4,FALSE),"Non trouvé")</f>
        <v>19.362325999999999</v>
      </c>
      <c r="H975" s="6" t="str">
        <f>IFERROR(VLOOKUP(LOG_RESEAU[[#This Row],[Cell_ID]],Registre_Maintenance!A:E,5,FALSE),"Non trouvé")</f>
        <v>3G</v>
      </c>
      <c r="I975" s="6" t="str">
        <f>IFERROR(VLOOKUP(LOG_RESEAU[[#This Row],[Cell_ID]],Registre_Maintenance!A:F,6,FALSE),"Non trouvé")</f>
        <v>Nokia</v>
      </c>
      <c r="J975" s="6" t="str">
        <f t="shared" si="45"/>
        <v>OK</v>
      </c>
      <c r="K975" s="6">
        <f t="shared" si="46"/>
        <v>2</v>
      </c>
      <c r="L975" s="6">
        <f t="shared" si="47"/>
        <v>165</v>
      </c>
    </row>
    <row r="976" spans="1:12" ht="15.75" x14ac:dyDescent="0.25">
      <c r="A976" s="6" t="s">
        <v>1001</v>
      </c>
      <c r="B976" s="7">
        <v>45227.091666666667</v>
      </c>
      <c r="C976" s="6">
        <v>112</v>
      </c>
      <c r="D976" s="6" t="s">
        <v>794</v>
      </c>
      <c r="E976" s="8" t="str">
        <f>IFERROR(VLOOKUP(LOG_RESEAU[[#This Row],[Cell_ID]],Registre_Maintenance!A:B,2,FALSE),"Non trouvé")</f>
        <v>Kwilu</v>
      </c>
      <c r="F976" s="8">
        <f>IFERROR(VLOOKUP(LOG_RESEAU[[#This Row],[Cell_ID]],Registre_Maintenance!A:C,3,FALSE),"Non trouvé")</f>
        <v>-10.161428000000001</v>
      </c>
      <c r="G976" s="8">
        <f>IFERROR(VLOOKUP(LOG_RESEAU[[#This Row],[Cell_ID]],Registre_Maintenance!A:D,4,FALSE),"Non trouvé")</f>
        <v>19.362325999999999</v>
      </c>
      <c r="H976" s="6" t="str">
        <f>IFERROR(VLOOKUP(LOG_RESEAU[[#This Row],[Cell_ID]],Registre_Maintenance!A:E,5,FALSE),"Non trouvé")</f>
        <v>3G</v>
      </c>
      <c r="I976" s="6" t="str">
        <f>IFERROR(VLOOKUP(LOG_RESEAU[[#This Row],[Cell_ID]],Registre_Maintenance!A:F,6,FALSE),"Non trouvé")</f>
        <v>Nokia</v>
      </c>
      <c r="J976" s="6" t="str">
        <f t="shared" si="45"/>
        <v>OK</v>
      </c>
      <c r="K976" s="6">
        <f t="shared" si="46"/>
        <v>2</v>
      </c>
      <c r="L976" s="6">
        <f t="shared" si="47"/>
        <v>165</v>
      </c>
    </row>
    <row r="977" spans="1:12" ht="15.75" x14ac:dyDescent="0.25">
      <c r="A977" s="6" t="s">
        <v>839</v>
      </c>
      <c r="B977" s="7">
        <v>45218.515972222223</v>
      </c>
      <c r="C977" s="6">
        <v>42</v>
      </c>
      <c r="D977" s="6" t="s">
        <v>794</v>
      </c>
      <c r="E977" s="8" t="str">
        <f>IFERROR(VLOOKUP(LOG_RESEAU[[#This Row],[Cell_ID]],Registre_Maintenance!A:B,2,FALSE),"Non trouvé")</f>
        <v>Haut-Uele</v>
      </c>
      <c r="F977" s="8">
        <f>IFERROR(VLOOKUP(LOG_RESEAU[[#This Row],[Cell_ID]],Registre_Maintenance!A:C,3,FALSE),"Non trouvé")</f>
        <v>1.2391989999999999</v>
      </c>
      <c r="G977" s="8">
        <f>IFERROR(VLOOKUP(LOG_RESEAU[[#This Row],[Cell_ID]],Registre_Maintenance!A:D,4,FALSE),"Non trouvé")</f>
        <v>15.386718999999999</v>
      </c>
      <c r="H977" s="6" t="str">
        <f>IFERROR(VLOOKUP(LOG_RESEAU[[#This Row],[Cell_ID]],Registre_Maintenance!A:E,5,FALSE),"Non trouvé")</f>
        <v>5G</v>
      </c>
      <c r="I977" s="6" t="str">
        <f>IFERROR(VLOOKUP(LOG_RESEAU[[#This Row],[Cell_ID]],Registre_Maintenance!A:F,6,FALSE),"Non trouvé")</f>
        <v>ZTE</v>
      </c>
      <c r="J977" s="6" t="str">
        <f t="shared" si="45"/>
        <v>OK</v>
      </c>
      <c r="K977" s="6">
        <f t="shared" si="46"/>
        <v>9</v>
      </c>
      <c r="L977" s="6">
        <f t="shared" si="47"/>
        <v>494</v>
      </c>
    </row>
    <row r="978" spans="1:12" ht="15.75" x14ac:dyDescent="0.25">
      <c r="A978" s="6" t="s">
        <v>839</v>
      </c>
      <c r="B978" s="7">
        <v>45229.443749999999</v>
      </c>
      <c r="C978" s="6">
        <v>86</v>
      </c>
      <c r="D978" s="6" t="s">
        <v>792</v>
      </c>
      <c r="E978" s="8" t="str">
        <f>IFERROR(VLOOKUP(LOG_RESEAU[[#This Row],[Cell_ID]],Registre_Maintenance!A:B,2,FALSE),"Non trouvé")</f>
        <v>Haut-Uele</v>
      </c>
      <c r="F978" s="8">
        <f>IFERROR(VLOOKUP(LOG_RESEAU[[#This Row],[Cell_ID]],Registre_Maintenance!A:C,3,FALSE),"Non trouvé")</f>
        <v>1.2391989999999999</v>
      </c>
      <c r="G978" s="8">
        <f>IFERROR(VLOOKUP(LOG_RESEAU[[#This Row],[Cell_ID]],Registre_Maintenance!A:D,4,FALSE),"Non trouvé")</f>
        <v>15.386718999999999</v>
      </c>
      <c r="H978" s="6" t="str">
        <f>IFERROR(VLOOKUP(LOG_RESEAU[[#This Row],[Cell_ID]],Registre_Maintenance!A:E,5,FALSE),"Non trouvé")</f>
        <v>5G</v>
      </c>
      <c r="I978" s="6" t="str">
        <f>IFERROR(VLOOKUP(LOG_RESEAU[[#This Row],[Cell_ID]],Registre_Maintenance!A:F,6,FALSE),"Non trouvé")</f>
        <v>ZTE</v>
      </c>
      <c r="J978" s="6" t="str">
        <f t="shared" si="45"/>
        <v>OK</v>
      </c>
      <c r="K978" s="6">
        <f t="shared" si="46"/>
        <v>9</v>
      </c>
      <c r="L978" s="6">
        <f t="shared" si="47"/>
        <v>494</v>
      </c>
    </row>
    <row r="979" spans="1:12" ht="15.75" x14ac:dyDescent="0.25">
      <c r="A979" s="6" t="s">
        <v>839</v>
      </c>
      <c r="B979" s="7">
        <v>45221.095833333333</v>
      </c>
      <c r="C979" s="6">
        <v>33</v>
      </c>
      <c r="D979" s="6" t="s">
        <v>800</v>
      </c>
      <c r="E979" s="8" t="str">
        <f>IFERROR(VLOOKUP(LOG_RESEAU[[#This Row],[Cell_ID]],Registre_Maintenance!A:B,2,FALSE),"Non trouvé")</f>
        <v>Haut-Uele</v>
      </c>
      <c r="F979" s="8">
        <f>IFERROR(VLOOKUP(LOG_RESEAU[[#This Row],[Cell_ID]],Registre_Maintenance!A:C,3,FALSE),"Non trouvé")</f>
        <v>1.2391989999999999</v>
      </c>
      <c r="G979" s="8">
        <f>IFERROR(VLOOKUP(LOG_RESEAU[[#This Row],[Cell_ID]],Registre_Maintenance!A:D,4,FALSE),"Non trouvé")</f>
        <v>15.386718999999999</v>
      </c>
      <c r="H979" s="6" t="str">
        <f>IFERROR(VLOOKUP(LOG_RESEAU[[#This Row],[Cell_ID]],Registre_Maintenance!A:E,5,FALSE),"Non trouvé")</f>
        <v>5G</v>
      </c>
      <c r="I979" s="6" t="str">
        <f>IFERROR(VLOOKUP(LOG_RESEAU[[#This Row],[Cell_ID]],Registre_Maintenance!A:F,6,FALSE),"Non trouvé")</f>
        <v>ZTE</v>
      </c>
      <c r="J979" s="6" t="str">
        <f t="shared" si="45"/>
        <v>OK</v>
      </c>
      <c r="K979" s="6">
        <f t="shared" si="46"/>
        <v>9</v>
      </c>
      <c r="L979" s="6">
        <f t="shared" si="47"/>
        <v>494</v>
      </c>
    </row>
    <row r="980" spans="1:12" ht="15.75" x14ac:dyDescent="0.25">
      <c r="A980" s="6" t="s">
        <v>839</v>
      </c>
      <c r="B980" s="7">
        <v>45224.688194444447</v>
      </c>
      <c r="C980" s="6">
        <v>120</v>
      </c>
      <c r="D980" s="6" t="s">
        <v>800</v>
      </c>
      <c r="E980" s="8" t="str">
        <f>IFERROR(VLOOKUP(LOG_RESEAU[[#This Row],[Cell_ID]],Registre_Maintenance!A:B,2,FALSE),"Non trouvé")</f>
        <v>Haut-Uele</v>
      </c>
      <c r="F980" s="8">
        <f>IFERROR(VLOOKUP(LOG_RESEAU[[#This Row],[Cell_ID]],Registre_Maintenance!A:C,3,FALSE),"Non trouvé")</f>
        <v>1.2391989999999999</v>
      </c>
      <c r="G980" s="8">
        <f>IFERROR(VLOOKUP(LOG_RESEAU[[#This Row],[Cell_ID]],Registre_Maintenance!A:D,4,FALSE),"Non trouvé")</f>
        <v>15.386718999999999</v>
      </c>
      <c r="H980" s="6" t="str">
        <f>IFERROR(VLOOKUP(LOG_RESEAU[[#This Row],[Cell_ID]],Registre_Maintenance!A:E,5,FALSE),"Non trouvé")</f>
        <v>5G</v>
      </c>
      <c r="I980" s="6" t="str">
        <f>IFERROR(VLOOKUP(LOG_RESEAU[[#This Row],[Cell_ID]],Registre_Maintenance!A:F,6,FALSE),"Non trouvé")</f>
        <v>ZTE</v>
      </c>
      <c r="J980" s="6" t="str">
        <f t="shared" si="45"/>
        <v>OK</v>
      </c>
      <c r="K980" s="6">
        <f t="shared" si="46"/>
        <v>9</v>
      </c>
      <c r="L980" s="6">
        <f t="shared" si="47"/>
        <v>494</v>
      </c>
    </row>
    <row r="981" spans="1:12" ht="15.75" x14ac:dyDescent="0.25">
      <c r="A981" s="6" t="s">
        <v>839</v>
      </c>
      <c r="B981" s="7">
        <v>45204.297222222223</v>
      </c>
      <c r="C981" s="6">
        <v>61</v>
      </c>
      <c r="D981" s="6" t="s">
        <v>792</v>
      </c>
      <c r="E981" s="8" t="str">
        <f>IFERROR(VLOOKUP(LOG_RESEAU[[#This Row],[Cell_ID]],Registre_Maintenance!A:B,2,FALSE),"Non trouvé")</f>
        <v>Haut-Uele</v>
      </c>
      <c r="F981" s="8">
        <f>IFERROR(VLOOKUP(LOG_RESEAU[[#This Row],[Cell_ID]],Registre_Maintenance!A:C,3,FALSE),"Non trouvé")</f>
        <v>1.2391989999999999</v>
      </c>
      <c r="G981" s="8">
        <f>IFERROR(VLOOKUP(LOG_RESEAU[[#This Row],[Cell_ID]],Registre_Maintenance!A:D,4,FALSE),"Non trouvé")</f>
        <v>15.386718999999999</v>
      </c>
      <c r="H981" s="6" t="str">
        <f>IFERROR(VLOOKUP(LOG_RESEAU[[#This Row],[Cell_ID]],Registre_Maintenance!A:E,5,FALSE),"Non trouvé")</f>
        <v>5G</v>
      </c>
      <c r="I981" s="6" t="str">
        <f>IFERROR(VLOOKUP(LOG_RESEAU[[#This Row],[Cell_ID]],Registre_Maintenance!A:F,6,FALSE),"Non trouvé")</f>
        <v>ZTE</v>
      </c>
      <c r="J981" s="6" t="str">
        <f t="shared" si="45"/>
        <v>OK</v>
      </c>
      <c r="K981" s="6">
        <f t="shared" si="46"/>
        <v>9</v>
      </c>
      <c r="L981" s="6">
        <f t="shared" si="47"/>
        <v>494</v>
      </c>
    </row>
    <row r="982" spans="1:12" ht="15.75" x14ac:dyDescent="0.25">
      <c r="A982" s="6" t="s">
        <v>839</v>
      </c>
      <c r="B982" s="7">
        <v>45208.594444444447</v>
      </c>
      <c r="C982" s="6">
        <v>7</v>
      </c>
      <c r="D982" s="6" t="s">
        <v>794</v>
      </c>
      <c r="E982" s="8" t="str">
        <f>IFERROR(VLOOKUP(LOG_RESEAU[[#This Row],[Cell_ID]],Registre_Maintenance!A:B,2,FALSE),"Non trouvé")</f>
        <v>Haut-Uele</v>
      </c>
      <c r="F982" s="8">
        <f>IFERROR(VLOOKUP(LOG_RESEAU[[#This Row],[Cell_ID]],Registre_Maintenance!A:C,3,FALSE),"Non trouvé")</f>
        <v>1.2391989999999999</v>
      </c>
      <c r="G982" s="8">
        <f>IFERROR(VLOOKUP(LOG_RESEAU[[#This Row],[Cell_ID]],Registre_Maintenance!A:D,4,FALSE),"Non trouvé")</f>
        <v>15.386718999999999</v>
      </c>
      <c r="H982" s="6" t="str">
        <f>IFERROR(VLOOKUP(LOG_RESEAU[[#This Row],[Cell_ID]],Registre_Maintenance!A:E,5,FALSE),"Non trouvé")</f>
        <v>5G</v>
      </c>
      <c r="I982" s="6" t="str">
        <f>IFERROR(VLOOKUP(LOG_RESEAU[[#This Row],[Cell_ID]],Registre_Maintenance!A:F,6,FALSE),"Non trouvé")</f>
        <v>ZTE</v>
      </c>
      <c r="J982" s="6" t="str">
        <f t="shared" si="45"/>
        <v>OK</v>
      </c>
      <c r="K982" s="6">
        <f t="shared" si="46"/>
        <v>9</v>
      </c>
      <c r="L982" s="6">
        <f t="shared" si="47"/>
        <v>494</v>
      </c>
    </row>
    <row r="983" spans="1:12" ht="15.75" x14ac:dyDescent="0.25">
      <c r="A983" s="6" t="s">
        <v>839</v>
      </c>
      <c r="B983" s="7">
        <v>45202.04791666667</v>
      </c>
      <c r="C983" s="6">
        <v>9</v>
      </c>
      <c r="D983" s="6" t="s">
        <v>794</v>
      </c>
      <c r="E983" s="8" t="str">
        <f>IFERROR(VLOOKUP(LOG_RESEAU[[#This Row],[Cell_ID]],Registre_Maintenance!A:B,2,FALSE),"Non trouvé")</f>
        <v>Haut-Uele</v>
      </c>
      <c r="F983" s="8">
        <f>IFERROR(VLOOKUP(LOG_RESEAU[[#This Row],[Cell_ID]],Registre_Maintenance!A:C,3,FALSE),"Non trouvé")</f>
        <v>1.2391989999999999</v>
      </c>
      <c r="G983" s="8">
        <f>IFERROR(VLOOKUP(LOG_RESEAU[[#This Row],[Cell_ID]],Registre_Maintenance!A:D,4,FALSE),"Non trouvé")</f>
        <v>15.386718999999999</v>
      </c>
      <c r="H983" s="6" t="str">
        <f>IFERROR(VLOOKUP(LOG_RESEAU[[#This Row],[Cell_ID]],Registre_Maintenance!A:E,5,FALSE),"Non trouvé")</f>
        <v>5G</v>
      </c>
      <c r="I983" s="6" t="str">
        <f>IFERROR(VLOOKUP(LOG_RESEAU[[#This Row],[Cell_ID]],Registre_Maintenance!A:F,6,FALSE),"Non trouvé")</f>
        <v>ZTE</v>
      </c>
      <c r="J983" s="6" t="str">
        <f t="shared" si="45"/>
        <v>OK</v>
      </c>
      <c r="K983" s="6">
        <f t="shared" si="46"/>
        <v>9</v>
      </c>
      <c r="L983" s="6">
        <f t="shared" si="47"/>
        <v>494</v>
      </c>
    </row>
    <row r="984" spans="1:12" ht="15.75" x14ac:dyDescent="0.25">
      <c r="A984" s="6" t="s">
        <v>839</v>
      </c>
      <c r="B984" s="7">
        <v>45207.987500000003</v>
      </c>
      <c r="C984" s="6">
        <v>21</v>
      </c>
      <c r="D984" s="6" t="s">
        <v>792</v>
      </c>
      <c r="E984" s="8" t="str">
        <f>IFERROR(VLOOKUP(LOG_RESEAU[[#This Row],[Cell_ID]],Registre_Maintenance!A:B,2,FALSE),"Non trouvé")</f>
        <v>Haut-Uele</v>
      </c>
      <c r="F984" s="8">
        <f>IFERROR(VLOOKUP(LOG_RESEAU[[#This Row],[Cell_ID]],Registre_Maintenance!A:C,3,FALSE),"Non trouvé")</f>
        <v>1.2391989999999999</v>
      </c>
      <c r="G984" s="8">
        <f>IFERROR(VLOOKUP(LOG_RESEAU[[#This Row],[Cell_ID]],Registre_Maintenance!A:D,4,FALSE),"Non trouvé")</f>
        <v>15.386718999999999</v>
      </c>
      <c r="H984" s="6" t="str">
        <f>IFERROR(VLOOKUP(LOG_RESEAU[[#This Row],[Cell_ID]],Registre_Maintenance!A:E,5,FALSE),"Non trouvé")</f>
        <v>5G</v>
      </c>
      <c r="I984" s="6" t="str">
        <f>IFERROR(VLOOKUP(LOG_RESEAU[[#This Row],[Cell_ID]],Registre_Maintenance!A:F,6,FALSE),"Non trouvé")</f>
        <v>ZTE</v>
      </c>
      <c r="J984" s="6" t="str">
        <f t="shared" si="45"/>
        <v>OK</v>
      </c>
      <c r="K984" s="6">
        <f t="shared" si="46"/>
        <v>9</v>
      </c>
      <c r="L984" s="6">
        <f t="shared" si="47"/>
        <v>494</v>
      </c>
    </row>
    <row r="985" spans="1:12" ht="15.75" x14ac:dyDescent="0.25">
      <c r="A985" s="6" t="s">
        <v>839</v>
      </c>
      <c r="B985" s="7">
        <v>45202.804166666669</v>
      </c>
      <c r="C985" s="6">
        <v>115</v>
      </c>
      <c r="D985" s="6" t="s">
        <v>800</v>
      </c>
      <c r="E985" s="8" t="str">
        <f>IFERROR(VLOOKUP(LOG_RESEAU[[#This Row],[Cell_ID]],Registre_Maintenance!A:B,2,FALSE),"Non trouvé")</f>
        <v>Haut-Uele</v>
      </c>
      <c r="F985" s="8">
        <f>IFERROR(VLOOKUP(LOG_RESEAU[[#This Row],[Cell_ID]],Registre_Maintenance!A:C,3,FALSE),"Non trouvé")</f>
        <v>1.2391989999999999</v>
      </c>
      <c r="G985" s="8">
        <f>IFERROR(VLOOKUP(LOG_RESEAU[[#This Row],[Cell_ID]],Registre_Maintenance!A:D,4,FALSE),"Non trouvé")</f>
        <v>15.386718999999999</v>
      </c>
      <c r="H985" s="6" t="str">
        <f>IFERROR(VLOOKUP(LOG_RESEAU[[#This Row],[Cell_ID]],Registre_Maintenance!A:E,5,FALSE),"Non trouvé")</f>
        <v>5G</v>
      </c>
      <c r="I985" s="6" t="str">
        <f>IFERROR(VLOOKUP(LOG_RESEAU[[#This Row],[Cell_ID]],Registre_Maintenance!A:F,6,FALSE),"Non trouvé")</f>
        <v>ZTE</v>
      </c>
      <c r="J985" s="6" t="str">
        <f t="shared" si="45"/>
        <v>OK</v>
      </c>
      <c r="K985" s="6">
        <f t="shared" si="46"/>
        <v>9</v>
      </c>
      <c r="L985" s="6">
        <f t="shared" si="47"/>
        <v>494</v>
      </c>
    </row>
    <row r="986" spans="1:12" ht="15.75" x14ac:dyDescent="0.25">
      <c r="A986" s="6" t="s">
        <v>848</v>
      </c>
      <c r="B986" s="7">
        <v>45208.847916666673</v>
      </c>
      <c r="C986" s="6">
        <v>98</v>
      </c>
      <c r="D986" s="6" t="s">
        <v>800</v>
      </c>
      <c r="E986" s="8" t="str">
        <f>IFERROR(VLOOKUP(LOG_RESEAU[[#This Row],[Cell_ID]],Registre_Maintenance!A:B,2,FALSE),"Non trouvé")</f>
        <v>Non trouvé</v>
      </c>
      <c r="F986" s="8" t="str">
        <f>IFERROR(VLOOKUP(LOG_RESEAU[[#This Row],[Cell_ID]],Registre_Maintenance!A:C,3,FALSE),"Non trouvé")</f>
        <v>Non trouvé</v>
      </c>
      <c r="G986" s="8" t="str">
        <f>IFERROR(VLOOKUP(LOG_RESEAU[[#This Row],[Cell_ID]],Registre_Maintenance!A:D,4,FALSE),"Non trouvé")</f>
        <v>Non trouvé</v>
      </c>
      <c r="H986" s="6" t="str">
        <f>IFERROR(VLOOKUP(LOG_RESEAU[[#This Row],[Cell_ID]],Registre_Maintenance!A:E,5,FALSE),"Non trouvé")</f>
        <v>Non trouvé</v>
      </c>
      <c r="I986" s="6" t="str">
        <f>IFERROR(VLOOKUP(LOG_RESEAU[[#This Row],[Cell_ID]],Registre_Maintenance!A:F,6,FALSE),"Non trouvé")</f>
        <v>Non trouvé</v>
      </c>
      <c r="J986" s="6" t="str">
        <f t="shared" si="45"/>
        <v>Antenne inconnue</v>
      </c>
      <c r="K986" s="6">
        <f t="shared" si="46"/>
        <v>7</v>
      </c>
      <c r="L986" s="6">
        <f t="shared" si="47"/>
        <v>492</v>
      </c>
    </row>
    <row r="987" spans="1:12" ht="15.75" x14ac:dyDescent="0.25">
      <c r="A987" s="6" t="s">
        <v>848</v>
      </c>
      <c r="B987" s="7">
        <v>45221.870833333327</v>
      </c>
      <c r="C987" s="6">
        <v>86</v>
      </c>
      <c r="D987" s="6" t="s">
        <v>792</v>
      </c>
      <c r="E987" s="8" t="str">
        <f>IFERROR(VLOOKUP(LOG_RESEAU[[#This Row],[Cell_ID]],Registre_Maintenance!A:B,2,FALSE),"Non trouvé")</f>
        <v>Non trouvé</v>
      </c>
      <c r="F987" s="8" t="str">
        <f>IFERROR(VLOOKUP(LOG_RESEAU[[#This Row],[Cell_ID]],Registre_Maintenance!A:C,3,FALSE),"Non trouvé")</f>
        <v>Non trouvé</v>
      </c>
      <c r="G987" s="8" t="str">
        <f>IFERROR(VLOOKUP(LOG_RESEAU[[#This Row],[Cell_ID]],Registre_Maintenance!A:D,4,FALSE),"Non trouvé")</f>
        <v>Non trouvé</v>
      </c>
      <c r="H987" s="6" t="str">
        <f>IFERROR(VLOOKUP(LOG_RESEAU[[#This Row],[Cell_ID]],Registre_Maintenance!A:E,5,FALSE),"Non trouvé")</f>
        <v>Non trouvé</v>
      </c>
      <c r="I987" s="6" t="str">
        <f>IFERROR(VLOOKUP(LOG_RESEAU[[#This Row],[Cell_ID]],Registre_Maintenance!A:F,6,FALSE),"Non trouvé")</f>
        <v>Non trouvé</v>
      </c>
      <c r="J987" s="6" t="str">
        <f t="shared" si="45"/>
        <v>Antenne inconnue</v>
      </c>
      <c r="K987" s="6">
        <f t="shared" si="46"/>
        <v>7</v>
      </c>
      <c r="L987" s="6">
        <f t="shared" si="47"/>
        <v>492</v>
      </c>
    </row>
    <row r="988" spans="1:12" ht="15.75" x14ac:dyDescent="0.25">
      <c r="A988" s="6" t="s">
        <v>848</v>
      </c>
      <c r="B988" s="7">
        <v>45204.054861111108</v>
      </c>
      <c r="C988" s="6">
        <v>8</v>
      </c>
      <c r="D988" s="6" t="s">
        <v>800</v>
      </c>
      <c r="E988" s="8" t="str">
        <f>IFERROR(VLOOKUP(LOG_RESEAU[[#This Row],[Cell_ID]],Registre_Maintenance!A:B,2,FALSE),"Non trouvé")</f>
        <v>Non trouvé</v>
      </c>
      <c r="F988" s="8" t="str">
        <f>IFERROR(VLOOKUP(LOG_RESEAU[[#This Row],[Cell_ID]],Registre_Maintenance!A:C,3,FALSE),"Non trouvé")</f>
        <v>Non trouvé</v>
      </c>
      <c r="G988" s="8" t="str">
        <f>IFERROR(VLOOKUP(LOG_RESEAU[[#This Row],[Cell_ID]],Registre_Maintenance!A:D,4,FALSE),"Non trouvé")</f>
        <v>Non trouvé</v>
      </c>
      <c r="H988" s="6" t="str">
        <f>IFERROR(VLOOKUP(LOG_RESEAU[[#This Row],[Cell_ID]],Registre_Maintenance!A:E,5,FALSE),"Non trouvé")</f>
        <v>Non trouvé</v>
      </c>
      <c r="I988" s="6" t="str">
        <f>IFERROR(VLOOKUP(LOG_RESEAU[[#This Row],[Cell_ID]],Registre_Maintenance!A:F,6,FALSE),"Non trouvé")</f>
        <v>Non trouvé</v>
      </c>
      <c r="J988" s="6" t="str">
        <f t="shared" si="45"/>
        <v>Antenne inconnue</v>
      </c>
      <c r="K988" s="6">
        <f t="shared" si="46"/>
        <v>7</v>
      </c>
      <c r="L988" s="6">
        <f t="shared" si="47"/>
        <v>492</v>
      </c>
    </row>
    <row r="989" spans="1:12" ht="15.75" x14ac:dyDescent="0.25">
      <c r="A989" s="6" t="s">
        <v>848</v>
      </c>
      <c r="B989" s="7">
        <v>45204.612500000003</v>
      </c>
      <c r="C989" s="6">
        <v>69</v>
      </c>
      <c r="D989" s="6" t="s">
        <v>794</v>
      </c>
      <c r="E989" s="8" t="str">
        <f>IFERROR(VLOOKUP(LOG_RESEAU[[#This Row],[Cell_ID]],Registre_Maintenance!A:B,2,FALSE),"Non trouvé")</f>
        <v>Non trouvé</v>
      </c>
      <c r="F989" s="8" t="str">
        <f>IFERROR(VLOOKUP(LOG_RESEAU[[#This Row],[Cell_ID]],Registre_Maintenance!A:C,3,FALSE),"Non trouvé")</f>
        <v>Non trouvé</v>
      </c>
      <c r="G989" s="8" t="str">
        <f>IFERROR(VLOOKUP(LOG_RESEAU[[#This Row],[Cell_ID]],Registre_Maintenance!A:D,4,FALSE),"Non trouvé")</f>
        <v>Non trouvé</v>
      </c>
      <c r="H989" s="6" t="str">
        <f>IFERROR(VLOOKUP(LOG_RESEAU[[#This Row],[Cell_ID]],Registre_Maintenance!A:E,5,FALSE),"Non trouvé")</f>
        <v>Non trouvé</v>
      </c>
      <c r="I989" s="6" t="str">
        <f>IFERROR(VLOOKUP(LOG_RESEAU[[#This Row],[Cell_ID]],Registre_Maintenance!A:F,6,FALSE),"Non trouvé")</f>
        <v>Non trouvé</v>
      </c>
      <c r="J989" s="6" t="str">
        <f t="shared" si="45"/>
        <v>Antenne inconnue</v>
      </c>
      <c r="K989" s="6">
        <f t="shared" si="46"/>
        <v>7</v>
      </c>
      <c r="L989" s="6">
        <f t="shared" si="47"/>
        <v>492</v>
      </c>
    </row>
    <row r="990" spans="1:12" ht="15.75" x14ac:dyDescent="0.25">
      <c r="A990" s="6" t="s">
        <v>848</v>
      </c>
      <c r="B990" s="7">
        <v>45207.40625</v>
      </c>
      <c r="C990" s="6">
        <v>51</v>
      </c>
      <c r="D990" s="6" t="s">
        <v>792</v>
      </c>
      <c r="E990" s="8" t="str">
        <f>IFERROR(VLOOKUP(LOG_RESEAU[[#This Row],[Cell_ID]],Registre_Maintenance!A:B,2,FALSE),"Non trouvé")</f>
        <v>Non trouvé</v>
      </c>
      <c r="F990" s="8" t="str">
        <f>IFERROR(VLOOKUP(LOG_RESEAU[[#This Row],[Cell_ID]],Registre_Maintenance!A:C,3,FALSE),"Non trouvé")</f>
        <v>Non trouvé</v>
      </c>
      <c r="G990" s="8" t="str">
        <f>IFERROR(VLOOKUP(LOG_RESEAU[[#This Row],[Cell_ID]],Registre_Maintenance!A:D,4,FALSE),"Non trouvé")</f>
        <v>Non trouvé</v>
      </c>
      <c r="H990" s="6" t="str">
        <f>IFERROR(VLOOKUP(LOG_RESEAU[[#This Row],[Cell_ID]],Registre_Maintenance!A:E,5,FALSE),"Non trouvé")</f>
        <v>Non trouvé</v>
      </c>
      <c r="I990" s="6" t="str">
        <f>IFERROR(VLOOKUP(LOG_RESEAU[[#This Row],[Cell_ID]],Registre_Maintenance!A:F,6,FALSE),"Non trouvé")</f>
        <v>Non trouvé</v>
      </c>
      <c r="J990" s="6" t="str">
        <f t="shared" si="45"/>
        <v>Antenne inconnue</v>
      </c>
      <c r="K990" s="6">
        <f t="shared" si="46"/>
        <v>7</v>
      </c>
      <c r="L990" s="6">
        <f t="shared" si="47"/>
        <v>492</v>
      </c>
    </row>
    <row r="991" spans="1:12" ht="15.75" x14ac:dyDescent="0.25">
      <c r="A991" s="6" t="s">
        <v>848</v>
      </c>
      <c r="B991" s="7">
        <v>45227.839583333327</v>
      </c>
      <c r="C991" s="6">
        <v>105</v>
      </c>
      <c r="D991" s="6" t="s">
        <v>794</v>
      </c>
      <c r="E991" s="8" t="str">
        <f>IFERROR(VLOOKUP(LOG_RESEAU[[#This Row],[Cell_ID]],Registre_Maintenance!A:B,2,FALSE),"Non trouvé")</f>
        <v>Non trouvé</v>
      </c>
      <c r="F991" s="8" t="str">
        <f>IFERROR(VLOOKUP(LOG_RESEAU[[#This Row],[Cell_ID]],Registre_Maintenance!A:C,3,FALSE),"Non trouvé")</f>
        <v>Non trouvé</v>
      </c>
      <c r="G991" s="8" t="str">
        <f>IFERROR(VLOOKUP(LOG_RESEAU[[#This Row],[Cell_ID]],Registre_Maintenance!A:D,4,FALSE),"Non trouvé")</f>
        <v>Non trouvé</v>
      </c>
      <c r="H991" s="6" t="str">
        <f>IFERROR(VLOOKUP(LOG_RESEAU[[#This Row],[Cell_ID]],Registre_Maintenance!A:E,5,FALSE),"Non trouvé")</f>
        <v>Non trouvé</v>
      </c>
      <c r="I991" s="6" t="str">
        <f>IFERROR(VLOOKUP(LOG_RESEAU[[#This Row],[Cell_ID]],Registre_Maintenance!A:F,6,FALSE),"Non trouvé")</f>
        <v>Non trouvé</v>
      </c>
      <c r="J991" s="6" t="str">
        <f t="shared" si="45"/>
        <v>Antenne inconnue</v>
      </c>
      <c r="K991" s="6">
        <f t="shared" si="46"/>
        <v>7</v>
      </c>
      <c r="L991" s="6">
        <f t="shared" si="47"/>
        <v>492</v>
      </c>
    </row>
    <row r="992" spans="1:12" ht="15.75" x14ac:dyDescent="0.25">
      <c r="A992" s="6" t="s">
        <v>848</v>
      </c>
      <c r="B992" s="7">
        <v>45206.902777777781</v>
      </c>
      <c r="C992" s="6">
        <v>75</v>
      </c>
      <c r="D992" s="6" t="s">
        <v>792</v>
      </c>
      <c r="E992" s="8" t="str">
        <f>IFERROR(VLOOKUP(LOG_RESEAU[[#This Row],[Cell_ID]],Registre_Maintenance!A:B,2,FALSE),"Non trouvé")</f>
        <v>Non trouvé</v>
      </c>
      <c r="F992" s="8" t="str">
        <f>IFERROR(VLOOKUP(LOG_RESEAU[[#This Row],[Cell_ID]],Registre_Maintenance!A:C,3,FALSE),"Non trouvé")</f>
        <v>Non trouvé</v>
      </c>
      <c r="G992" s="8" t="str">
        <f>IFERROR(VLOOKUP(LOG_RESEAU[[#This Row],[Cell_ID]],Registre_Maintenance!A:D,4,FALSE),"Non trouvé")</f>
        <v>Non trouvé</v>
      </c>
      <c r="H992" s="6" t="str">
        <f>IFERROR(VLOOKUP(LOG_RESEAU[[#This Row],[Cell_ID]],Registre_Maintenance!A:E,5,FALSE),"Non trouvé")</f>
        <v>Non trouvé</v>
      </c>
      <c r="I992" s="6" t="str">
        <f>IFERROR(VLOOKUP(LOG_RESEAU[[#This Row],[Cell_ID]],Registre_Maintenance!A:F,6,FALSE),"Non trouvé")</f>
        <v>Non trouvé</v>
      </c>
      <c r="J992" s="6" t="str">
        <f t="shared" si="45"/>
        <v>Antenne inconnue</v>
      </c>
      <c r="K992" s="6">
        <f t="shared" si="46"/>
        <v>7</v>
      </c>
      <c r="L992" s="6">
        <f t="shared" si="47"/>
        <v>492</v>
      </c>
    </row>
    <row r="993" spans="1:12" ht="15.75" x14ac:dyDescent="0.25">
      <c r="A993" s="6" t="s">
        <v>816</v>
      </c>
      <c r="B993" s="7">
        <v>45220.830555555563</v>
      </c>
      <c r="C993" s="6">
        <v>100</v>
      </c>
      <c r="D993" s="6" t="s">
        <v>792</v>
      </c>
      <c r="E993" s="8" t="str">
        <f>IFERROR(VLOOKUP(LOG_RESEAU[[#This Row],[Cell_ID]],Registre_Maintenance!A:B,2,FALSE),"Non trouvé")</f>
        <v>Nord-Kivu</v>
      </c>
      <c r="F993" s="8">
        <f>IFERROR(VLOOKUP(LOG_RESEAU[[#This Row],[Cell_ID]],Registre_Maintenance!A:C,3,FALSE),"Non trouvé")</f>
        <v>-6.0234120000000004</v>
      </c>
      <c r="G993" s="8">
        <f>IFERROR(VLOOKUP(LOG_RESEAU[[#This Row],[Cell_ID]],Registre_Maintenance!A:D,4,FALSE),"Non trouvé")</f>
        <v>18.314309999999999</v>
      </c>
      <c r="H993" s="6" t="str">
        <f>IFERROR(VLOOKUP(LOG_RESEAU[[#This Row],[Cell_ID]],Registre_Maintenance!A:E,5,FALSE),"Non trouvé")</f>
        <v>5G</v>
      </c>
      <c r="I993" s="6" t="str">
        <f>IFERROR(VLOOKUP(LOG_RESEAU[[#This Row],[Cell_ID]],Registre_Maintenance!A:F,6,FALSE),"Non trouvé")</f>
        <v>ZTE</v>
      </c>
      <c r="J993" s="6" t="str">
        <f t="shared" si="45"/>
        <v>OK</v>
      </c>
      <c r="K993" s="6">
        <f t="shared" si="46"/>
        <v>4</v>
      </c>
      <c r="L993" s="6">
        <f t="shared" si="47"/>
        <v>257</v>
      </c>
    </row>
    <row r="994" spans="1:12" ht="15.75" x14ac:dyDescent="0.25">
      <c r="A994" s="6" t="s">
        <v>816</v>
      </c>
      <c r="B994" s="7">
        <v>45230.788888888892</v>
      </c>
      <c r="C994" s="6">
        <v>28</v>
      </c>
      <c r="D994" s="6" t="s">
        <v>794</v>
      </c>
      <c r="E994" s="8" t="str">
        <f>IFERROR(VLOOKUP(LOG_RESEAU[[#This Row],[Cell_ID]],Registre_Maintenance!A:B,2,FALSE),"Non trouvé")</f>
        <v>Nord-Kivu</v>
      </c>
      <c r="F994" s="8">
        <f>IFERROR(VLOOKUP(LOG_RESEAU[[#This Row],[Cell_ID]],Registre_Maintenance!A:C,3,FALSE),"Non trouvé")</f>
        <v>-6.0234120000000004</v>
      </c>
      <c r="G994" s="8">
        <f>IFERROR(VLOOKUP(LOG_RESEAU[[#This Row],[Cell_ID]],Registre_Maintenance!A:D,4,FALSE),"Non trouvé")</f>
        <v>18.314309999999999</v>
      </c>
      <c r="H994" s="6" t="str">
        <f>IFERROR(VLOOKUP(LOG_RESEAU[[#This Row],[Cell_ID]],Registre_Maintenance!A:E,5,FALSE),"Non trouvé")</f>
        <v>5G</v>
      </c>
      <c r="I994" s="6" t="str">
        <f>IFERROR(VLOOKUP(LOG_RESEAU[[#This Row],[Cell_ID]],Registre_Maintenance!A:F,6,FALSE),"Non trouvé")</f>
        <v>ZTE</v>
      </c>
      <c r="J994" s="6" t="str">
        <f t="shared" si="45"/>
        <v>OK</v>
      </c>
      <c r="K994" s="6">
        <f t="shared" si="46"/>
        <v>4</v>
      </c>
      <c r="L994" s="6">
        <f t="shared" si="47"/>
        <v>257</v>
      </c>
    </row>
    <row r="995" spans="1:12" ht="15.75" x14ac:dyDescent="0.25">
      <c r="A995" s="6" t="s">
        <v>816</v>
      </c>
      <c r="B995" s="7">
        <v>45222.40347222222</v>
      </c>
      <c r="C995" s="6">
        <v>41</v>
      </c>
      <c r="D995" s="6" t="s">
        <v>794</v>
      </c>
      <c r="E995" s="8" t="str">
        <f>IFERROR(VLOOKUP(LOG_RESEAU[[#This Row],[Cell_ID]],Registre_Maintenance!A:B,2,FALSE),"Non trouvé")</f>
        <v>Nord-Kivu</v>
      </c>
      <c r="F995" s="8">
        <f>IFERROR(VLOOKUP(LOG_RESEAU[[#This Row],[Cell_ID]],Registre_Maintenance!A:C,3,FALSE),"Non trouvé")</f>
        <v>-6.0234120000000004</v>
      </c>
      <c r="G995" s="8">
        <f>IFERROR(VLOOKUP(LOG_RESEAU[[#This Row],[Cell_ID]],Registre_Maintenance!A:D,4,FALSE),"Non trouvé")</f>
        <v>18.314309999999999</v>
      </c>
      <c r="H995" s="6" t="str">
        <f>IFERROR(VLOOKUP(LOG_RESEAU[[#This Row],[Cell_ID]],Registre_Maintenance!A:E,5,FALSE),"Non trouvé")</f>
        <v>5G</v>
      </c>
      <c r="I995" s="6" t="str">
        <f>IFERROR(VLOOKUP(LOG_RESEAU[[#This Row],[Cell_ID]],Registre_Maintenance!A:F,6,FALSE),"Non trouvé")</f>
        <v>ZTE</v>
      </c>
      <c r="J995" s="6" t="str">
        <f t="shared" si="45"/>
        <v>OK</v>
      </c>
      <c r="K995" s="6">
        <f t="shared" si="46"/>
        <v>4</v>
      </c>
      <c r="L995" s="6">
        <f t="shared" si="47"/>
        <v>257</v>
      </c>
    </row>
    <row r="996" spans="1:12" ht="15.75" x14ac:dyDescent="0.25">
      <c r="A996" s="6" t="s">
        <v>816</v>
      </c>
      <c r="B996" s="7">
        <v>45221.928472222222</v>
      </c>
      <c r="C996" s="6">
        <v>88</v>
      </c>
      <c r="D996" s="6" t="s">
        <v>800</v>
      </c>
      <c r="E996" s="8" t="str">
        <f>IFERROR(VLOOKUP(LOG_RESEAU[[#This Row],[Cell_ID]],Registre_Maintenance!A:B,2,FALSE),"Non trouvé")</f>
        <v>Nord-Kivu</v>
      </c>
      <c r="F996" s="8">
        <f>IFERROR(VLOOKUP(LOG_RESEAU[[#This Row],[Cell_ID]],Registre_Maintenance!A:C,3,FALSE),"Non trouvé")</f>
        <v>-6.0234120000000004</v>
      </c>
      <c r="G996" s="8">
        <f>IFERROR(VLOOKUP(LOG_RESEAU[[#This Row],[Cell_ID]],Registre_Maintenance!A:D,4,FALSE),"Non trouvé")</f>
        <v>18.314309999999999</v>
      </c>
      <c r="H996" s="6" t="str">
        <f>IFERROR(VLOOKUP(LOG_RESEAU[[#This Row],[Cell_ID]],Registre_Maintenance!A:E,5,FALSE),"Non trouvé")</f>
        <v>5G</v>
      </c>
      <c r="I996" s="6" t="str">
        <f>IFERROR(VLOOKUP(LOG_RESEAU[[#This Row],[Cell_ID]],Registre_Maintenance!A:F,6,FALSE),"Non trouvé")</f>
        <v>ZTE</v>
      </c>
      <c r="J996" s="6" t="str">
        <f t="shared" si="45"/>
        <v>OK</v>
      </c>
      <c r="K996" s="6">
        <f t="shared" si="46"/>
        <v>4</v>
      </c>
      <c r="L996" s="6">
        <f t="shared" si="47"/>
        <v>257</v>
      </c>
    </row>
    <row r="997" spans="1:12" ht="15.75" x14ac:dyDescent="0.25">
      <c r="A997" s="6" t="s">
        <v>941</v>
      </c>
      <c r="B997" s="7">
        <v>45228.240972222222</v>
      </c>
      <c r="C997" s="6">
        <v>26</v>
      </c>
      <c r="D997" s="6" t="s">
        <v>792</v>
      </c>
      <c r="E997" s="8" t="str">
        <f>IFERROR(VLOOKUP(LOG_RESEAU[[#This Row],[Cell_ID]],Registre_Maintenance!A:B,2,FALSE),"Non trouvé")</f>
        <v>Haut-Uele</v>
      </c>
      <c r="F997" s="8">
        <f>IFERROR(VLOOKUP(LOG_RESEAU[[#This Row],[Cell_ID]],Registre_Maintenance!A:C,3,FALSE),"Non trouvé")</f>
        <v>-2.5254650000000001</v>
      </c>
      <c r="G997" s="8">
        <f>IFERROR(VLOOKUP(LOG_RESEAU[[#This Row],[Cell_ID]],Registre_Maintenance!A:D,4,FALSE),"Non trouvé")</f>
        <v>21.338113</v>
      </c>
      <c r="H997" s="6" t="str">
        <f>IFERROR(VLOOKUP(LOG_RESEAU[[#This Row],[Cell_ID]],Registre_Maintenance!A:E,5,FALSE),"Non trouvé")</f>
        <v>5G</v>
      </c>
      <c r="I997" s="6" t="str">
        <f>IFERROR(VLOOKUP(LOG_RESEAU[[#This Row],[Cell_ID]],Registre_Maintenance!A:F,6,FALSE),"Non trouvé")</f>
        <v>Nokia</v>
      </c>
      <c r="J997" s="6" t="str">
        <f t="shared" si="45"/>
        <v>OK</v>
      </c>
      <c r="K997" s="6">
        <f t="shared" si="46"/>
        <v>1</v>
      </c>
      <c r="L997" s="6">
        <f t="shared" si="47"/>
        <v>26</v>
      </c>
    </row>
    <row r="998" spans="1:12" ht="15.75" x14ac:dyDescent="0.25">
      <c r="A998" s="6" t="s">
        <v>882</v>
      </c>
      <c r="B998" s="7">
        <v>45201.856944444437</v>
      </c>
      <c r="C998" s="6">
        <v>19</v>
      </c>
      <c r="D998" s="6" t="s">
        <v>794</v>
      </c>
      <c r="E998" s="8" t="str">
        <f>IFERROR(VLOOKUP(LOG_RESEAU[[#This Row],[Cell_ID]],Registre_Maintenance!A:B,2,FALSE),"Non trouvé")</f>
        <v>Non trouvé</v>
      </c>
      <c r="F998" s="8" t="str">
        <f>IFERROR(VLOOKUP(LOG_RESEAU[[#This Row],[Cell_ID]],Registre_Maintenance!A:C,3,FALSE),"Non trouvé")</f>
        <v>Non trouvé</v>
      </c>
      <c r="G998" s="8" t="str">
        <f>IFERROR(VLOOKUP(LOG_RESEAU[[#This Row],[Cell_ID]],Registre_Maintenance!A:D,4,FALSE),"Non trouvé")</f>
        <v>Non trouvé</v>
      </c>
      <c r="H998" s="6" t="str">
        <f>IFERROR(VLOOKUP(LOG_RESEAU[[#This Row],[Cell_ID]],Registre_Maintenance!A:E,5,FALSE),"Non trouvé")</f>
        <v>Non trouvé</v>
      </c>
      <c r="I998" s="6" t="str">
        <f>IFERROR(VLOOKUP(LOG_RESEAU[[#This Row],[Cell_ID]],Registre_Maintenance!A:F,6,FALSE),"Non trouvé")</f>
        <v>Non trouvé</v>
      </c>
      <c r="J998" s="6" t="str">
        <f t="shared" si="45"/>
        <v>Antenne inconnue</v>
      </c>
      <c r="K998" s="6">
        <f t="shared" si="46"/>
        <v>5</v>
      </c>
      <c r="L998" s="6">
        <f t="shared" si="47"/>
        <v>246</v>
      </c>
    </row>
    <row r="999" spans="1:12" ht="15.75" x14ac:dyDescent="0.25">
      <c r="A999" s="6" t="s">
        <v>882</v>
      </c>
      <c r="B999" s="7">
        <v>45216.370138888888</v>
      </c>
      <c r="C999" s="6">
        <v>74</v>
      </c>
      <c r="D999" s="6" t="s">
        <v>792</v>
      </c>
      <c r="E999" s="8" t="str">
        <f>IFERROR(VLOOKUP(LOG_RESEAU[[#This Row],[Cell_ID]],Registre_Maintenance!A:B,2,FALSE),"Non trouvé")</f>
        <v>Non trouvé</v>
      </c>
      <c r="F999" s="8" t="str">
        <f>IFERROR(VLOOKUP(LOG_RESEAU[[#This Row],[Cell_ID]],Registre_Maintenance!A:C,3,FALSE),"Non trouvé")</f>
        <v>Non trouvé</v>
      </c>
      <c r="G999" s="8" t="str">
        <f>IFERROR(VLOOKUP(LOG_RESEAU[[#This Row],[Cell_ID]],Registre_Maintenance!A:D,4,FALSE),"Non trouvé")</f>
        <v>Non trouvé</v>
      </c>
      <c r="H999" s="6" t="str">
        <f>IFERROR(VLOOKUP(LOG_RESEAU[[#This Row],[Cell_ID]],Registre_Maintenance!A:E,5,FALSE),"Non trouvé")</f>
        <v>Non trouvé</v>
      </c>
      <c r="I999" s="6" t="str">
        <f>IFERROR(VLOOKUP(LOG_RESEAU[[#This Row],[Cell_ID]],Registre_Maintenance!A:F,6,FALSE),"Non trouvé")</f>
        <v>Non trouvé</v>
      </c>
      <c r="J999" s="6" t="str">
        <f t="shared" si="45"/>
        <v>Antenne inconnue</v>
      </c>
      <c r="K999" s="6">
        <f t="shared" si="46"/>
        <v>5</v>
      </c>
      <c r="L999" s="6">
        <f t="shared" si="47"/>
        <v>246</v>
      </c>
    </row>
    <row r="1000" spans="1:12" ht="15.75" x14ac:dyDescent="0.25">
      <c r="A1000" s="6" t="s">
        <v>882</v>
      </c>
      <c r="B1000" s="7">
        <v>45227.407638888893</v>
      </c>
      <c r="C1000" s="6">
        <v>63</v>
      </c>
      <c r="D1000" s="6" t="s">
        <v>794</v>
      </c>
      <c r="E1000" s="8" t="str">
        <f>IFERROR(VLOOKUP(LOG_RESEAU[[#This Row],[Cell_ID]],Registre_Maintenance!A:B,2,FALSE),"Non trouvé")</f>
        <v>Non trouvé</v>
      </c>
      <c r="F1000" s="8" t="str">
        <f>IFERROR(VLOOKUP(LOG_RESEAU[[#This Row],[Cell_ID]],Registre_Maintenance!A:C,3,FALSE),"Non trouvé")</f>
        <v>Non trouvé</v>
      </c>
      <c r="G1000" s="8" t="str">
        <f>IFERROR(VLOOKUP(LOG_RESEAU[[#This Row],[Cell_ID]],Registre_Maintenance!A:D,4,FALSE),"Non trouvé")</f>
        <v>Non trouvé</v>
      </c>
      <c r="H1000" s="6" t="str">
        <f>IFERROR(VLOOKUP(LOG_RESEAU[[#This Row],[Cell_ID]],Registre_Maintenance!A:E,5,FALSE),"Non trouvé")</f>
        <v>Non trouvé</v>
      </c>
      <c r="I1000" s="6" t="str">
        <f>IFERROR(VLOOKUP(LOG_RESEAU[[#This Row],[Cell_ID]],Registre_Maintenance!A:F,6,FALSE),"Non trouvé")</f>
        <v>Non trouvé</v>
      </c>
      <c r="J1000" s="6" t="str">
        <f t="shared" si="45"/>
        <v>Antenne inconnue</v>
      </c>
      <c r="K1000" s="6">
        <f t="shared" si="46"/>
        <v>5</v>
      </c>
      <c r="L1000" s="6">
        <f t="shared" si="47"/>
        <v>246</v>
      </c>
    </row>
    <row r="1001" spans="1:12" ht="15.75" x14ac:dyDescent="0.25">
      <c r="A1001" s="6" t="s">
        <v>882</v>
      </c>
      <c r="B1001" s="7">
        <v>45226.895138888889</v>
      </c>
      <c r="C1001" s="6">
        <v>76</v>
      </c>
      <c r="D1001" s="6" t="s">
        <v>800</v>
      </c>
      <c r="E1001" s="8" t="str">
        <f>IFERROR(VLOOKUP(LOG_RESEAU[[#This Row],[Cell_ID]],Registre_Maintenance!A:B,2,FALSE),"Non trouvé")</f>
        <v>Non trouvé</v>
      </c>
      <c r="F1001" s="8" t="str">
        <f>IFERROR(VLOOKUP(LOG_RESEAU[[#This Row],[Cell_ID]],Registre_Maintenance!A:C,3,FALSE),"Non trouvé")</f>
        <v>Non trouvé</v>
      </c>
      <c r="G1001" s="8" t="str">
        <f>IFERROR(VLOOKUP(LOG_RESEAU[[#This Row],[Cell_ID]],Registre_Maintenance!A:D,4,FALSE),"Non trouvé")</f>
        <v>Non trouvé</v>
      </c>
      <c r="H1001" s="6" t="str">
        <f>IFERROR(VLOOKUP(LOG_RESEAU[[#This Row],[Cell_ID]],Registre_Maintenance!A:E,5,FALSE),"Non trouvé")</f>
        <v>Non trouvé</v>
      </c>
      <c r="I1001" s="6" t="str">
        <f>IFERROR(VLOOKUP(LOG_RESEAU[[#This Row],[Cell_ID]],Registre_Maintenance!A:F,6,FALSE),"Non trouvé")</f>
        <v>Non trouvé</v>
      </c>
      <c r="J1001" s="6" t="str">
        <f t="shared" si="45"/>
        <v>Antenne inconnue</v>
      </c>
      <c r="K1001" s="6">
        <f t="shared" si="46"/>
        <v>5</v>
      </c>
      <c r="L1001" s="6">
        <f t="shared" si="47"/>
        <v>246</v>
      </c>
    </row>
    <row r="1002" spans="1:12" ht="15.75" x14ac:dyDescent="0.25">
      <c r="A1002" s="6" t="s">
        <v>882</v>
      </c>
      <c r="B1002" s="7">
        <v>45217.324305555558</v>
      </c>
      <c r="C1002" s="6">
        <v>14</v>
      </c>
      <c r="D1002" s="6" t="s">
        <v>800</v>
      </c>
      <c r="E1002" s="8" t="str">
        <f>IFERROR(VLOOKUP(LOG_RESEAU[[#This Row],[Cell_ID]],Registre_Maintenance!A:B,2,FALSE),"Non trouvé")</f>
        <v>Non trouvé</v>
      </c>
      <c r="F1002" s="8" t="str">
        <f>IFERROR(VLOOKUP(LOG_RESEAU[[#This Row],[Cell_ID]],Registre_Maintenance!A:C,3,FALSE),"Non trouvé")</f>
        <v>Non trouvé</v>
      </c>
      <c r="G1002" s="8" t="str">
        <f>IFERROR(VLOOKUP(LOG_RESEAU[[#This Row],[Cell_ID]],Registre_Maintenance!A:D,4,FALSE),"Non trouvé")</f>
        <v>Non trouvé</v>
      </c>
      <c r="H1002" s="6" t="str">
        <f>IFERROR(VLOOKUP(LOG_RESEAU[[#This Row],[Cell_ID]],Registre_Maintenance!A:E,5,FALSE),"Non trouvé")</f>
        <v>Non trouvé</v>
      </c>
      <c r="I1002" s="6" t="str">
        <f>IFERROR(VLOOKUP(LOG_RESEAU[[#This Row],[Cell_ID]],Registre_Maintenance!A:F,6,FALSE),"Non trouvé")</f>
        <v>Non trouvé</v>
      </c>
      <c r="J1002" s="6" t="str">
        <f t="shared" si="45"/>
        <v>Antenne inconnue</v>
      </c>
      <c r="K1002" s="6">
        <f t="shared" si="46"/>
        <v>5</v>
      </c>
      <c r="L1002" s="6">
        <f t="shared" si="47"/>
        <v>246</v>
      </c>
    </row>
    <row r="1003" spans="1:12" ht="15.75" x14ac:dyDescent="0.25">
      <c r="A1003" s="6" t="s">
        <v>861</v>
      </c>
      <c r="B1003" s="7">
        <v>45215.715277777781</v>
      </c>
      <c r="C1003" s="6">
        <v>113</v>
      </c>
      <c r="D1003" s="6" t="s">
        <v>794</v>
      </c>
      <c r="E1003" s="8" t="str">
        <f>IFERROR(VLOOKUP(LOG_RESEAU[[#This Row],[Cell_ID]],Registre_Maintenance!A:B,2,FALSE),"Non trouvé")</f>
        <v>Non trouvé</v>
      </c>
      <c r="F1003" s="8" t="str">
        <f>IFERROR(VLOOKUP(LOG_RESEAU[[#This Row],[Cell_ID]],Registre_Maintenance!A:C,3,FALSE),"Non trouvé")</f>
        <v>Non trouvé</v>
      </c>
      <c r="G1003" s="8" t="str">
        <f>IFERROR(VLOOKUP(LOG_RESEAU[[#This Row],[Cell_ID]],Registre_Maintenance!A:D,4,FALSE),"Non trouvé")</f>
        <v>Non trouvé</v>
      </c>
      <c r="H1003" s="6" t="str">
        <f>IFERROR(VLOOKUP(LOG_RESEAU[[#This Row],[Cell_ID]],Registre_Maintenance!A:E,5,FALSE),"Non trouvé")</f>
        <v>Non trouvé</v>
      </c>
      <c r="I1003" s="6" t="str">
        <f>IFERROR(VLOOKUP(LOG_RESEAU[[#This Row],[Cell_ID]],Registre_Maintenance!A:F,6,FALSE),"Non trouvé")</f>
        <v>Non trouvé</v>
      </c>
      <c r="J1003" s="6" t="str">
        <f t="shared" si="45"/>
        <v>Antenne inconnue</v>
      </c>
      <c r="K1003" s="6">
        <f t="shared" si="46"/>
        <v>7</v>
      </c>
      <c r="L1003" s="6">
        <f t="shared" si="47"/>
        <v>366</v>
      </c>
    </row>
    <row r="1004" spans="1:12" ht="15.75" x14ac:dyDescent="0.25">
      <c r="A1004" s="6" t="s">
        <v>861</v>
      </c>
      <c r="B1004" s="7" t="s">
        <v>915</v>
      </c>
      <c r="C1004" s="6">
        <v>16</v>
      </c>
      <c r="D1004" s="6" t="s">
        <v>800</v>
      </c>
      <c r="E1004" s="8" t="str">
        <f>IFERROR(VLOOKUP(LOG_RESEAU[[#This Row],[Cell_ID]],Registre_Maintenance!A:B,2,FALSE),"Non trouvé")</f>
        <v>Non trouvé</v>
      </c>
      <c r="F1004" s="8" t="str">
        <f>IFERROR(VLOOKUP(LOG_RESEAU[[#This Row],[Cell_ID]],Registre_Maintenance!A:C,3,FALSE),"Non trouvé")</f>
        <v>Non trouvé</v>
      </c>
      <c r="G1004" s="8" t="str">
        <f>IFERROR(VLOOKUP(LOG_RESEAU[[#This Row],[Cell_ID]],Registre_Maintenance!A:D,4,FALSE),"Non trouvé")</f>
        <v>Non trouvé</v>
      </c>
      <c r="H1004" s="6" t="str">
        <f>IFERROR(VLOOKUP(LOG_RESEAU[[#This Row],[Cell_ID]],Registre_Maintenance!A:E,5,FALSE),"Non trouvé")</f>
        <v>Non trouvé</v>
      </c>
      <c r="I1004" s="6" t="str">
        <f>IFERROR(VLOOKUP(LOG_RESEAU[[#This Row],[Cell_ID]],Registre_Maintenance!A:F,6,FALSE),"Non trouvé")</f>
        <v>Non trouvé</v>
      </c>
      <c r="J1004" s="6" t="str">
        <f t="shared" si="45"/>
        <v>Antenne inconnue</v>
      </c>
      <c r="K1004" s="6">
        <f t="shared" si="46"/>
        <v>7</v>
      </c>
      <c r="L1004" s="6">
        <f t="shared" si="47"/>
        <v>366</v>
      </c>
    </row>
    <row r="1005" spans="1:12" ht="15.75" x14ac:dyDescent="0.25">
      <c r="A1005" s="6" t="s">
        <v>861</v>
      </c>
      <c r="B1005" s="7">
        <v>45226.013194444437</v>
      </c>
      <c r="C1005" s="6">
        <v>71</v>
      </c>
      <c r="D1005" s="6" t="s">
        <v>794</v>
      </c>
      <c r="E1005" s="8" t="str">
        <f>IFERROR(VLOOKUP(LOG_RESEAU[[#This Row],[Cell_ID]],Registre_Maintenance!A:B,2,FALSE),"Non trouvé")</f>
        <v>Non trouvé</v>
      </c>
      <c r="F1005" s="8" t="str">
        <f>IFERROR(VLOOKUP(LOG_RESEAU[[#This Row],[Cell_ID]],Registre_Maintenance!A:C,3,FALSE),"Non trouvé")</f>
        <v>Non trouvé</v>
      </c>
      <c r="G1005" s="8" t="str">
        <f>IFERROR(VLOOKUP(LOG_RESEAU[[#This Row],[Cell_ID]],Registre_Maintenance!A:D,4,FALSE),"Non trouvé")</f>
        <v>Non trouvé</v>
      </c>
      <c r="H1005" s="6" t="str">
        <f>IFERROR(VLOOKUP(LOG_RESEAU[[#This Row],[Cell_ID]],Registre_Maintenance!A:E,5,FALSE),"Non trouvé")</f>
        <v>Non trouvé</v>
      </c>
      <c r="I1005" s="6" t="str">
        <f>IFERROR(VLOOKUP(LOG_RESEAU[[#This Row],[Cell_ID]],Registre_Maintenance!A:F,6,FALSE),"Non trouvé")</f>
        <v>Non trouvé</v>
      </c>
      <c r="J1005" s="6" t="str">
        <f t="shared" si="45"/>
        <v>Antenne inconnue</v>
      </c>
      <c r="K1005" s="6">
        <f t="shared" si="46"/>
        <v>7</v>
      </c>
      <c r="L1005" s="6">
        <f t="shared" si="47"/>
        <v>366</v>
      </c>
    </row>
    <row r="1006" spans="1:12" ht="15.75" x14ac:dyDescent="0.25">
      <c r="A1006" s="6" t="s">
        <v>861</v>
      </c>
      <c r="B1006" s="7">
        <v>45210.61041666667</v>
      </c>
      <c r="C1006" s="6">
        <v>26</v>
      </c>
      <c r="D1006" s="6" t="s">
        <v>792</v>
      </c>
      <c r="E1006" s="8" t="str">
        <f>IFERROR(VLOOKUP(LOG_RESEAU[[#This Row],[Cell_ID]],Registre_Maintenance!A:B,2,FALSE),"Non trouvé")</f>
        <v>Non trouvé</v>
      </c>
      <c r="F1006" s="8" t="str">
        <f>IFERROR(VLOOKUP(LOG_RESEAU[[#This Row],[Cell_ID]],Registre_Maintenance!A:C,3,FALSE),"Non trouvé")</f>
        <v>Non trouvé</v>
      </c>
      <c r="G1006" s="8" t="str">
        <f>IFERROR(VLOOKUP(LOG_RESEAU[[#This Row],[Cell_ID]],Registre_Maintenance!A:D,4,FALSE),"Non trouvé")</f>
        <v>Non trouvé</v>
      </c>
      <c r="H1006" s="6" t="str">
        <f>IFERROR(VLOOKUP(LOG_RESEAU[[#This Row],[Cell_ID]],Registre_Maintenance!A:E,5,FALSE),"Non trouvé")</f>
        <v>Non trouvé</v>
      </c>
      <c r="I1006" s="6" t="str">
        <f>IFERROR(VLOOKUP(LOG_RESEAU[[#This Row],[Cell_ID]],Registre_Maintenance!A:F,6,FALSE),"Non trouvé")</f>
        <v>Non trouvé</v>
      </c>
      <c r="J1006" s="6" t="str">
        <f t="shared" si="45"/>
        <v>Antenne inconnue</v>
      </c>
      <c r="K1006" s="6">
        <f t="shared" si="46"/>
        <v>7</v>
      </c>
      <c r="L1006" s="6">
        <f t="shared" si="47"/>
        <v>366</v>
      </c>
    </row>
    <row r="1007" spans="1:12" ht="15.75" x14ac:dyDescent="0.25">
      <c r="A1007" s="6" t="s">
        <v>861</v>
      </c>
      <c r="B1007" s="7">
        <v>45205.018055555563</v>
      </c>
      <c r="C1007" s="6">
        <v>77</v>
      </c>
      <c r="D1007" s="6" t="s">
        <v>792</v>
      </c>
      <c r="E1007" s="8" t="str">
        <f>IFERROR(VLOOKUP(LOG_RESEAU[[#This Row],[Cell_ID]],Registre_Maintenance!A:B,2,FALSE),"Non trouvé")</f>
        <v>Non trouvé</v>
      </c>
      <c r="F1007" s="8" t="str">
        <f>IFERROR(VLOOKUP(LOG_RESEAU[[#This Row],[Cell_ID]],Registre_Maintenance!A:C,3,FALSE),"Non trouvé")</f>
        <v>Non trouvé</v>
      </c>
      <c r="G1007" s="8" t="str">
        <f>IFERROR(VLOOKUP(LOG_RESEAU[[#This Row],[Cell_ID]],Registre_Maintenance!A:D,4,FALSE),"Non trouvé")</f>
        <v>Non trouvé</v>
      </c>
      <c r="H1007" s="6" t="str">
        <f>IFERROR(VLOOKUP(LOG_RESEAU[[#This Row],[Cell_ID]],Registre_Maintenance!A:E,5,FALSE),"Non trouvé")</f>
        <v>Non trouvé</v>
      </c>
      <c r="I1007" s="6" t="str">
        <f>IFERROR(VLOOKUP(LOG_RESEAU[[#This Row],[Cell_ID]],Registre_Maintenance!A:F,6,FALSE),"Non trouvé")</f>
        <v>Non trouvé</v>
      </c>
      <c r="J1007" s="6" t="str">
        <f t="shared" si="45"/>
        <v>Antenne inconnue</v>
      </c>
      <c r="K1007" s="6">
        <f t="shared" si="46"/>
        <v>7</v>
      </c>
      <c r="L1007" s="6">
        <f t="shared" si="47"/>
        <v>366</v>
      </c>
    </row>
    <row r="1008" spans="1:12" ht="15.75" x14ac:dyDescent="0.25">
      <c r="A1008" s="6" t="s">
        <v>861</v>
      </c>
      <c r="B1008" s="7">
        <v>45203.027777777781</v>
      </c>
      <c r="C1008" s="6">
        <v>45</v>
      </c>
      <c r="D1008" s="6" t="s">
        <v>792</v>
      </c>
      <c r="E1008" s="8" t="str">
        <f>IFERROR(VLOOKUP(LOG_RESEAU[[#This Row],[Cell_ID]],Registre_Maintenance!A:B,2,FALSE),"Non trouvé")</f>
        <v>Non trouvé</v>
      </c>
      <c r="F1008" s="8" t="str">
        <f>IFERROR(VLOOKUP(LOG_RESEAU[[#This Row],[Cell_ID]],Registre_Maintenance!A:C,3,FALSE),"Non trouvé")</f>
        <v>Non trouvé</v>
      </c>
      <c r="G1008" s="8" t="str">
        <f>IFERROR(VLOOKUP(LOG_RESEAU[[#This Row],[Cell_ID]],Registre_Maintenance!A:D,4,FALSE),"Non trouvé")</f>
        <v>Non trouvé</v>
      </c>
      <c r="H1008" s="6" t="str">
        <f>IFERROR(VLOOKUP(LOG_RESEAU[[#This Row],[Cell_ID]],Registre_Maintenance!A:E,5,FALSE),"Non trouvé")</f>
        <v>Non trouvé</v>
      </c>
      <c r="I1008" s="6" t="str">
        <f>IFERROR(VLOOKUP(LOG_RESEAU[[#This Row],[Cell_ID]],Registre_Maintenance!A:F,6,FALSE),"Non trouvé")</f>
        <v>Non trouvé</v>
      </c>
      <c r="J1008" s="6" t="str">
        <f t="shared" si="45"/>
        <v>Antenne inconnue</v>
      </c>
      <c r="K1008" s="6">
        <f t="shared" si="46"/>
        <v>7</v>
      </c>
      <c r="L1008" s="6">
        <f t="shared" si="47"/>
        <v>366</v>
      </c>
    </row>
    <row r="1009" spans="1:12" ht="15.75" x14ac:dyDescent="0.25">
      <c r="A1009" s="6" t="s">
        <v>861</v>
      </c>
      <c r="B1009" s="7">
        <v>45210.125</v>
      </c>
      <c r="C1009" s="6">
        <v>18</v>
      </c>
      <c r="D1009" s="6" t="s">
        <v>794</v>
      </c>
      <c r="E1009" s="8" t="str">
        <f>IFERROR(VLOOKUP(LOG_RESEAU[[#This Row],[Cell_ID]],Registre_Maintenance!A:B,2,FALSE),"Non trouvé")</f>
        <v>Non trouvé</v>
      </c>
      <c r="F1009" s="8" t="str">
        <f>IFERROR(VLOOKUP(LOG_RESEAU[[#This Row],[Cell_ID]],Registre_Maintenance!A:C,3,FALSE),"Non trouvé")</f>
        <v>Non trouvé</v>
      </c>
      <c r="G1009" s="8" t="str">
        <f>IFERROR(VLOOKUP(LOG_RESEAU[[#This Row],[Cell_ID]],Registre_Maintenance!A:D,4,FALSE),"Non trouvé")</f>
        <v>Non trouvé</v>
      </c>
      <c r="H1009" s="6" t="str">
        <f>IFERROR(VLOOKUP(LOG_RESEAU[[#This Row],[Cell_ID]],Registre_Maintenance!A:E,5,FALSE),"Non trouvé")</f>
        <v>Non trouvé</v>
      </c>
      <c r="I1009" s="6" t="str">
        <f>IFERROR(VLOOKUP(LOG_RESEAU[[#This Row],[Cell_ID]],Registre_Maintenance!A:F,6,FALSE),"Non trouvé")</f>
        <v>Non trouvé</v>
      </c>
      <c r="J1009" s="6" t="str">
        <f t="shared" si="45"/>
        <v>Antenne inconnue</v>
      </c>
      <c r="K1009" s="6">
        <f t="shared" si="46"/>
        <v>7</v>
      </c>
      <c r="L1009" s="6">
        <f t="shared" si="47"/>
        <v>366</v>
      </c>
    </row>
    <row r="1010" spans="1:12" ht="15.75" x14ac:dyDescent="0.25">
      <c r="A1010" s="6" t="s">
        <v>795</v>
      </c>
      <c r="B1010" s="7">
        <v>45207.199305555558</v>
      </c>
      <c r="C1010" s="6">
        <v>65</v>
      </c>
      <c r="D1010" s="6" t="s">
        <v>792</v>
      </c>
      <c r="E1010" s="8" t="str">
        <f>IFERROR(VLOOKUP(LOG_RESEAU[[#This Row],[Cell_ID]],Registre_Maintenance!A:B,2,FALSE),"Non trouvé")</f>
        <v>Non trouvé</v>
      </c>
      <c r="F1010" s="8" t="str">
        <f>IFERROR(VLOOKUP(LOG_RESEAU[[#This Row],[Cell_ID]],Registre_Maintenance!A:C,3,FALSE),"Non trouvé")</f>
        <v>Non trouvé</v>
      </c>
      <c r="G1010" s="8" t="str">
        <f>IFERROR(VLOOKUP(LOG_RESEAU[[#This Row],[Cell_ID]],Registre_Maintenance!A:D,4,FALSE),"Non trouvé")</f>
        <v>Non trouvé</v>
      </c>
      <c r="H1010" s="6" t="str">
        <f>IFERROR(VLOOKUP(LOG_RESEAU[[#This Row],[Cell_ID]],Registre_Maintenance!A:E,5,FALSE),"Non trouvé")</f>
        <v>Non trouvé</v>
      </c>
      <c r="I1010" s="6" t="str">
        <f>IFERROR(VLOOKUP(LOG_RESEAU[[#This Row],[Cell_ID]],Registre_Maintenance!A:F,6,FALSE),"Non trouvé")</f>
        <v>Non trouvé</v>
      </c>
      <c r="J1010" s="6" t="str">
        <f t="shared" si="45"/>
        <v>Antenne inconnue</v>
      </c>
      <c r="K1010" s="6">
        <f t="shared" si="46"/>
        <v>3</v>
      </c>
      <c r="L1010" s="6">
        <f t="shared" si="47"/>
        <v>125</v>
      </c>
    </row>
    <row r="1011" spans="1:12" ht="15.75" x14ac:dyDescent="0.25">
      <c r="A1011" s="6" t="s">
        <v>795</v>
      </c>
      <c r="B1011" s="7">
        <v>45207.368055555547</v>
      </c>
      <c r="C1011" s="6">
        <v>14</v>
      </c>
      <c r="D1011" s="6" t="s">
        <v>792</v>
      </c>
      <c r="E1011" s="8" t="str">
        <f>IFERROR(VLOOKUP(LOG_RESEAU[[#This Row],[Cell_ID]],Registre_Maintenance!A:B,2,FALSE),"Non trouvé")</f>
        <v>Non trouvé</v>
      </c>
      <c r="F1011" s="8" t="str">
        <f>IFERROR(VLOOKUP(LOG_RESEAU[[#This Row],[Cell_ID]],Registre_Maintenance!A:C,3,FALSE),"Non trouvé")</f>
        <v>Non trouvé</v>
      </c>
      <c r="G1011" s="8" t="str">
        <f>IFERROR(VLOOKUP(LOG_RESEAU[[#This Row],[Cell_ID]],Registre_Maintenance!A:D,4,FALSE),"Non trouvé")</f>
        <v>Non trouvé</v>
      </c>
      <c r="H1011" s="6" t="str">
        <f>IFERROR(VLOOKUP(LOG_RESEAU[[#This Row],[Cell_ID]],Registre_Maintenance!A:E,5,FALSE),"Non trouvé")</f>
        <v>Non trouvé</v>
      </c>
      <c r="I1011" s="6" t="str">
        <f>IFERROR(VLOOKUP(LOG_RESEAU[[#This Row],[Cell_ID]],Registre_Maintenance!A:F,6,FALSE),"Non trouvé")</f>
        <v>Non trouvé</v>
      </c>
      <c r="J1011" s="6" t="str">
        <f t="shared" si="45"/>
        <v>Antenne inconnue</v>
      </c>
      <c r="K1011" s="6">
        <f t="shared" si="46"/>
        <v>3</v>
      </c>
      <c r="L1011" s="6">
        <f t="shared" si="47"/>
        <v>125</v>
      </c>
    </row>
    <row r="1012" spans="1:12" ht="15.75" x14ac:dyDescent="0.25">
      <c r="A1012" s="6" t="s">
        <v>795</v>
      </c>
      <c r="B1012" s="7">
        <v>45225.811805555553</v>
      </c>
      <c r="C1012" s="6">
        <v>46</v>
      </c>
      <c r="D1012" s="6" t="s">
        <v>794</v>
      </c>
      <c r="E1012" s="8" t="str">
        <f>IFERROR(VLOOKUP(LOG_RESEAU[[#This Row],[Cell_ID]],Registre_Maintenance!A:B,2,FALSE),"Non trouvé")</f>
        <v>Non trouvé</v>
      </c>
      <c r="F1012" s="8" t="str">
        <f>IFERROR(VLOOKUP(LOG_RESEAU[[#This Row],[Cell_ID]],Registre_Maintenance!A:C,3,FALSE),"Non trouvé")</f>
        <v>Non trouvé</v>
      </c>
      <c r="G1012" s="8" t="str">
        <f>IFERROR(VLOOKUP(LOG_RESEAU[[#This Row],[Cell_ID]],Registre_Maintenance!A:D,4,FALSE),"Non trouvé")</f>
        <v>Non trouvé</v>
      </c>
      <c r="H1012" s="6" t="str">
        <f>IFERROR(VLOOKUP(LOG_RESEAU[[#This Row],[Cell_ID]],Registre_Maintenance!A:E,5,FALSE),"Non trouvé")</f>
        <v>Non trouvé</v>
      </c>
      <c r="I1012" s="6" t="str">
        <f>IFERROR(VLOOKUP(LOG_RESEAU[[#This Row],[Cell_ID]],Registre_Maintenance!A:F,6,FALSE),"Non trouvé")</f>
        <v>Non trouvé</v>
      </c>
      <c r="J1012" s="6" t="str">
        <f t="shared" si="45"/>
        <v>Antenne inconnue</v>
      </c>
      <c r="K1012" s="6">
        <f t="shared" si="46"/>
        <v>3</v>
      </c>
      <c r="L1012" s="6">
        <f t="shared" si="47"/>
        <v>125</v>
      </c>
    </row>
    <row r="1013" spans="1:12" ht="15.75" x14ac:dyDescent="0.25">
      <c r="A1013" s="6" t="s">
        <v>916</v>
      </c>
      <c r="B1013" s="7">
        <v>45207.340277777781</v>
      </c>
      <c r="C1013" s="6">
        <v>44</v>
      </c>
      <c r="D1013" s="6" t="s">
        <v>794</v>
      </c>
      <c r="E1013" s="8" t="str">
        <f>IFERROR(VLOOKUP(LOG_RESEAU[[#This Row],[Cell_ID]],Registre_Maintenance!A:B,2,FALSE),"Non trouvé")</f>
        <v>Tshuapa</v>
      </c>
      <c r="F1013" s="8">
        <f>IFERROR(VLOOKUP(LOG_RESEAU[[#This Row],[Cell_ID]],Registre_Maintenance!A:C,3,FALSE),"Non trouvé")</f>
        <v>-12.018316</v>
      </c>
      <c r="G1013" s="8">
        <f>IFERROR(VLOOKUP(LOG_RESEAU[[#This Row],[Cell_ID]],Registre_Maintenance!A:D,4,FALSE),"Non trouvé")</f>
        <v>16.700451000000001</v>
      </c>
      <c r="H1013" s="6" t="str">
        <f>IFERROR(VLOOKUP(LOG_RESEAU[[#This Row],[Cell_ID]],Registre_Maintenance!A:E,5,FALSE),"Non trouvé")</f>
        <v>3G</v>
      </c>
      <c r="I1013" s="6" t="str">
        <f>IFERROR(VLOOKUP(LOG_RESEAU[[#This Row],[Cell_ID]],Registre_Maintenance!A:F,6,FALSE),"Non trouvé")</f>
        <v>Nokia</v>
      </c>
      <c r="J1013" s="6" t="str">
        <f t="shared" si="45"/>
        <v>OK</v>
      </c>
      <c r="K1013" s="6">
        <f t="shared" si="46"/>
        <v>2</v>
      </c>
      <c r="L1013" s="6">
        <f t="shared" si="47"/>
        <v>140</v>
      </c>
    </row>
    <row r="1014" spans="1:12" ht="15.75" x14ac:dyDescent="0.25">
      <c r="A1014" s="6" t="s">
        <v>916</v>
      </c>
      <c r="B1014" s="7">
        <v>45213.962500000001</v>
      </c>
      <c r="C1014" s="6">
        <v>96</v>
      </c>
      <c r="D1014" s="6" t="s">
        <v>800</v>
      </c>
      <c r="E1014" s="8" t="str">
        <f>IFERROR(VLOOKUP(LOG_RESEAU[[#This Row],[Cell_ID]],Registre_Maintenance!A:B,2,FALSE),"Non trouvé")</f>
        <v>Tshuapa</v>
      </c>
      <c r="F1014" s="8">
        <f>IFERROR(VLOOKUP(LOG_RESEAU[[#This Row],[Cell_ID]],Registre_Maintenance!A:C,3,FALSE),"Non trouvé")</f>
        <v>-12.018316</v>
      </c>
      <c r="G1014" s="8">
        <f>IFERROR(VLOOKUP(LOG_RESEAU[[#This Row],[Cell_ID]],Registre_Maintenance!A:D,4,FALSE),"Non trouvé")</f>
        <v>16.700451000000001</v>
      </c>
      <c r="H1014" s="6" t="str">
        <f>IFERROR(VLOOKUP(LOG_RESEAU[[#This Row],[Cell_ID]],Registre_Maintenance!A:E,5,FALSE),"Non trouvé")</f>
        <v>3G</v>
      </c>
      <c r="I1014" s="6" t="str">
        <f>IFERROR(VLOOKUP(LOG_RESEAU[[#This Row],[Cell_ID]],Registre_Maintenance!A:F,6,FALSE),"Non trouvé")</f>
        <v>Nokia</v>
      </c>
      <c r="J1014" s="6" t="str">
        <f t="shared" si="45"/>
        <v>OK</v>
      </c>
      <c r="K1014" s="6">
        <f t="shared" si="46"/>
        <v>2</v>
      </c>
      <c r="L1014" s="6">
        <f t="shared" si="47"/>
        <v>140</v>
      </c>
    </row>
    <row r="1015" spans="1:12" ht="15.75" x14ac:dyDescent="0.25">
      <c r="A1015" s="6" t="s">
        <v>971</v>
      </c>
      <c r="B1015" s="7">
        <v>45220.877083333333</v>
      </c>
      <c r="C1015" s="6">
        <v>6</v>
      </c>
      <c r="D1015" s="6" t="s">
        <v>792</v>
      </c>
      <c r="E1015" s="8" t="str">
        <f>IFERROR(VLOOKUP(LOG_RESEAU[[#This Row],[Cell_ID]],Registre_Maintenance!A:B,2,FALSE),"Non trouvé")</f>
        <v>Non trouvé</v>
      </c>
      <c r="F1015" s="8" t="str">
        <f>IFERROR(VLOOKUP(LOG_RESEAU[[#This Row],[Cell_ID]],Registre_Maintenance!A:C,3,FALSE),"Non trouvé")</f>
        <v>Non trouvé</v>
      </c>
      <c r="G1015" s="8" t="str">
        <f>IFERROR(VLOOKUP(LOG_RESEAU[[#This Row],[Cell_ID]],Registre_Maintenance!A:D,4,FALSE),"Non trouvé")</f>
        <v>Non trouvé</v>
      </c>
      <c r="H1015" s="6" t="str">
        <f>IFERROR(VLOOKUP(LOG_RESEAU[[#This Row],[Cell_ID]],Registre_Maintenance!A:E,5,FALSE),"Non trouvé")</f>
        <v>Non trouvé</v>
      </c>
      <c r="I1015" s="6" t="str">
        <f>IFERROR(VLOOKUP(LOG_RESEAU[[#This Row],[Cell_ID]],Registre_Maintenance!A:F,6,FALSE),"Non trouvé")</f>
        <v>Non trouvé</v>
      </c>
      <c r="J1015" s="6" t="str">
        <f t="shared" si="45"/>
        <v>Antenne inconnue</v>
      </c>
      <c r="K1015" s="6">
        <f t="shared" si="46"/>
        <v>7</v>
      </c>
      <c r="L1015" s="6">
        <f t="shared" si="47"/>
        <v>535</v>
      </c>
    </row>
    <row r="1016" spans="1:12" ht="15.75" x14ac:dyDescent="0.25">
      <c r="A1016" s="6" t="s">
        <v>971</v>
      </c>
      <c r="B1016" s="7">
        <v>45219.679166666669</v>
      </c>
      <c r="C1016" s="6">
        <v>120</v>
      </c>
      <c r="D1016" s="6" t="s">
        <v>794</v>
      </c>
      <c r="E1016" s="8" t="str">
        <f>IFERROR(VLOOKUP(LOG_RESEAU[[#This Row],[Cell_ID]],Registre_Maintenance!A:B,2,FALSE),"Non trouvé")</f>
        <v>Non trouvé</v>
      </c>
      <c r="F1016" s="8" t="str">
        <f>IFERROR(VLOOKUP(LOG_RESEAU[[#This Row],[Cell_ID]],Registre_Maintenance!A:C,3,FALSE),"Non trouvé")</f>
        <v>Non trouvé</v>
      </c>
      <c r="G1016" s="8" t="str">
        <f>IFERROR(VLOOKUP(LOG_RESEAU[[#This Row],[Cell_ID]],Registre_Maintenance!A:D,4,FALSE),"Non trouvé")</f>
        <v>Non trouvé</v>
      </c>
      <c r="H1016" s="6" t="str">
        <f>IFERROR(VLOOKUP(LOG_RESEAU[[#This Row],[Cell_ID]],Registre_Maintenance!A:E,5,FALSE),"Non trouvé")</f>
        <v>Non trouvé</v>
      </c>
      <c r="I1016" s="6" t="str">
        <f>IFERROR(VLOOKUP(LOG_RESEAU[[#This Row],[Cell_ID]],Registre_Maintenance!A:F,6,FALSE),"Non trouvé")</f>
        <v>Non trouvé</v>
      </c>
      <c r="J1016" s="6" t="str">
        <f t="shared" si="45"/>
        <v>Antenne inconnue</v>
      </c>
      <c r="K1016" s="6">
        <f t="shared" si="46"/>
        <v>7</v>
      </c>
      <c r="L1016" s="6">
        <f t="shared" si="47"/>
        <v>535</v>
      </c>
    </row>
    <row r="1017" spans="1:12" ht="15.75" x14ac:dyDescent="0.25">
      <c r="A1017" s="6" t="s">
        <v>971</v>
      </c>
      <c r="B1017" s="7">
        <v>45214.783333333333</v>
      </c>
      <c r="C1017" s="6">
        <v>101</v>
      </c>
      <c r="D1017" s="6" t="s">
        <v>794</v>
      </c>
      <c r="E1017" s="8" t="str">
        <f>IFERROR(VLOOKUP(LOG_RESEAU[[#This Row],[Cell_ID]],Registre_Maintenance!A:B,2,FALSE),"Non trouvé")</f>
        <v>Non trouvé</v>
      </c>
      <c r="F1017" s="8" t="str">
        <f>IFERROR(VLOOKUP(LOG_RESEAU[[#This Row],[Cell_ID]],Registre_Maintenance!A:C,3,FALSE),"Non trouvé")</f>
        <v>Non trouvé</v>
      </c>
      <c r="G1017" s="8" t="str">
        <f>IFERROR(VLOOKUP(LOG_RESEAU[[#This Row],[Cell_ID]],Registre_Maintenance!A:D,4,FALSE),"Non trouvé")</f>
        <v>Non trouvé</v>
      </c>
      <c r="H1017" s="6" t="str">
        <f>IFERROR(VLOOKUP(LOG_RESEAU[[#This Row],[Cell_ID]],Registre_Maintenance!A:E,5,FALSE),"Non trouvé")</f>
        <v>Non trouvé</v>
      </c>
      <c r="I1017" s="6" t="str">
        <f>IFERROR(VLOOKUP(LOG_RESEAU[[#This Row],[Cell_ID]],Registre_Maintenance!A:F,6,FALSE),"Non trouvé")</f>
        <v>Non trouvé</v>
      </c>
      <c r="J1017" s="6" t="str">
        <f t="shared" si="45"/>
        <v>Antenne inconnue</v>
      </c>
      <c r="K1017" s="6">
        <f t="shared" si="46"/>
        <v>7</v>
      </c>
      <c r="L1017" s="6">
        <f t="shared" si="47"/>
        <v>535</v>
      </c>
    </row>
    <row r="1018" spans="1:12" ht="15.75" x14ac:dyDescent="0.25">
      <c r="A1018" s="6" t="s">
        <v>971</v>
      </c>
      <c r="B1018" s="7">
        <v>45205.169444444437</v>
      </c>
      <c r="C1018" s="6">
        <v>91</v>
      </c>
      <c r="D1018" s="6" t="s">
        <v>792</v>
      </c>
      <c r="E1018" s="8" t="str">
        <f>IFERROR(VLOOKUP(LOG_RESEAU[[#This Row],[Cell_ID]],Registre_Maintenance!A:B,2,FALSE),"Non trouvé")</f>
        <v>Non trouvé</v>
      </c>
      <c r="F1018" s="8" t="str">
        <f>IFERROR(VLOOKUP(LOG_RESEAU[[#This Row],[Cell_ID]],Registre_Maintenance!A:C,3,FALSE),"Non trouvé")</f>
        <v>Non trouvé</v>
      </c>
      <c r="G1018" s="8" t="str">
        <f>IFERROR(VLOOKUP(LOG_RESEAU[[#This Row],[Cell_ID]],Registre_Maintenance!A:D,4,FALSE),"Non trouvé")</f>
        <v>Non trouvé</v>
      </c>
      <c r="H1018" s="6" t="str">
        <f>IFERROR(VLOOKUP(LOG_RESEAU[[#This Row],[Cell_ID]],Registre_Maintenance!A:E,5,FALSE),"Non trouvé")</f>
        <v>Non trouvé</v>
      </c>
      <c r="I1018" s="6" t="str">
        <f>IFERROR(VLOOKUP(LOG_RESEAU[[#This Row],[Cell_ID]],Registre_Maintenance!A:F,6,FALSE),"Non trouvé")</f>
        <v>Non trouvé</v>
      </c>
      <c r="J1018" s="6" t="str">
        <f t="shared" si="45"/>
        <v>Antenne inconnue</v>
      </c>
      <c r="K1018" s="6">
        <f t="shared" si="46"/>
        <v>7</v>
      </c>
      <c r="L1018" s="6">
        <f t="shared" si="47"/>
        <v>535</v>
      </c>
    </row>
    <row r="1019" spans="1:12" ht="15.75" x14ac:dyDescent="0.25">
      <c r="A1019" s="6" t="s">
        <v>971</v>
      </c>
      <c r="B1019" s="7">
        <v>45203.277777777781</v>
      </c>
      <c r="C1019" s="6">
        <v>79</v>
      </c>
      <c r="D1019" s="6" t="s">
        <v>800</v>
      </c>
      <c r="E1019" s="8" t="str">
        <f>IFERROR(VLOOKUP(LOG_RESEAU[[#This Row],[Cell_ID]],Registre_Maintenance!A:B,2,FALSE),"Non trouvé")</f>
        <v>Non trouvé</v>
      </c>
      <c r="F1019" s="8" t="str">
        <f>IFERROR(VLOOKUP(LOG_RESEAU[[#This Row],[Cell_ID]],Registre_Maintenance!A:C,3,FALSE),"Non trouvé")</f>
        <v>Non trouvé</v>
      </c>
      <c r="G1019" s="8" t="str">
        <f>IFERROR(VLOOKUP(LOG_RESEAU[[#This Row],[Cell_ID]],Registre_Maintenance!A:D,4,FALSE),"Non trouvé")</f>
        <v>Non trouvé</v>
      </c>
      <c r="H1019" s="6" t="str">
        <f>IFERROR(VLOOKUP(LOG_RESEAU[[#This Row],[Cell_ID]],Registre_Maintenance!A:E,5,FALSE),"Non trouvé")</f>
        <v>Non trouvé</v>
      </c>
      <c r="I1019" s="6" t="str">
        <f>IFERROR(VLOOKUP(LOG_RESEAU[[#This Row],[Cell_ID]],Registre_Maintenance!A:F,6,FALSE),"Non trouvé")</f>
        <v>Non trouvé</v>
      </c>
      <c r="J1019" s="6" t="str">
        <f t="shared" si="45"/>
        <v>Antenne inconnue</v>
      </c>
      <c r="K1019" s="6">
        <f t="shared" si="46"/>
        <v>7</v>
      </c>
      <c r="L1019" s="6">
        <f t="shared" si="47"/>
        <v>535</v>
      </c>
    </row>
    <row r="1020" spans="1:12" ht="15.75" x14ac:dyDescent="0.25">
      <c r="A1020" s="6" t="s">
        <v>971</v>
      </c>
      <c r="B1020" s="7">
        <v>45226.975694444453</v>
      </c>
      <c r="C1020" s="6">
        <v>89</v>
      </c>
      <c r="D1020" s="6" t="s">
        <v>792</v>
      </c>
      <c r="E1020" s="8" t="str">
        <f>IFERROR(VLOOKUP(LOG_RESEAU[[#This Row],[Cell_ID]],Registre_Maintenance!A:B,2,FALSE),"Non trouvé")</f>
        <v>Non trouvé</v>
      </c>
      <c r="F1020" s="8" t="str">
        <f>IFERROR(VLOOKUP(LOG_RESEAU[[#This Row],[Cell_ID]],Registre_Maintenance!A:C,3,FALSE),"Non trouvé")</f>
        <v>Non trouvé</v>
      </c>
      <c r="G1020" s="8" t="str">
        <f>IFERROR(VLOOKUP(LOG_RESEAU[[#This Row],[Cell_ID]],Registre_Maintenance!A:D,4,FALSE),"Non trouvé")</f>
        <v>Non trouvé</v>
      </c>
      <c r="H1020" s="6" t="str">
        <f>IFERROR(VLOOKUP(LOG_RESEAU[[#This Row],[Cell_ID]],Registre_Maintenance!A:E,5,FALSE),"Non trouvé")</f>
        <v>Non trouvé</v>
      </c>
      <c r="I1020" s="6" t="str">
        <f>IFERROR(VLOOKUP(LOG_RESEAU[[#This Row],[Cell_ID]],Registre_Maintenance!A:F,6,FALSE),"Non trouvé")</f>
        <v>Non trouvé</v>
      </c>
      <c r="J1020" s="6" t="str">
        <f t="shared" si="45"/>
        <v>Antenne inconnue</v>
      </c>
      <c r="K1020" s="6">
        <f t="shared" si="46"/>
        <v>7</v>
      </c>
      <c r="L1020" s="6">
        <f t="shared" si="47"/>
        <v>535</v>
      </c>
    </row>
    <row r="1021" spans="1:12" ht="15.75" x14ac:dyDescent="0.25">
      <c r="A1021" s="6" t="s">
        <v>971</v>
      </c>
      <c r="B1021" s="7">
        <v>45215.811111111107</v>
      </c>
      <c r="C1021" s="6">
        <v>49</v>
      </c>
      <c r="D1021" s="6" t="s">
        <v>800</v>
      </c>
      <c r="E1021" s="8" t="str">
        <f>IFERROR(VLOOKUP(LOG_RESEAU[[#This Row],[Cell_ID]],Registre_Maintenance!A:B,2,FALSE),"Non trouvé")</f>
        <v>Non trouvé</v>
      </c>
      <c r="F1021" s="8" t="str">
        <f>IFERROR(VLOOKUP(LOG_RESEAU[[#This Row],[Cell_ID]],Registre_Maintenance!A:C,3,FALSE),"Non trouvé")</f>
        <v>Non trouvé</v>
      </c>
      <c r="G1021" s="8" t="str">
        <f>IFERROR(VLOOKUP(LOG_RESEAU[[#This Row],[Cell_ID]],Registre_Maintenance!A:D,4,FALSE),"Non trouvé")</f>
        <v>Non trouvé</v>
      </c>
      <c r="H1021" s="6" t="str">
        <f>IFERROR(VLOOKUP(LOG_RESEAU[[#This Row],[Cell_ID]],Registre_Maintenance!A:E,5,FALSE),"Non trouvé")</f>
        <v>Non trouvé</v>
      </c>
      <c r="I1021" s="6" t="str">
        <f>IFERROR(VLOOKUP(LOG_RESEAU[[#This Row],[Cell_ID]],Registre_Maintenance!A:F,6,FALSE),"Non trouvé")</f>
        <v>Non trouvé</v>
      </c>
      <c r="J1021" s="6" t="str">
        <f t="shared" si="45"/>
        <v>Antenne inconnue</v>
      </c>
      <c r="K1021" s="6">
        <f t="shared" si="46"/>
        <v>7</v>
      </c>
      <c r="L1021" s="6">
        <f t="shared" si="47"/>
        <v>535</v>
      </c>
    </row>
    <row r="1022" spans="1:12" ht="15.75" x14ac:dyDescent="0.25">
      <c r="A1022" s="6" t="s">
        <v>834</v>
      </c>
      <c r="B1022" s="7">
        <v>45228.853472222218</v>
      </c>
      <c r="C1022" s="6">
        <v>46</v>
      </c>
      <c r="D1022" s="6" t="s">
        <v>792</v>
      </c>
      <c r="E1022" s="8" t="str">
        <f>IFERROR(VLOOKUP(LOG_RESEAU[[#This Row],[Cell_ID]],Registre_Maintenance!A:B,2,FALSE),"Non trouvé")</f>
        <v>Nord-Ubangi</v>
      </c>
      <c r="F1022" s="8">
        <f>IFERROR(VLOOKUP(LOG_RESEAU[[#This Row],[Cell_ID]],Registre_Maintenance!A:C,3,FALSE),"Non trouvé")</f>
        <v>8.5490999999999998E-2</v>
      </c>
      <c r="G1022" s="8">
        <f>IFERROR(VLOOKUP(LOG_RESEAU[[#This Row],[Cell_ID]],Registre_Maintenance!A:D,4,FALSE),"Non trouvé")</f>
        <v>26.296129000000001</v>
      </c>
      <c r="H1022" s="6" t="str">
        <f>IFERROR(VLOOKUP(LOG_RESEAU[[#This Row],[Cell_ID]],Registre_Maintenance!A:E,5,FALSE),"Non trouvé")</f>
        <v>3G</v>
      </c>
      <c r="I1022" s="6" t="str">
        <f>IFERROR(VLOOKUP(LOG_RESEAU[[#This Row],[Cell_ID]],Registre_Maintenance!A:F,6,FALSE),"Non trouvé")</f>
        <v>ZTE</v>
      </c>
      <c r="J1022" s="6" t="str">
        <f t="shared" si="45"/>
        <v>OK</v>
      </c>
      <c r="K1022" s="6">
        <f t="shared" si="46"/>
        <v>8</v>
      </c>
      <c r="L1022" s="6">
        <f t="shared" si="47"/>
        <v>374</v>
      </c>
    </row>
    <row r="1023" spans="1:12" ht="15.75" x14ac:dyDescent="0.25">
      <c r="A1023" s="6" t="s">
        <v>834</v>
      </c>
      <c r="B1023" s="7">
        <v>45214.686111111107</v>
      </c>
      <c r="C1023" s="6">
        <v>13</v>
      </c>
      <c r="D1023" s="6" t="s">
        <v>792</v>
      </c>
      <c r="E1023" s="8" t="str">
        <f>IFERROR(VLOOKUP(LOG_RESEAU[[#This Row],[Cell_ID]],Registre_Maintenance!A:B,2,FALSE),"Non trouvé")</f>
        <v>Nord-Ubangi</v>
      </c>
      <c r="F1023" s="8">
        <f>IFERROR(VLOOKUP(LOG_RESEAU[[#This Row],[Cell_ID]],Registre_Maintenance!A:C,3,FALSE),"Non trouvé")</f>
        <v>8.5490999999999998E-2</v>
      </c>
      <c r="G1023" s="8">
        <f>IFERROR(VLOOKUP(LOG_RESEAU[[#This Row],[Cell_ID]],Registre_Maintenance!A:D,4,FALSE),"Non trouvé")</f>
        <v>26.296129000000001</v>
      </c>
      <c r="H1023" s="6" t="str">
        <f>IFERROR(VLOOKUP(LOG_RESEAU[[#This Row],[Cell_ID]],Registre_Maintenance!A:E,5,FALSE),"Non trouvé")</f>
        <v>3G</v>
      </c>
      <c r="I1023" s="6" t="str">
        <f>IFERROR(VLOOKUP(LOG_RESEAU[[#This Row],[Cell_ID]],Registre_Maintenance!A:F,6,FALSE),"Non trouvé")</f>
        <v>ZTE</v>
      </c>
      <c r="J1023" s="6" t="str">
        <f t="shared" si="45"/>
        <v>OK</v>
      </c>
      <c r="K1023" s="6">
        <f t="shared" si="46"/>
        <v>8</v>
      </c>
      <c r="L1023" s="6">
        <f t="shared" si="47"/>
        <v>374</v>
      </c>
    </row>
    <row r="1024" spans="1:12" ht="15.75" x14ac:dyDescent="0.25">
      <c r="A1024" s="6" t="s">
        <v>834</v>
      </c>
      <c r="B1024" s="7">
        <v>45203.760416666657</v>
      </c>
      <c r="C1024" s="6">
        <v>22</v>
      </c>
      <c r="D1024" s="6" t="s">
        <v>794</v>
      </c>
      <c r="E1024" s="8" t="str">
        <f>IFERROR(VLOOKUP(LOG_RESEAU[[#This Row],[Cell_ID]],Registre_Maintenance!A:B,2,FALSE),"Non trouvé")</f>
        <v>Nord-Ubangi</v>
      </c>
      <c r="F1024" s="8">
        <f>IFERROR(VLOOKUP(LOG_RESEAU[[#This Row],[Cell_ID]],Registre_Maintenance!A:C,3,FALSE),"Non trouvé")</f>
        <v>8.5490999999999998E-2</v>
      </c>
      <c r="G1024" s="8">
        <f>IFERROR(VLOOKUP(LOG_RESEAU[[#This Row],[Cell_ID]],Registre_Maintenance!A:D,4,FALSE),"Non trouvé")</f>
        <v>26.296129000000001</v>
      </c>
      <c r="H1024" s="6" t="str">
        <f>IFERROR(VLOOKUP(LOG_RESEAU[[#This Row],[Cell_ID]],Registre_Maintenance!A:E,5,FALSE),"Non trouvé")</f>
        <v>3G</v>
      </c>
      <c r="I1024" s="6" t="str">
        <f>IFERROR(VLOOKUP(LOG_RESEAU[[#This Row],[Cell_ID]],Registre_Maintenance!A:F,6,FALSE),"Non trouvé")</f>
        <v>ZTE</v>
      </c>
      <c r="J1024" s="6" t="str">
        <f t="shared" si="45"/>
        <v>OK</v>
      </c>
      <c r="K1024" s="6">
        <f t="shared" si="46"/>
        <v>8</v>
      </c>
      <c r="L1024" s="6">
        <f t="shared" si="47"/>
        <v>374</v>
      </c>
    </row>
    <row r="1025" spans="1:12" ht="15.75" x14ac:dyDescent="0.25">
      <c r="A1025" s="6" t="s">
        <v>834</v>
      </c>
      <c r="B1025" s="7">
        <v>45225.92083333333</v>
      </c>
      <c r="C1025" s="6">
        <v>55</v>
      </c>
      <c r="D1025" s="6" t="s">
        <v>794</v>
      </c>
      <c r="E1025" s="8" t="str">
        <f>IFERROR(VLOOKUP(LOG_RESEAU[[#This Row],[Cell_ID]],Registre_Maintenance!A:B,2,FALSE),"Non trouvé")</f>
        <v>Nord-Ubangi</v>
      </c>
      <c r="F1025" s="8">
        <f>IFERROR(VLOOKUP(LOG_RESEAU[[#This Row],[Cell_ID]],Registre_Maintenance!A:C,3,FALSE),"Non trouvé")</f>
        <v>8.5490999999999998E-2</v>
      </c>
      <c r="G1025" s="8">
        <f>IFERROR(VLOOKUP(LOG_RESEAU[[#This Row],[Cell_ID]],Registre_Maintenance!A:D,4,FALSE),"Non trouvé")</f>
        <v>26.296129000000001</v>
      </c>
      <c r="H1025" s="6" t="str">
        <f>IFERROR(VLOOKUP(LOG_RESEAU[[#This Row],[Cell_ID]],Registre_Maintenance!A:E,5,FALSE),"Non trouvé")</f>
        <v>3G</v>
      </c>
      <c r="I1025" s="6" t="str">
        <f>IFERROR(VLOOKUP(LOG_RESEAU[[#This Row],[Cell_ID]],Registre_Maintenance!A:F,6,FALSE),"Non trouvé")</f>
        <v>ZTE</v>
      </c>
      <c r="J1025" s="6" t="str">
        <f t="shared" si="45"/>
        <v>OK</v>
      </c>
      <c r="K1025" s="6">
        <f t="shared" si="46"/>
        <v>8</v>
      </c>
      <c r="L1025" s="6">
        <f t="shared" si="47"/>
        <v>374</v>
      </c>
    </row>
    <row r="1026" spans="1:12" ht="15.75" x14ac:dyDescent="0.25">
      <c r="A1026" s="6" t="s">
        <v>834</v>
      </c>
      <c r="B1026" s="7">
        <v>45205.711111111108</v>
      </c>
      <c r="C1026" s="6">
        <v>11</v>
      </c>
      <c r="D1026" s="6" t="s">
        <v>794</v>
      </c>
      <c r="E1026" s="8" t="str">
        <f>IFERROR(VLOOKUP(LOG_RESEAU[[#This Row],[Cell_ID]],Registre_Maintenance!A:B,2,FALSE),"Non trouvé")</f>
        <v>Nord-Ubangi</v>
      </c>
      <c r="F1026" s="8">
        <f>IFERROR(VLOOKUP(LOG_RESEAU[[#This Row],[Cell_ID]],Registre_Maintenance!A:C,3,FALSE),"Non trouvé")</f>
        <v>8.5490999999999998E-2</v>
      </c>
      <c r="G1026" s="8">
        <f>IFERROR(VLOOKUP(LOG_RESEAU[[#This Row],[Cell_ID]],Registre_Maintenance!A:D,4,FALSE),"Non trouvé")</f>
        <v>26.296129000000001</v>
      </c>
      <c r="H1026" s="6" t="str">
        <f>IFERROR(VLOOKUP(LOG_RESEAU[[#This Row],[Cell_ID]],Registre_Maintenance!A:E,5,FALSE),"Non trouvé")</f>
        <v>3G</v>
      </c>
      <c r="I1026" s="6" t="str">
        <f>IFERROR(VLOOKUP(LOG_RESEAU[[#This Row],[Cell_ID]],Registre_Maintenance!A:F,6,FALSE),"Non trouvé")</f>
        <v>ZTE</v>
      </c>
      <c r="J1026" s="6" t="str">
        <f t="shared" ref="J1026:J1089" si="48">IF(ISERROR(SEARCH("Non trouvé",F1026)),"OK","Antenne inconnue")</f>
        <v>OK</v>
      </c>
      <c r="K1026" s="6">
        <f t="shared" ref="K1026:K1089" si="49">COUNTIF(A:A,A1026)</f>
        <v>8</v>
      </c>
      <c r="L1026" s="6">
        <f t="shared" ref="L1026:L1089" si="50">SUMIF(A:A,A1026,C:C)</f>
        <v>374</v>
      </c>
    </row>
    <row r="1027" spans="1:12" ht="15.75" x14ac:dyDescent="0.25">
      <c r="A1027" s="6" t="s">
        <v>834</v>
      </c>
      <c r="B1027" s="7">
        <v>45220.515972222223</v>
      </c>
      <c r="C1027" s="6">
        <v>108</v>
      </c>
      <c r="D1027" s="6" t="s">
        <v>800</v>
      </c>
      <c r="E1027" s="8" t="str">
        <f>IFERROR(VLOOKUP(LOG_RESEAU[[#This Row],[Cell_ID]],Registre_Maintenance!A:B,2,FALSE),"Non trouvé")</f>
        <v>Nord-Ubangi</v>
      </c>
      <c r="F1027" s="8">
        <f>IFERROR(VLOOKUP(LOG_RESEAU[[#This Row],[Cell_ID]],Registre_Maintenance!A:C,3,FALSE),"Non trouvé")</f>
        <v>8.5490999999999998E-2</v>
      </c>
      <c r="G1027" s="8">
        <f>IFERROR(VLOOKUP(LOG_RESEAU[[#This Row],[Cell_ID]],Registre_Maintenance!A:D,4,FALSE),"Non trouvé")</f>
        <v>26.296129000000001</v>
      </c>
      <c r="H1027" s="6" t="str">
        <f>IFERROR(VLOOKUP(LOG_RESEAU[[#This Row],[Cell_ID]],Registre_Maintenance!A:E,5,FALSE),"Non trouvé")</f>
        <v>3G</v>
      </c>
      <c r="I1027" s="6" t="str">
        <f>IFERROR(VLOOKUP(LOG_RESEAU[[#This Row],[Cell_ID]],Registre_Maintenance!A:F,6,FALSE),"Non trouvé")</f>
        <v>ZTE</v>
      </c>
      <c r="J1027" s="6" t="str">
        <f t="shared" si="48"/>
        <v>OK</v>
      </c>
      <c r="K1027" s="6">
        <f t="shared" si="49"/>
        <v>8</v>
      </c>
      <c r="L1027" s="6">
        <f t="shared" si="50"/>
        <v>374</v>
      </c>
    </row>
    <row r="1028" spans="1:12" ht="15.75" x14ac:dyDescent="0.25">
      <c r="A1028" s="6" t="s">
        <v>834</v>
      </c>
      <c r="B1028" s="7">
        <v>45210.686111111107</v>
      </c>
      <c r="C1028" s="6">
        <v>62</v>
      </c>
      <c r="D1028" s="6" t="s">
        <v>800</v>
      </c>
      <c r="E1028" s="8" t="str">
        <f>IFERROR(VLOOKUP(LOG_RESEAU[[#This Row],[Cell_ID]],Registre_Maintenance!A:B,2,FALSE),"Non trouvé")</f>
        <v>Nord-Ubangi</v>
      </c>
      <c r="F1028" s="8">
        <f>IFERROR(VLOOKUP(LOG_RESEAU[[#This Row],[Cell_ID]],Registre_Maintenance!A:C,3,FALSE),"Non trouvé")</f>
        <v>8.5490999999999998E-2</v>
      </c>
      <c r="G1028" s="8">
        <f>IFERROR(VLOOKUP(LOG_RESEAU[[#This Row],[Cell_ID]],Registre_Maintenance!A:D,4,FALSE),"Non trouvé")</f>
        <v>26.296129000000001</v>
      </c>
      <c r="H1028" s="6" t="str">
        <f>IFERROR(VLOOKUP(LOG_RESEAU[[#This Row],[Cell_ID]],Registre_Maintenance!A:E,5,FALSE),"Non trouvé")</f>
        <v>3G</v>
      </c>
      <c r="I1028" s="6" t="str">
        <f>IFERROR(VLOOKUP(LOG_RESEAU[[#This Row],[Cell_ID]],Registre_Maintenance!A:F,6,FALSE),"Non trouvé")</f>
        <v>ZTE</v>
      </c>
      <c r="J1028" s="6" t="str">
        <f t="shared" si="48"/>
        <v>OK</v>
      </c>
      <c r="K1028" s="6">
        <f t="shared" si="49"/>
        <v>8</v>
      </c>
      <c r="L1028" s="6">
        <f t="shared" si="50"/>
        <v>374</v>
      </c>
    </row>
    <row r="1029" spans="1:12" ht="15.75" x14ac:dyDescent="0.25">
      <c r="A1029" s="6" t="s">
        <v>834</v>
      </c>
      <c r="B1029" s="7">
        <v>45210.908333333333</v>
      </c>
      <c r="C1029" s="6">
        <v>57</v>
      </c>
      <c r="D1029" s="6" t="s">
        <v>792</v>
      </c>
      <c r="E1029" s="8" t="str">
        <f>IFERROR(VLOOKUP(LOG_RESEAU[[#This Row],[Cell_ID]],Registre_Maintenance!A:B,2,FALSE),"Non trouvé")</f>
        <v>Nord-Ubangi</v>
      </c>
      <c r="F1029" s="8">
        <f>IFERROR(VLOOKUP(LOG_RESEAU[[#This Row],[Cell_ID]],Registre_Maintenance!A:C,3,FALSE),"Non trouvé")</f>
        <v>8.5490999999999998E-2</v>
      </c>
      <c r="G1029" s="8">
        <f>IFERROR(VLOOKUP(LOG_RESEAU[[#This Row],[Cell_ID]],Registre_Maintenance!A:D,4,FALSE),"Non trouvé")</f>
        <v>26.296129000000001</v>
      </c>
      <c r="H1029" s="6" t="str">
        <f>IFERROR(VLOOKUP(LOG_RESEAU[[#This Row],[Cell_ID]],Registre_Maintenance!A:E,5,FALSE),"Non trouvé")</f>
        <v>3G</v>
      </c>
      <c r="I1029" s="6" t="str">
        <f>IFERROR(VLOOKUP(LOG_RESEAU[[#This Row],[Cell_ID]],Registre_Maintenance!A:F,6,FALSE),"Non trouvé")</f>
        <v>ZTE</v>
      </c>
      <c r="J1029" s="6" t="str">
        <f t="shared" si="48"/>
        <v>OK</v>
      </c>
      <c r="K1029" s="6">
        <f t="shared" si="49"/>
        <v>8</v>
      </c>
      <c r="L1029" s="6">
        <f t="shared" si="50"/>
        <v>374</v>
      </c>
    </row>
    <row r="1030" spans="1:12" ht="15.75" x14ac:dyDescent="0.25">
      <c r="A1030" s="6" t="s">
        <v>908</v>
      </c>
      <c r="B1030" s="7">
        <v>45201.484027777777</v>
      </c>
      <c r="C1030" s="6">
        <v>106</v>
      </c>
      <c r="D1030" s="6" t="s">
        <v>794</v>
      </c>
      <c r="E1030" s="8" t="str">
        <f>IFERROR(VLOOKUP(LOG_RESEAU[[#This Row],[Cell_ID]],Registre_Maintenance!A:B,2,FALSE),"Non trouvé")</f>
        <v>Sud-Ubangi</v>
      </c>
      <c r="F1030" s="8">
        <f>IFERROR(VLOOKUP(LOG_RESEAU[[#This Row],[Cell_ID]],Registre_Maintenance!A:C,3,FALSE),"Non trouvé")</f>
        <v>-8.0864899999999995</v>
      </c>
      <c r="G1030" s="8">
        <f>IFERROR(VLOOKUP(LOG_RESEAU[[#This Row],[Cell_ID]],Registre_Maintenance!A:D,4,FALSE),"Non trouvé")</f>
        <v>14.555277</v>
      </c>
      <c r="H1030" s="6" t="str">
        <f>IFERROR(VLOOKUP(LOG_RESEAU[[#This Row],[Cell_ID]],Registre_Maintenance!A:E,5,FALSE),"Non trouvé")</f>
        <v>3G</v>
      </c>
      <c r="I1030" s="6" t="str">
        <f>IFERROR(VLOOKUP(LOG_RESEAU[[#This Row],[Cell_ID]],Registre_Maintenance!A:F,6,FALSE),"Non trouvé")</f>
        <v>Ericsson</v>
      </c>
      <c r="J1030" s="6" t="str">
        <f t="shared" si="48"/>
        <v>OK</v>
      </c>
      <c r="K1030" s="6">
        <f t="shared" si="49"/>
        <v>7</v>
      </c>
      <c r="L1030" s="6">
        <f t="shared" si="50"/>
        <v>516</v>
      </c>
    </row>
    <row r="1031" spans="1:12" ht="15.75" x14ac:dyDescent="0.25">
      <c r="A1031" s="6" t="s">
        <v>908</v>
      </c>
      <c r="B1031" s="7">
        <v>45203.997916666667</v>
      </c>
      <c r="C1031" s="6">
        <v>28</v>
      </c>
      <c r="D1031" s="6" t="s">
        <v>800</v>
      </c>
      <c r="E1031" s="8" t="str">
        <f>IFERROR(VLOOKUP(LOG_RESEAU[[#This Row],[Cell_ID]],Registre_Maintenance!A:B,2,FALSE),"Non trouvé")</f>
        <v>Sud-Ubangi</v>
      </c>
      <c r="F1031" s="8">
        <f>IFERROR(VLOOKUP(LOG_RESEAU[[#This Row],[Cell_ID]],Registre_Maintenance!A:C,3,FALSE),"Non trouvé")</f>
        <v>-8.0864899999999995</v>
      </c>
      <c r="G1031" s="8">
        <f>IFERROR(VLOOKUP(LOG_RESEAU[[#This Row],[Cell_ID]],Registre_Maintenance!A:D,4,FALSE),"Non trouvé")</f>
        <v>14.555277</v>
      </c>
      <c r="H1031" s="6" t="str">
        <f>IFERROR(VLOOKUP(LOG_RESEAU[[#This Row],[Cell_ID]],Registre_Maintenance!A:E,5,FALSE),"Non trouvé")</f>
        <v>3G</v>
      </c>
      <c r="I1031" s="6" t="str">
        <f>IFERROR(VLOOKUP(LOG_RESEAU[[#This Row],[Cell_ID]],Registre_Maintenance!A:F,6,FALSE),"Non trouvé")</f>
        <v>Ericsson</v>
      </c>
      <c r="J1031" s="6" t="str">
        <f t="shared" si="48"/>
        <v>OK</v>
      </c>
      <c r="K1031" s="6">
        <f t="shared" si="49"/>
        <v>7</v>
      </c>
      <c r="L1031" s="6">
        <f t="shared" si="50"/>
        <v>516</v>
      </c>
    </row>
    <row r="1032" spans="1:12" ht="15.75" x14ac:dyDescent="0.25">
      <c r="A1032" s="6" t="s">
        <v>908</v>
      </c>
      <c r="B1032" s="7">
        <v>45210.021527777782</v>
      </c>
      <c r="C1032" s="6">
        <v>83</v>
      </c>
      <c r="D1032" s="6" t="s">
        <v>800</v>
      </c>
      <c r="E1032" s="8" t="str">
        <f>IFERROR(VLOOKUP(LOG_RESEAU[[#This Row],[Cell_ID]],Registre_Maintenance!A:B,2,FALSE),"Non trouvé")</f>
        <v>Sud-Ubangi</v>
      </c>
      <c r="F1032" s="8">
        <f>IFERROR(VLOOKUP(LOG_RESEAU[[#This Row],[Cell_ID]],Registre_Maintenance!A:C,3,FALSE),"Non trouvé")</f>
        <v>-8.0864899999999995</v>
      </c>
      <c r="G1032" s="8">
        <f>IFERROR(VLOOKUP(LOG_RESEAU[[#This Row],[Cell_ID]],Registre_Maintenance!A:D,4,FALSE),"Non trouvé")</f>
        <v>14.555277</v>
      </c>
      <c r="H1032" s="6" t="str">
        <f>IFERROR(VLOOKUP(LOG_RESEAU[[#This Row],[Cell_ID]],Registre_Maintenance!A:E,5,FALSE),"Non trouvé")</f>
        <v>3G</v>
      </c>
      <c r="I1032" s="6" t="str">
        <f>IFERROR(VLOOKUP(LOG_RESEAU[[#This Row],[Cell_ID]],Registre_Maintenance!A:F,6,FALSE),"Non trouvé")</f>
        <v>Ericsson</v>
      </c>
      <c r="J1032" s="6" t="str">
        <f t="shared" si="48"/>
        <v>OK</v>
      </c>
      <c r="K1032" s="6">
        <f t="shared" si="49"/>
        <v>7</v>
      </c>
      <c r="L1032" s="6">
        <f t="shared" si="50"/>
        <v>516</v>
      </c>
    </row>
    <row r="1033" spans="1:12" ht="15.75" x14ac:dyDescent="0.25">
      <c r="A1033" s="6" t="s">
        <v>908</v>
      </c>
      <c r="B1033" s="7">
        <v>45213.645833333343</v>
      </c>
      <c r="C1033" s="6">
        <v>111</v>
      </c>
      <c r="D1033" s="6" t="s">
        <v>794</v>
      </c>
      <c r="E1033" s="8" t="str">
        <f>IFERROR(VLOOKUP(LOG_RESEAU[[#This Row],[Cell_ID]],Registre_Maintenance!A:B,2,FALSE),"Non trouvé")</f>
        <v>Sud-Ubangi</v>
      </c>
      <c r="F1033" s="8">
        <f>IFERROR(VLOOKUP(LOG_RESEAU[[#This Row],[Cell_ID]],Registre_Maintenance!A:C,3,FALSE),"Non trouvé")</f>
        <v>-8.0864899999999995</v>
      </c>
      <c r="G1033" s="8">
        <f>IFERROR(VLOOKUP(LOG_RESEAU[[#This Row],[Cell_ID]],Registre_Maintenance!A:D,4,FALSE),"Non trouvé")</f>
        <v>14.555277</v>
      </c>
      <c r="H1033" s="6" t="str">
        <f>IFERROR(VLOOKUP(LOG_RESEAU[[#This Row],[Cell_ID]],Registre_Maintenance!A:E,5,FALSE),"Non trouvé")</f>
        <v>3G</v>
      </c>
      <c r="I1033" s="6" t="str">
        <f>IFERROR(VLOOKUP(LOG_RESEAU[[#This Row],[Cell_ID]],Registre_Maintenance!A:F,6,FALSE),"Non trouvé")</f>
        <v>Ericsson</v>
      </c>
      <c r="J1033" s="6" t="str">
        <f t="shared" si="48"/>
        <v>OK</v>
      </c>
      <c r="K1033" s="6">
        <f t="shared" si="49"/>
        <v>7</v>
      </c>
      <c r="L1033" s="6">
        <f t="shared" si="50"/>
        <v>516</v>
      </c>
    </row>
    <row r="1034" spans="1:12" ht="15.75" x14ac:dyDescent="0.25">
      <c r="A1034" s="6" t="s">
        <v>908</v>
      </c>
      <c r="B1034" s="7">
        <v>45201.415277777778</v>
      </c>
      <c r="C1034" s="6">
        <v>77</v>
      </c>
      <c r="D1034" s="6" t="s">
        <v>800</v>
      </c>
      <c r="E1034" s="8" t="str">
        <f>IFERROR(VLOOKUP(LOG_RESEAU[[#This Row],[Cell_ID]],Registre_Maintenance!A:B,2,FALSE),"Non trouvé")</f>
        <v>Sud-Ubangi</v>
      </c>
      <c r="F1034" s="8">
        <f>IFERROR(VLOOKUP(LOG_RESEAU[[#This Row],[Cell_ID]],Registre_Maintenance!A:C,3,FALSE),"Non trouvé")</f>
        <v>-8.0864899999999995</v>
      </c>
      <c r="G1034" s="8">
        <f>IFERROR(VLOOKUP(LOG_RESEAU[[#This Row],[Cell_ID]],Registre_Maintenance!A:D,4,FALSE),"Non trouvé")</f>
        <v>14.555277</v>
      </c>
      <c r="H1034" s="6" t="str">
        <f>IFERROR(VLOOKUP(LOG_RESEAU[[#This Row],[Cell_ID]],Registre_Maintenance!A:E,5,FALSE),"Non trouvé")</f>
        <v>3G</v>
      </c>
      <c r="I1034" s="6" t="str">
        <f>IFERROR(VLOOKUP(LOG_RESEAU[[#This Row],[Cell_ID]],Registre_Maintenance!A:F,6,FALSE),"Non trouvé")</f>
        <v>Ericsson</v>
      </c>
      <c r="J1034" s="6" t="str">
        <f t="shared" si="48"/>
        <v>OK</v>
      </c>
      <c r="K1034" s="6">
        <f t="shared" si="49"/>
        <v>7</v>
      </c>
      <c r="L1034" s="6">
        <f t="shared" si="50"/>
        <v>516</v>
      </c>
    </row>
    <row r="1035" spans="1:12" ht="15.75" x14ac:dyDescent="0.25">
      <c r="A1035" s="6" t="s">
        <v>908</v>
      </c>
      <c r="B1035" s="7">
        <v>45211.098611111112</v>
      </c>
      <c r="C1035" s="6">
        <v>63</v>
      </c>
      <c r="D1035" s="6" t="s">
        <v>800</v>
      </c>
      <c r="E1035" s="8" t="str">
        <f>IFERROR(VLOOKUP(LOG_RESEAU[[#This Row],[Cell_ID]],Registre_Maintenance!A:B,2,FALSE),"Non trouvé")</f>
        <v>Sud-Ubangi</v>
      </c>
      <c r="F1035" s="8">
        <f>IFERROR(VLOOKUP(LOG_RESEAU[[#This Row],[Cell_ID]],Registre_Maintenance!A:C,3,FALSE),"Non trouvé")</f>
        <v>-8.0864899999999995</v>
      </c>
      <c r="G1035" s="8">
        <f>IFERROR(VLOOKUP(LOG_RESEAU[[#This Row],[Cell_ID]],Registre_Maintenance!A:D,4,FALSE),"Non trouvé")</f>
        <v>14.555277</v>
      </c>
      <c r="H1035" s="6" t="str">
        <f>IFERROR(VLOOKUP(LOG_RESEAU[[#This Row],[Cell_ID]],Registre_Maintenance!A:E,5,FALSE),"Non trouvé")</f>
        <v>3G</v>
      </c>
      <c r="I1035" s="6" t="str">
        <f>IFERROR(VLOOKUP(LOG_RESEAU[[#This Row],[Cell_ID]],Registre_Maintenance!A:F,6,FALSE),"Non trouvé")</f>
        <v>Ericsson</v>
      </c>
      <c r="J1035" s="6" t="str">
        <f t="shared" si="48"/>
        <v>OK</v>
      </c>
      <c r="K1035" s="6">
        <f t="shared" si="49"/>
        <v>7</v>
      </c>
      <c r="L1035" s="6">
        <f t="shared" si="50"/>
        <v>516</v>
      </c>
    </row>
    <row r="1036" spans="1:12" ht="15.75" x14ac:dyDescent="0.25">
      <c r="A1036" s="6" t="s">
        <v>908</v>
      </c>
      <c r="B1036" s="7">
        <v>45216.078472222223</v>
      </c>
      <c r="C1036" s="6">
        <v>48</v>
      </c>
      <c r="D1036" s="6" t="s">
        <v>800</v>
      </c>
      <c r="E1036" s="8" t="str">
        <f>IFERROR(VLOOKUP(LOG_RESEAU[[#This Row],[Cell_ID]],Registre_Maintenance!A:B,2,FALSE),"Non trouvé")</f>
        <v>Sud-Ubangi</v>
      </c>
      <c r="F1036" s="8">
        <f>IFERROR(VLOOKUP(LOG_RESEAU[[#This Row],[Cell_ID]],Registre_Maintenance!A:C,3,FALSE),"Non trouvé")</f>
        <v>-8.0864899999999995</v>
      </c>
      <c r="G1036" s="8">
        <f>IFERROR(VLOOKUP(LOG_RESEAU[[#This Row],[Cell_ID]],Registre_Maintenance!A:D,4,FALSE),"Non trouvé")</f>
        <v>14.555277</v>
      </c>
      <c r="H1036" s="6" t="str">
        <f>IFERROR(VLOOKUP(LOG_RESEAU[[#This Row],[Cell_ID]],Registre_Maintenance!A:E,5,FALSE),"Non trouvé")</f>
        <v>3G</v>
      </c>
      <c r="I1036" s="6" t="str">
        <f>IFERROR(VLOOKUP(LOG_RESEAU[[#This Row],[Cell_ID]],Registre_Maintenance!A:F,6,FALSE),"Non trouvé")</f>
        <v>Ericsson</v>
      </c>
      <c r="J1036" s="6" t="str">
        <f t="shared" si="48"/>
        <v>OK</v>
      </c>
      <c r="K1036" s="6">
        <f t="shared" si="49"/>
        <v>7</v>
      </c>
      <c r="L1036" s="6">
        <f t="shared" si="50"/>
        <v>516</v>
      </c>
    </row>
    <row r="1037" spans="1:12" ht="15.75" x14ac:dyDescent="0.25">
      <c r="A1037" s="6" t="s">
        <v>849</v>
      </c>
      <c r="B1037" s="7">
        <v>45203.393750000003</v>
      </c>
      <c r="C1037" s="6">
        <v>116</v>
      </c>
      <c r="D1037" s="6" t="s">
        <v>800</v>
      </c>
      <c r="E1037" s="8" t="str">
        <f>IFERROR(VLOOKUP(LOG_RESEAU[[#This Row],[Cell_ID]],Registre_Maintenance!A:B,2,FALSE),"Non trouvé")</f>
        <v>Non trouvé</v>
      </c>
      <c r="F1037" s="8" t="str">
        <f>IFERROR(VLOOKUP(LOG_RESEAU[[#This Row],[Cell_ID]],Registre_Maintenance!A:C,3,FALSE),"Non trouvé")</f>
        <v>Non trouvé</v>
      </c>
      <c r="G1037" s="8" t="str">
        <f>IFERROR(VLOOKUP(LOG_RESEAU[[#This Row],[Cell_ID]],Registre_Maintenance!A:D,4,FALSE),"Non trouvé")</f>
        <v>Non trouvé</v>
      </c>
      <c r="H1037" s="6" t="str">
        <f>IFERROR(VLOOKUP(LOG_RESEAU[[#This Row],[Cell_ID]],Registre_Maintenance!A:E,5,FALSE),"Non trouvé")</f>
        <v>Non trouvé</v>
      </c>
      <c r="I1037" s="6" t="str">
        <f>IFERROR(VLOOKUP(LOG_RESEAU[[#This Row],[Cell_ID]],Registre_Maintenance!A:F,6,FALSE),"Non trouvé")</f>
        <v>Non trouvé</v>
      </c>
      <c r="J1037" s="6" t="str">
        <f t="shared" si="48"/>
        <v>Antenne inconnue</v>
      </c>
      <c r="K1037" s="6">
        <f t="shared" si="49"/>
        <v>4</v>
      </c>
      <c r="L1037" s="6">
        <f t="shared" si="50"/>
        <v>396</v>
      </c>
    </row>
    <row r="1038" spans="1:12" ht="15.75" x14ac:dyDescent="0.25">
      <c r="A1038" s="6" t="s">
        <v>849</v>
      </c>
      <c r="B1038" s="7">
        <v>45214.065972222219</v>
      </c>
      <c r="C1038" s="6">
        <v>73</v>
      </c>
      <c r="D1038" s="6" t="s">
        <v>794</v>
      </c>
      <c r="E1038" s="8" t="str">
        <f>IFERROR(VLOOKUP(LOG_RESEAU[[#This Row],[Cell_ID]],Registre_Maintenance!A:B,2,FALSE),"Non trouvé")</f>
        <v>Non trouvé</v>
      </c>
      <c r="F1038" s="8" t="str">
        <f>IFERROR(VLOOKUP(LOG_RESEAU[[#This Row],[Cell_ID]],Registre_Maintenance!A:C,3,FALSE),"Non trouvé")</f>
        <v>Non trouvé</v>
      </c>
      <c r="G1038" s="8" t="str">
        <f>IFERROR(VLOOKUP(LOG_RESEAU[[#This Row],[Cell_ID]],Registre_Maintenance!A:D,4,FALSE),"Non trouvé")</f>
        <v>Non trouvé</v>
      </c>
      <c r="H1038" s="6" t="str">
        <f>IFERROR(VLOOKUP(LOG_RESEAU[[#This Row],[Cell_ID]],Registre_Maintenance!A:E,5,FALSE),"Non trouvé")</f>
        <v>Non trouvé</v>
      </c>
      <c r="I1038" s="6" t="str">
        <f>IFERROR(VLOOKUP(LOG_RESEAU[[#This Row],[Cell_ID]],Registre_Maintenance!A:F,6,FALSE),"Non trouvé")</f>
        <v>Non trouvé</v>
      </c>
      <c r="J1038" s="6" t="str">
        <f t="shared" si="48"/>
        <v>Antenne inconnue</v>
      </c>
      <c r="K1038" s="6">
        <f t="shared" si="49"/>
        <v>4</v>
      </c>
      <c r="L1038" s="6">
        <f t="shared" si="50"/>
        <v>396</v>
      </c>
    </row>
    <row r="1039" spans="1:12" ht="15.75" x14ac:dyDescent="0.25">
      <c r="A1039" s="6" t="s">
        <v>849</v>
      </c>
      <c r="B1039" s="7">
        <v>45228.780555555553</v>
      </c>
      <c r="C1039" s="6">
        <v>103</v>
      </c>
      <c r="D1039" s="6" t="s">
        <v>792</v>
      </c>
      <c r="E1039" s="8" t="str">
        <f>IFERROR(VLOOKUP(LOG_RESEAU[[#This Row],[Cell_ID]],Registre_Maintenance!A:B,2,FALSE),"Non trouvé")</f>
        <v>Non trouvé</v>
      </c>
      <c r="F1039" s="8" t="str">
        <f>IFERROR(VLOOKUP(LOG_RESEAU[[#This Row],[Cell_ID]],Registre_Maintenance!A:C,3,FALSE),"Non trouvé")</f>
        <v>Non trouvé</v>
      </c>
      <c r="G1039" s="8" t="str">
        <f>IFERROR(VLOOKUP(LOG_RESEAU[[#This Row],[Cell_ID]],Registre_Maintenance!A:D,4,FALSE),"Non trouvé")</f>
        <v>Non trouvé</v>
      </c>
      <c r="H1039" s="6" t="str">
        <f>IFERROR(VLOOKUP(LOG_RESEAU[[#This Row],[Cell_ID]],Registre_Maintenance!A:E,5,FALSE),"Non trouvé")</f>
        <v>Non trouvé</v>
      </c>
      <c r="I1039" s="6" t="str">
        <f>IFERROR(VLOOKUP(LOG_RESEAU[[#This Row],[Cell_ID]],Registre_Maintenance!A:F,6,FALSE),"Non trouvé")</f>
        <v>Non trouvé</v>
      </c>
      <c r="J1039" s="6" t="str">
        <f t="shared" si="48"/>
        <v>Antenne inconnue</v>
      </c>
      <c r="K1039" s="6">
        <f t="shared" si="49"/>
        <v>4</v>
      </c>
      <c r="L1039" s="6">
        <f t="shared" si="50"/>
        <v>396</v>
      </c>
    </row>
    <row r="1040" spans="1:12" ht="15.75" x14ac:dyDescent="0.25">
      <c r="A1040" s="6" t="s">
        <v>849</v>
      </c>
      <c r="B1040" s="7">
        <v>45210.270138888889</v>
      </c>
      <c r="C1040" s="6">
        <v>104</v>
      </c>
      <c r="D1040" s="6" t="s">
        <v>792</v>
      </c>
      <c r="E1040" s="8" t="str">
        <f>IFERROR(VLOOKUP(LOG_RESEAU[[#This Row],[Cell_ID]],Registre_Maintenance!A:B,2,FALSE),"Non trouvé")</f>
        <v>Non trouvé</v>
      </c>
      <c r="F1040" s="8" t="str">
        <f>IFERROR(VLOOKUP(LOG_RESEAU[[#This Row],[Cell_ID]],Registre_Maintenance!A:C,3,FALSE),"Non trouvé")</f>
        <v>Non trouvé</v>
      </c>
      <c r="G1040" s="8" t="str">
        <f>IFERROR(VLOOKUP(LOG_RESEAU[[#This Row],[Cell_ID]],Registre_Maintenance!A:D,4,FALSE),"Non trouvé")</f>
        <v>Non trouvé</v>
      </c>
      <c r="H1040" s="6" t="str">
        <f>IFERROR(VLOOKUP(LOG_RESEAU[[#This Row],[Cell_ID]],Registre_Maintenance!A:E,5,FALSE),"Non trouvé")</f>
        <v>Non trouvé</v>
      </c>
      <c r="I1040" s="6" t="str">
        <f>IFERROR(VLOOKUP(LOG_RESEAU[[#This Row],[Cell_ID]],Registre_Maintenance!A:F,6,FALSE),"Non trouvé")</f>
        <v>Non trouvé</v>
      </c>
      <c r="J1040" s="6" t="str">
        <f t="shared" si="48"/>
        <v>Antenne inconnue</v>
      </c>
      <c r="K1040" s="6">
        <f t="shared" si="49"/>
        <v>4</v>
      </c>
      <c r="L1040" s="6">
        <f t="shared" si="50"/>
        <v>396</v>
      </c>
    </row>
    <row r="1041" spans="1:12" ht="15.75" x14ac:dyDescent="0.25">
      <c r="A1041" s="6" t="s">
        <v>813</v>
      </c>
      <c r="B1041" s="7">
        <v>45208.073611111111</v>
      </c>
      <c r="C1041" s="6">
        <v>52</v>
      </c>
      <c r="D1041" s="6" t="s">
        <v>794</v>
      </c>
      <c r="E1041" s="8" t="str">
        <f>IFERROR(VLOOKUP(LOG_RESEAU[[#This Row],[Cell_ID]],Registre_Maintenance!A:B,2,FALSE),"Non trouvé")</f>
        <v>Non trouvé</v>
      </c>
      <c r="F1041" s="8" t="str">
        <f>IFERROR(VLOOKUP(LOG_RESEAU[[#This Row],[Cell_ID]],Registre_Maintenance!A:C,3,FALSE),"Non trouvé")</f>
        <v>Non trouvé</v>
      </c>
      <c r="G1041" s="8" t="str">
        <f>IFERROR(VLOOKUP(LOG_RESEAU[[#This Row],[Cell_ID]],Registre_Maintenance!A:D,4,FALSE),"Non trouvé")</f>
        <v>Non trouvé</v>
      </c>
      <c r="H1041" s="6" t="str">
        <f>IFERROR(VLOOKUP(LOG_RESEAU[[#This Row],[Cell_ID]],Registre_Maintenance!A:E,5,FALSE),"Non trouvé")</f>
        <v>Non trouvé</v>
      </c>
      <c r="I1041" s="6" t="str">
        <f>IFERROR(VLOOKUP(LOG_RESEAU[[#This Row],[Cell_ID]],Registre_Maintenance!A:F,6,FALSE),"Non trouvé")</f>
        <v>Non trouvé</v>
      </c>
      <c r="J1041" s="6" t="str">
        <f t="shared" si="48"/>
        <v>Antenne inconnue</v>
      </c>
      <c r="K1041" s="6">
        <f t="shared" si="49"/>
        <v>8</v>
      </c>
      <c r="L1041" s="6">
        <f t="shared" si="50"/>
        <v>550</v>
      </c>
    </row>
    <row r="1042" spans="1:12" ht="15.75" x14ac:dyDescent="0.25">
      <c r="A1042" s="6" t="s">
        <v>813</v>
      </c>
      <c r="B1042" s="7">
        <v>45229.503472222219</v>
      </c>
      <c r="C1042" s="6">
        <v>118</v>
      </c>
      <c r="D1042" s="6" t="s">
        <v>792</v>
      </c>
      <c r="E1042" s="8" t="str">
        <f>IFERROR(VLOOKUP(LOG_RESEAU[[#This Row],[Cell_ID]],Registre_Maintenance!A:B,2,FALSE),"Non trouvé")</f>
        <v>Non trouvé</v>
      </c>
      <c r="F1042" s="8" t="str">
        <f>IFERROR(VLOOKUP(LOG_RESEAU[[#This Row],[Cell_ID]],Registre_Maintenance!A:C,3,FALSE),"Non trouvé")</f>
        <v>Non trouvé</v>
      </c>
      <c r="G1042" s="8" t="str">
        <f>IFERROR(VLOOKUP(LOG_RESEAU[[#This Row],[Cell_ID]],Registre_Maintenance!A:D,4,FALSE),"Non trouvé")</f>
        <v>Non trouvé</v>
      </c>
      <c r="H1042" s="6" t="str">
        <f>IFERROR(VLOOKUP(LOG_RESEAU[[#This Row],[Cell_ID]],Registre_Maintenance!A:E,5,FALSE),"Non trouvé")</f>
        <v>Non trouvé</v>
      </c>
      <c r="I1042" s="6" t="str">
        <f>IFERROR(VLOOKUP(LOG_RESEAU[[#This Row],[Cell_ID]],Registre_Maintenance!A:F,6,FALSE),"Non trouvé")</f>
        <v>Non trouvé</v>
      </c>
      <c r="J1042" s="6" t="str">
        <f t="shared" si="48"/>
        <v>Antenne inconnue</v>
      </c>
      <c r="K1042" s="6">
        <f t="shared" si="49"/>
        <v>8</v>
      </c>
      <c r="L1042" s="6">
        <f t="shared" si="50"/>
        <v>550</v>
      </c>
    </row>
    <row r="1043" spans="1:12" ht="15.75" x14ac:dyDescent="0.25">
      <c r="A1043" s="6" t="s">
        <v>813</v>
      </c>
      <c r="B1043" s="7">
        <v>45220.411805555559</v>
      </c>
      <c r="C1043" s="6">
        <v>106</v>
      </c>
      <c r="D1043" s="6" t="s">
        <v>792</v>
      </c>
      <c r="E1043" s="8" t="str">
        <f>IFERROR(VLOOKUP(LOG_RESEAU[[#This Row],[Cell_ID]],Registre_Maintenance!A:B,2,FALSE),"Non trouvé")</f>
        <v>Non trouvé</v>
      </c>
      <c r="F1043" s="8" t="str">
        <f>IFERROR(VLOOKUP(LOG_RESEAU[[#This Row],[Cell_ID]],Registre_Maintenance!A:C,3,FALSE),"Non trouvé")</f>
        <v>Non trouvé</v>
      </c>
      <c r="G1043" s="8" t="str">
        <f>IFERROR(VLOOKUP(LOG_RESEAU[[#This Row],[Cell_ID]],Registre_Maintenance!A:D,4,FALSE),"Non trouvé")</f>
        <v>Non trouvé</v>
      </c>
      <c r="H1043" s="6" t="str">
        <f>IFERROR(VLOOKUP(LOG_RESEAU[[#This Row],[Cell_ID]],Registre_Maintenance!A:E,5,FALSE),"Non trouvé")</f>
        <v>Non trouvé</v>
      </c>
      <c r="I1043" s="6" t="str">
        <f>IFERROR(VLOOKUP(LOG_RESEAU[[#This Row],[Cell_ID]],Registre_Maintenance!A:F,6,FALSE),"Non trouvé")</f>
        <v>Non trouvé</v>
      </c>
      <c r="J1043" s="6" t="str">
        <f t="shared" si="48"/>
        <v>Antenne inconnue</v>
      </c>
      <c r="K1043" s="6">
        <f t="shared" si="49"/>
        <v>8</v>
      </c>
      <c r="L1043" s="6">
        <f t="shared" si="50"/>
        <v>550</v>
      </c>
    </row>
    <row r="1044" spans="1:12" ht="15.75" x14ac:dyDescent="0.25">
      <c r="A1044" s="6" t="s">
        <v>813</v>
      </c>
      <c r="B1044" s="7">
        <v>45209.588194444441</v>
      </c>
      <c r="C1044" s="6">
        <v>92</v>
      </c>
      <c r="D1044" s="6" t="s">
        <v>794</v>
      </c>
      <c r="E1044" s="8" t="str">
        <f>IFERROR(VLOOKUP(LOG_RESEAU[[#This Row],[Cell_ID]],Registre_Maintenance!A:B,2,FALSE),"Non trouvé")</f>
        <v>Non trouvé</v>
      </c>
      <c r="F1044" s="8" t="str">
        <f>IFERROR(VLOOKUP(LOG_RESEAU[[#This Row],[Cell_ID]],Registre_Maintenance!A:C,3,FALSE),"Non trouvé")</f>
        <v>Non trouvé</v>
      </c>
      <c r="G1044" s="8" t="str">
        <f>IFERROR(VLOOKUP(LOG_RESEAU[[#This Row],[Cell_ID]],Registre_Maintenance!A:D,4,FALSE),"Non trouvé")</f>
        <v>Non trouvé</v>
      </c>
      <c r="H1044" s="6" t="str">
        <f>IFERROR(VLOOKUP(LOG_RESEAU[[#This Row],[Cell_ID]],Registre_Maintenance!A:E,5,FALSE),"Non trouvé")</f>
        <v>Non trouvé</v>
      </c>
      <c r="I1044" s="6" t="str">
        <f>IFERROR(VLOOKUP(LOG_RESEAU[[#This Row],[Cell_ID]],Registre_Maintenance!A:F,6,FALSE),"Non trouvé")</f>
        <v>Non trouvé</v>
      </c>
      <c r="J1044" s="6" t="str">
        <f t="shared" si="48"/>
        <v>Antenne inconnue</v>
      </c>
      <c r="K1044" s="6">
        <f t="shared" si="49"/>
        <v>8</v>
      </c>
      <c r="L1044" s="6">
        <f t="shared" si="50"/>
        <v>550</v>
      </c>
    </row>
    <row r="1045" spans="1:12" ht="15.75" x14ac:dyDescent="0.25">
      <c r="A1045" s="6" t="s">
        <v>813</v>
      </c>
      <c r="B1045" s="7">
        <v>45229.801388888889</v>
      </c>
      <c r="C1045" s="6">
        <v>33</v>
      </c>
      <c r="D1045" s="6" t="s">
        <v>794</v>
      </c>
      <c r="E1045" s="8" t="str">
        <f>IFERROR(VLOOKUP(LOG_RESEAU[[#This Row],[Cell_ID]],Registre_Maintenance!A:B,2,FALSE),"Non trouvé")</f>
        <v>Non trouvé</v>
      </c>
      <c r="F1045" s="8" t="str">
        <f>IFERROR(VLOOKUP(LOG_RESEAU[[#This Row],[Cell_ID]],Registre_Maintenance!A:C,3,FALSE),"Non trouvé")</f>
        <v>Non trouvé</v>
      </c>
      <c r="G1045" s="8" t="str">
        <f>IFERROR(VLOOKUP(LOG_RESEAU[[#This Row],[Cell_ID]],Registre_Maintenance!A:D,4,FALSE),"Non trouvé")</f>
        <v>Non trouvé</v>
      </c>
      <c r="H1045" s="6" t="str">
        <f>IFERROR(VLOOKUP(LOG_RESEAU[[#This Row],[Cell_ID]],Registre_Maintenance!A:E,5,FALSE),"Non trouvé")</f>
        <v>Non trouvé</v>
      </c>
      <c r="I1045" s="6" t="str">
        <f>IFERROR(VLOOKUP(LOG_RESEAU[[#This Row],[Cell_ID]],Registre_Maintenance!A:F,6,FALSE),"Non trouvé")</f>
        <v>Non trouvé</v>
      </c>
      <c r="J1045" s="6" t="str">
        <f t="shared" si="48"/>
        <v>Antenne inconnue</v>
      </c>
      <c r="K1045" s="6">
        <f t="shared" si="49"/>
        <v>8</v>
      </c>
      <c r="L1045" s="6">
        <f t="shared" si="50"/>
        <v>550</v>
      </c>
    </row>
    <row r="1046" spans="1:12" ht="15.75" x14ac:dyDescent="0.25">
      <c r="A1046" s="6" t="s">
        <v>813</v>
      </c>
      <c r="B1046" s="7">
        <v>45211.692361111112</v>
      </c>
      <c r="C1046" s="6">
        <v>73</v>
      </c>
      <c r="D1046" s="6" t="s">
        <v>800</v>
      </c>
      <c r="E1046" s="8" t="str">
        <f>IFERROR(VLOOKUP(LOG_RESEAU[[#This Row],[Cell_ID]],Registre_Maintenance!A:B,2,FALSE),"Non trouvé")</f>
        <v>Non trouvé</v>
      </c>
      <c r="F1046" s="8" t="str">
        <f>IFERROR(VLOOKUP(LOG_RESEAU[[#This Row],[Cell_ID]],Registre_Maintenance!A:C,3,FALSE),"Non trouvé")</f>
        <v>Non trouvé</v>
      </c>
      <c r="G1046" s="8" t="str">
        <f>IFERROR(VLOOKUP(LOG_RESEAU[[#This Row],[Cell_ID]],Registre_Maintenance!A:D,4,FALSE),"Non trouvé")</f>
        <v>Non trouvé</v>
      </c>
      <c r="H1046" s="6" t="str">
        <f>IFERROR(VLOOKUP(LOG_RESEAU[[#This Row],[Cell_ID]],Registre_Maintenance!A:E,5,FALSE),"Non trouvé")</f>
        <v>Non trouvé</v>
      </c>
      <c r="I1046" s="6" t="str">
        <f>IFERROR(VLOOKUP(LOG_RESEAU[[#This Row],[Cell_ID]],Registre_Maintenance!A:F,6,FALSE),"Non trouvé")</f>
        <v>Non trouvé</v>
      </c>
      <c r="J1046" s="6" t="str">
        <f t="shared" si="48"/>
        <v>Antenne inconnue</v>
      </c>
      <c r="K1046" s="6">
        <f t="shared" si="49"/>
        <v>8</v>
      </c>
      <c r="L1046" s="6">
        <f t="shared" si="50"/>
        <v>550</v>
      </c>
    </row>
    <row r="1047" spans="1:12" ht="15.75" x14ac:dyDescent="0.25">
      <c r="A1047" s="6" t="s">
        <v>813</v>
      </c>
      <c r="B1047" s="7">
        <v>45228.651388888888</v>
      </c>
      <c r="C1047" s="6">
        <v>71</v>
      </c>
      <c r="D1047" s="6" t="s">
        <v>792</v>
      </c>
      <c r="E1047" s="8" t="str">
        <f>IFERROR(VLOOKUP(LOG_RESEAU[[#This Row],[Cell_ID]],Registre_Maintenance!A:B,2,FALSE),"Non trouvé")</f>
        <v>Non trouvé</v>
      </c>
      <c r="F1047" s="8" t="str">
        <f>IFERROR(VLOOKUP(LOG_RESEAU[[#This Row],[Cell_ID]],Registre_Maintenance!A:C,3,FALSE),"Non trouvé")</f>
        <v>Non trouvé</v>
      </c>
      <c r="G1047" s="8" t="str">
        <f>IFERROR(VLOOKUP(LOG_RESEAU[[#This Row],[Cell_ID]],Registre_Maintenance!A:D,4,FALSE),"Non trouvé")</f>
        <v>Non trouvé</v>
      </c>
      <c r="H1047" s="6" t="str">
        <f>IFERROR(VLOOKUP(LOG_RESEAU[[#This Row],[Cell_ID]],Registre_Maintenance!A:E,5,FALSE),"Non trouvé")</f>
        <v>Non trouvé</v>
      </c>
      <c r="I1047" s="6" t="str">
        <f>IFERROR(VLOOKUP(LOG_RESEAU[[#This Row],[Cell_ID]],Registre_Maintenance!A:F,6,FALSE),"Non trouvé")</f>
        <v>Non trouvé</v>
      </c>
      <c r="J1047" s="6" t="str">
        <f t="shared" si="48"/>
        <v>Antenne inconnue</v>
      </c>
      <c r="K1047" s="6">
        <f t="shared" si="49"/>
        <v>8</v>
      </c>
      <c r="L1047" s="6">
        <f t="shared" si="50"/>
        <v>550</v>
      </c>
    </row>
    <row r="1048" spans="1:12" ht="15.75" x14ac:dyDescent="0.25">
      <c r="A1048" s="6" t="s">
        <v>813</v>
      </c>
      <c r="B1048" s="7">
        <v>45203.991666666669</v>
      </c>
      <c r="C1048" s="6">
        <v>5</v>
      </c>
      <c r="D1048" s="6" t="s">
        <v>792</v>
      </c>
      <c r="E1048" s="8" t="str">
        <f>IFERROR(VLOOKUP(LOG_RESEAU[[#This Row],[Cell_ID]],Registre_Maintenance!A:B,2,FALSE),"Non trouvé")</f>
        <v>Non trouvé</v>
      </c>
      <c r="F1048" s="8" t="str">
        <f>IFERROR(VLOOKUP(LOG_RESEAU[[#This Row],[Cell_ID]],Registre_Maintenance!A:C,3,FALSE),"Non trouvé")</f>
        <v>Non trouvé</v>
      </c>
      <c r="G1048" s="8" t="str">
        <f>IFERROR(VLOOKUP(LOG_RESEAU[[#This Row],[Cell_ID]],Registre_Maintenance!A:D,4,FALSE),"Non trouvé")</f>
        <v>Non trouvé</v>
      </c>
      <c r="H1048" s="6" t="str">
        <f>IFERROR(VLOOKUP(LOG_RESEAU[[#This Row],[Cell_ID]],Registre_Maintenance!A:E,5,FALSE),"Non trouvé")</f>
        <v>Non trouvé</v>
      </c>
      <c r="I1048" s="6" t="str">
        <f>IFERROR(VLOOKUP(LOG_RESEAU[[#This Row],[Cell_ID]],Registre_Maintenance!A:F,6,FALSE),"Non trouvé")</f>
        <v>Non trouvé</v>
      </c>
      <c r="J1048" s="6" t="str">
        <f t="shared" si="48"/>
        <v>Antenne inconnue</v>
      </c>
      <c r="K1048" s="6">
        <f t="shared" si="49"/>
        <v>8</v>
      </c>
      <c r="L1048" s="6">
        <f t="shared" si="50"/>
        <v>550</v>
      </c>
    </row>
    <row r="1049" spans="1:12" ht="15.75" x14ac:dyDescent="0.25">
      <c r="A1049" s="6" t="s">
        <v>872</v>
      </c>
      <c r="B1049" s="7">
        <v>45228.775000000001</v>
      </c>
      <c r="C1049" s="6">
        <v>62</v>
      </c>
      <c r="D1049" s="6" t="s">
        <v>792</v>
      </c>
      <c r="E1049" s="8" t="str">
        <f>IFERROR(VLOOKUP(LOG_RESEAU[[#This Row],[Cell_ID]],Registre_Maintenance!A:B,2,FALSE),"Non trouvé")</f>
        <v>Non trouvé</v>
      </c>
      <c r="F1049" s="8" t="str">
        <f>IFERROR(VLOOKUP(LOG_RESEAU[[#This Row],[Cell_ID]],Registre_Maintenance!A:C,3,FALSE),"Non trouvé")</f>
        <v>Non trouvé</v>
      </c>
      <c r="G1049" s="8" t="str">
        <f>IFERROR(VLOOKUP(LOG_RESEAU[[#This Row],[Cell_ID]],Registre_Maintenance!A:D,4,FALSE),"Non trouvé")</f>
        <v>Non trouvé</v>
      </c>
      <c r="H1049" s="6" t="str">
        <f>IFERROR(VLOOKUP(LOG_RESEAU[[#This Row],[Cell_ID]],Registre_Maintenance!A:E,5,FALSE),"Non trouvé")</f>
        <v>Non trouvé</v>
      </c>
      <c r="I1049" s="6" t="str">
        <f>IFERROR(VLOOKUP(LOG_RESEAU[[#This Row],[Cell_ID]],Registre_Maintenance!A:F,6,FALSE),"Non trouvé")</f>
        <v>Non trouvé</v>
      </c>
      <c r="J1049" s="6" t="str">
        <f t="shared" si="48"/>
        <v>Antenne inconnue</v>
      </c>
      <c r="K1049" s="6">
        <f t="shared" si="49"/>
        <v>4</v>
      </c>
      <c r="L1049" s="6">
        <f t="shared" si="50"/>
        <v>389</v>
      </c>
    </row>
    <row r="1050" spans="1:12" ht="15.75" x14ac:dyDescent="0.25">
      <c r="A1050" s="6" t="s">
        <v>872</v>
      </c>
      <c r="B1050" s="7">
        <v>45226.709722222222</v>
      </c>
      <c r="C1050" s="6">
        <v>96</v>
      </c>
      <c r="D1050" s="6" t="s">
        <v>792</v>
      </c>
      <c r="E1050" s="8" t="str">
        <f>IFERROR(VLOOKUP(LOG_RESEAU[[#This Row],[Cell_ID]],Registre_Maintenance!A:B,2,FALSE),"Non trouvé")</f>
        <v>Non trouvé</v>
      </c>
      <c r="F1050" s="8" t="str">
        <f>IFERROR(VLOOKUP(LOG_RESEAU[[#This Row],[Cell_ID]],Registre_Maintenance!A:C,3,FALSE),"Non trouvé")</f>
        <v>Non trouvé</v>
      </c>
      <c r="G1050" s="8" t="str">
        <f>IFERROR(VLOOKUP(LOG_RESEAU[[#This Row],[Cell_ID]],Registre_Maintenance!A:D,4,FALSE),"Non trouvé")</f>
        <v>Non trouvé</v>
      </c>
      <c r="H1050" s="6" t="str">
        <f>IFERROR(VLOOKUP(LOG_RESEAU[[#This Row],[Cell_ID]],Registre_Maintenance!A:E,5,FALSE),"Non trouvé")</f>
        <v>Non trouvé</v>
      </c>
      <c r="I1050" s="6" t="str">
        <f>IFERROR(VLOOKUP(LOG_RESEAU[[#This Row],[Cell_ID]],Registre_Maintenance!A:F,6,FALSE),"Non trouvé")</f>
        <v>Non trouvé</v>
      </c>
      <c r="J1050" s="6" t="str">
        <f t="shared" si="48"/>
        <v>Antenne inconnue</v>
      </c>
      <c r="K1050" s="6">
        <f t="shared" si="49"/>
        <v>4</v>
      </c>
      <c r="L1050" s="6">
        <f t="shared" si="50"/>
        <v>389</v>
      </c>
    </row>
    <row r="1051" spans="1:12" ht="15.75" x14ac:dyDescent="0.25">
      <c r="A1051" s="6" t="s">
        <v>872</v>
      </c>
      <c r="B1051" s="7">
        <v>45213.496527777781</v>
      </c>
      <c r="C1051" s="6">
        <v>117</v>
      </c>
      <c r="D1051" s="6" t="s">
        <v>800</v>
      </c>
      <c r="E1051" s="8" t="str">
        <f>IFERROR(VLOOKUP(LOG_RESEAU[[#This Row],[Cell_ID]],Registre_Maintenance!A:B,2,FALSE),"Non trouvé")</f>
        <v>Non trouvé</v>
      </c>
      <c r="F1051" s="8" t="str">
        <f>IFERROR(VLOOKUP(LOG_RESEAU[[#This Row],[Cell_ID]],Registre_Maintenance!A:C,3,FALSE),"Non trouvé")</f>
        <v>Non trouvé</v>
      </c>
      <c r="G1051" s="8" t="str">
        <f>IFERROR(VLOOKUP(LOG_RESEAU[[#This Row],[Cell_ID]],Registre_Maintenance!A:D,4,FALSE),"Non trouvé")</f>
        <v>Non trouvé</v>
      </c>
      <c r="H1051" s="6" t="str">
        <f>IFERROR(VLOOKUP(LOG_RESEAU[[#This Row],[Cell_ID]],Registre_Maintenance!A:E,5,FALSE),"Non trouvé")</f>
        <v>Non trouvé</v>
      </c>
      <c r="I1051" s="6" t="str">
        <f>IFERROR(VLOOKUP(LOG_RESEAU[[#This Row],[Cell_ID]],Registre_Maintenance!A:F,6,FALSE),"Non trouvé")</f>
        <v>Non trouvé</v>
      </c>
      <c r="J1051" s="6" t="str">
        <f t="shared" si="48"/>
        <v>Antenne inconnue</v>
      </c>
      <c r="K1051" s="6">
        <f t="shared" si="49"/>
        <v>4</v>
      </c>
      <c r="L1051" s="6">
        <f t="shared" si="50"/>
        <v>389</v>
      </c>
    </row>
    <row r="1052" spans="1:12" ht="15.75" x14ac:dyDescent="0.25">
      <c r="A1052" s="6" t="s">
        <v>872</v>
      </c>
      <c r="B1052" s="7">
        <v>45202.161805555559</v>
      </c>
      <c r="C1052" s="6">
        <v>114</v>
      </c>
      <c r="D1052" s="6" t="s">
        <v>800</v>
      </c>
      <c r="E1052" s="8" t="str">
        <f>IFERROR(VLOOKUP(LOG_RESEAU[[#This Row],[Cell_ID]],Registre_Maintenance!A:B,2,FALSE),"Non trouvé")</f>
        <v>Non trouvé</v>
      </c>
      <c r="F1052" s="8" t="str">
        <f>IFERROR(VLOOKUP(LOG_RESEAU[[#This Row],[Cell_ID]],Registre_Maintenance!A:C,3,FALSE),"Non trouvé")</f>
        <v>Non trouvé</v>
      </c>
      <c r="G1052" s="8" t="str">
        <f>IFERROR(VLOOKUP(LOG_RESEAU[[#This Row],[Cell_ID]],Registre_Maintenance!A:D,4,FALSE),"Non trouvé")</f>
        <v>Non trouvé</v>
      </c>
      <c r="H1052" s="6" t="str">
        <f>IFERROR(VLOOKUP(LOG_RESEAU[[#This Row],[Cell_ID]],Registre_Maintenance!A:E,5,FALSE),"Non trouvé")</f>
        <v>Non trouvé</v>
      </c>
      <c r="I1052" s="6" t="str">
        <f>IFERROR(VLOOKUP(LOG_RESEAU[[#This Row],[Cell_ID]],Registre_Maintenance!A:F,6,FALSE),"Non trouvé")</f>
        <v>Non trouvé</v>
      </c>
      <c r="J1052" s="6" t="str">
        <f t="shared" si="48"/>
        <v>Antenne inconnue</v>
      </c>
      <c r="K1052" s="6">
        <f t="shared" si="49"/>
        <v>4</v>
      </c>
      <c r="L1052" s="6">
        <f t="shared" si="50"/>
        <v>389</v>
      </c>
    </row>
    <row r="1053" spans="1:12" ht="15.75" x14ac:dyDescent="0.25">
      <c r="A1053" s="6" t="s">
        <v>864</v>
      </c>
      <c r="B1053" s="7">
        <v>45203.301388888889</v>
      </c>
      <c r="C1053" s="6">
        <v>35</v>
      </c>
      <c r="D1053" s="6" t="s">
        <v>800</v>
      </c>
      <c r="E1053" s="8" t="str">
        <f>IFERROR(VLOOKUP(LOG_RESEAU[[#This Row],[Cell_ID]],Registre_Maintenance!A:B,2,FALSE),"Non trouvé")</f>
        <v>Non trouvé</v>
      </c>
      <c r="F1053" s="8" t="str">
        <f>IFERROR(VLOOKUP(LOG_RESEAU[[#This Row],[Cell_ID]],Registre_Maintenance!A:C,3,FALSE),"Non trouvé")</f>
        <v>Non trouvé</v>
      </c>
      <c r="G1053" s="8" t="str">
        <f>IFERROR(VLOOKUP(LOG_RESEAU[[#This Row],[Cell_ID]],Registre_Maintenance!A:D,4,FALSE),"Non trouvé")</f>
        <v>Non trouvé</v>
      </c>
      <c r="H1053" s="6" t="str">
        <f>IFERROR(VLOOKUP(LOG_RESEAU[[#This Row],[Cell_ID]],Registre_Maintenance!A:E,5,FALSE),"Non trouvé")</f>
        <v>Non trouvé</v>
      </c>
      <c r="I1053" s="6" t="str">
        <f>IFERROR(VLOOKUP(LOG_RESEAU[[#This Row],[Cell_ID]],Registre_Maintenance!A:F,6,FALSE),"Non trouvé")</f>
        <v>Non trouvé</v>
      </c>
      <c r="J1053" s="6" t="str">
        <f t="shared" si="48"/>
        <v>Antenne inconnue</v>
      </c>
      <c r="K1053" s="6">
        <f t="shared" si="49"/>
        <v>6</v>
      </c>
      <c r="L1053" s="6">
        <f t="shared" si="50"/>
        <v>150</v>
      </c>
    </row>
    <row r="1054" spans="1:12" ht="15.75" x14ac:dyDescent="0.25">
      <c r="A1054" s="6" t="s">
        <v>919</v>
      </c>
      <c r="B1054" s="7">
        <v>45230.004861111112</v>
      </c>
      <c r="C1054" s="6">
        <v>21</v>
      </c>
      <c r="D1054" s="6" t="s">
        <v>794</v>
      </c>
      <c r="E1054" s="8" t="str">
        <f>IFERROR(VLOOKUP(LOG_RESEAU[[#This Row],[Cell_ID]],Registre_Maintenance!A:B,2,FALSE),"Non trouvé")</f>
        <v>Non trouvé</v>
      </c>
      <c r="F1054" s="8" t="str">
        <f>IFERROR(VLOOKUP(LOG_RESEAU[[#This Row],[Cell_ID]],Registre_Maintenance!A:C,3,FALSE),"Non trouvé")</f>
        <v>Non trouvé</v>
      </c>
      <c r="G1054" s="8" t="str">
        <f>IFERROR(VLOOKUP(LOG_RESEAU[[#This Row],[Cell_ID]],Registre_Maintenance!A:D,4,FALSE),"Non trouvé")</f>
        <v>Non trouvé</v>
      </c>
      <c r="H1054" s="6" t="str">
        <f>IFERROR(VLOOKUP(LOG_RESEAU[[#This Row],[Cell_ID]],Registre_Maintenance!A:E,5,FALSE),"Non trouvé")</f>
        <v>Non trouvé</v>
      </c>
      <c r="I1054" s="6" t="str">
        <f>IFERROR(VLOOKUP(LOG_RESEAU[[#This Row],[Cell_ID]],Registre_Maintenance!A:F,6,FALSE),"Non trouvé")</f>
        <v>Non trouvé</v>
      </c>
      <c r="J1054" s="6" t="str">
        <f t="shared" si="48"/>
        <v>Antenne inconnue</v>
      </c>
      <c r="K1054" s="6">
        <f t="shared" si="49"/>
        <v>6</v>
      </c>
      <c r="L1054" s="6">
        <f t="shared" si="50"/>
        <v>150</v>
      </c>
    </row>
    <row r="1055" spans="1:12" ht="15.75" x14ac:dyDescent="0.25">
      <c r="A1055" s="6" t="s">
        <v>919</v>
      </c>
      <c r="B1055" s="7">
        <v>45214.109722222223</v>
      </c>
      <c r="C1055" s="6">
        <v>17</v>
      </c>
      <c r="D1055" s="6" t="s">
        <v>792</v>
      </c>
      <c r="E1055" s="8" t="str">
        <f>IFERROR(VLOOKUP(LOG_RESEAU[[#This Row],[Cell_ID]],Registre_Maintenance!A:B,2,FALSE),"Non trouvé")</f>
        <v>Non trouvé</v>
      </c>
      <c r="F1055" s="8" t="str">
        <f>IFERROR(VLOOKUP(LOG_RESEAU[[#This Row],[Cell_ID]],Registre_Maintenance!A:C,3,FALSE),"Non trouvé")</f>
        <v>Non trouvé</v>
      </c>
      <c r="G1055" s="8" t="str">
        <f>IFERROR(VLOOKUP(LOG_RESEAU[[#This Row],[Cell_ID]],Registre_Maintenance!A:D,4,FALSE),"Non trouvé")</f>
        <v>Non trouvé</v>
      </c>
      <c r="H1055" s="6" t="str">
        <f>IFERROR(VLOOKUP(LOG_RESEAU[[#This Row],[Cell_ID]],Registre_Maintenance!A:E,5,FALSE),"Non trouvé")</f>
        <v>Non trouvé</v>
      </c>
      <c r="I1055" s="6" t="str">
        <f>IFERROR(VLOOKUP(LOG_RESEAU[[#This Row],[Cell_ID]],Registre_Maintenance!A:F,6,FALSE),"Non trouvé")</f>
        <v>Non trouvé</v>
      </c>
      <c r="J1055" s="6" t="str">
        <f t="shared" si="48"/>
        <v>Antenne inconnue</v>
      </c>
      <c r="K1055" s="6">
        <f t="shared" si="49"/>
        <v>6</v>
      </c>
      <c r="L1055" s="6">
        <f t="shared" si="50"/>
        <v>150</v>
      </c>
    </row>
    <row r="1056" spans="1:12" ht="15.75" x14ac:dyDescent="0.25">
      <c r="A1056" s="6" t="s">
        <v>919</v>
      </c>
      <c r="B1056" s="7">
        <v>45211.106249999997</v>
      </c>
      <c r="C1056" s="6">
        <v>16</v>
      </c>
      <c r="D1056" s="6" t="s">
        <v>800</v>
      </c>
      <c r="E1056" s="8" t="str">
        <f>IFERROR(VLOOKUP(LOG_RESEAU[[#This Row],[Cell_ID]],Registre_Maintenance!A:B,2,FALSE),"Non trouvé")</f>
        <v>Non trouvé</v>
      </c>
      <c r="F1056" s="8" t="str">
        <f>IFERROR(VLOOKUP(LOG_RESEAU[[#This Row],[Cell_ID]],Registre_Maintenance!A:C,3,FALSE),"Non trouvé")</f>
        <v>Non trouvé</v>
      </c>
      <c r="G1056" s="8" t="str">
        <f>IFERROR(VLOOKUP(LOG_RESEAU[[#This Row],[Cell_ID]],Registre_Maintenance!A:D,4,FALSE),"Non trouvé")</f>
        <v>Non trouvé</v>
      </c>
      <c r="H1056" s="6" t="str">
        <f>IFERROR(VLOOKUP(LOG_RESEAU[[#This Row],[Cell_ID]],Registre_Maintenance!A:E,5,FALSE),"Non trouvé")</f>
        <v>Non trouvé</v>
      </c>
      <c r="I1056" s="6" t="str">
        <f>IFERROR(VLOOKUP(LOG_RESEAU[[#This Row],[Cell_ID]],Registre_Maintenance!A:F,6,FALSE),"Non trouvé")</f>
        <v>Non trouvé</v>
      </c>
      <c r="J1056" s="6" t="str">
        <f t="shared" si="48"/>
        <v>Antenne inconnue</v>
      </c>
      <c r="K1056" s="6">
        <f t="shared" si="49"/>
        <v>6</v>
      </c>
      <c r="L1056" s="6">
        <f t="shared" si="50"/>
        <v>150</v>
      </c>
    </row>
    <row r="1057" spans="1:12" ht="15.75" x14ac:dyDescent="0.25">
      <c r="A1057" s="6" t="s">
        <v>919</v>
      </c>
      <c r="B1057" s="7">
        <v>45201.623611111107</v>
      </c>
      <c r="C1057" s="6">
        <v>9</v>
      </c>
      <c r="D1057" s="6" t="s">
        <v>794</v>
      </c>
      <c r="E1057" s="8" t="str">
        <f>IFERROR(VLOOKUP(LOG_RESEAU[[#This Row],[Cell_ID]],Registre_Maintenance!A:B,2,FALSE),"Non trouvé")</f>
        <v>Non trouvé</v>
      </c>
      <c r="F1057" s="8" t="str">
        <f>IFERROR(VLOOKUP(LOG_RESEAU[[#This Row],[Cell_ID]],Registre_Maintenance!A:C,3,FALSE),"Non trouvé")</f>
        <v>Non trouvé</v>
      </c>
      <c r="G1057" s="8" t="str">
        <f>IFERROR(VLOOKUP(LOG_RESEAU[[#This Row],[Cell_ID]],Registre_Maintenance!A:D,4,FALSE),"Non trouvé")</f>
        <v>Non trouvé</v>
      </c>
      <c r="H1057" s="6" t="str">
        <f>IFERROR(VLOOKUP(LOG_RESEAU[[#This Row],[Cell_ID]],Registre_Maintenance!A:E,5,FALSE),"Non trouvé")</f>
        <v>Non trouvé</v>
      </c>
      <c r="I1057" s="6" t="str">
        <f>IFERROR(VLOOKUP(LOG_RESEAU[[#This Row],[Cell_ID]],Registre_Maintenance!A:F,6,FALSE),"Non trouvé")</f>
        <v>Non trouvé</v>
      </c>
      <c r="J1057" s="6" t="str">
        <f t="shared" si="48"/>
        <v>Antenne inconnue</v>
      </c>
      <c r="K1057" s="6">
        <f t="shared" si="49"/>
        <v>6</v>
      </c>
      <c r="L1057" s="6">
        <f t="shared" si="50"/>
        <v>150</v>
      </c>
    </row>
    <row r="1058" spans="1:12" ht="15.75" x14ac:dyDescent="0.25">
      <c r="A1058" s="6" t="s">
        <v>919</v>
      </c>
      <c r="B1058" s="7">
        <v>45230.731944444437</v>
      </c>
      <c r="C1058" s="6">
        <v>52</v>
      </c>
      <c r="D1058" s="6" t="s">
        <v>794</v>
      </c>
      <c r="E1058" s="8" t="str">
        <f>IFERROR(VLOOKUP(LOG_RESEAU[[#This Row],[Cell_ID]],Registre_Maintenance!A:B,2,FALSE),"Non trouvé")</f>
        <v>Non trouvé</v>
      </c>
      <c r="F1058" s="8" t="str">
        <f>IFERROR(VLOOKUP(LOG_RESEAU[[#This Row],[Cell_ID]],Registre_Maintenance!A:C,3,FALSE),"Non trouvé")</f>
        <v>Non trouvé</v>
      </c>
      <c r="G1058" s="8" t="str">
        <f>IFERROR(VLOOKUP(LOG_RESEAU[[#This Row],[Cell_ID]],Registre_Maintenance!A:D,4,FALSE),"Non trouvé")</f>
        <v>Non trouvé</v>
      </c>
      <c r="H1058" s="6" t="str">
        <f>IFERROR(VLOOKUP(LOG_RESEAU[[#This Row],[Cell_ID]],Registre_Maintenance!A:E,5,FALSE),"Non trouvé")</f>
        <v>Non trouvé</v>
      </c>
      <c r="I1058" s="6" t="str">
        <f>IFERROR(VLOOKUP(LOG_RESEAU[[#This Row],[Cell_ID]],Registre_Maintenance!A:F,6,FALSE),"Non trouvé")</f>
        <v>Non trouvé</v>
      </c>
      <c r="J1058" s="6" t="str">
        <f t="shared" si="48"/>
        <v>Antenne inconnue</v>
      </c>
      <c r="K1058" s="6">
        <f t="shared" si="49"/>
        <v>6</v>
      </c>
      <c r="L1058" s="6">
        <f t="shared" si="50"/>
        <v>150</v>
      </c>
    </row>
    <row r="1059" spans="1:12" ht="15.75" x14ac:dyDescent="0.25">
      <c r="A1059" s="6" t="s">
        <v>993</v>
      </c>
      <c r="B1059" s="7">
        <v>45216.583333333343</v>
      </c>
      <c r="C1059" s="6">
        <v>38</v>
      </c>
      <c r="D1059" s="6" t="s">
        <v>794</v>
      </c>
      <c r="E1059" s="8" t="str">
        <f>IFERROR(VLOOKUP(LOG_RESEAU[[#This Row],[Cell_ID]],Registre_Maintenance!A:B,2,FALSE),"Non trouvé")</f>
        <v>Kinshasa</v>
      </c>
      <c r="F1059" s="8">
        <f>IFERROR(VLOOKUP(LOG_RESEAU[[#This Row],[Cell_ID]],Registre_Maintenance!A:C,3,FALSE),"Non trouvé")</f>
        <v>1.217457</v>
      </c>
      <c r="G1059" s="8">
        <f>IFERROR(VLOOKUP(LOG_RESEAU[[#This Row],[Cell_ID]],Registre_Maintenance!A:D,4,FALSE),"Non trouvé")</f>
        <v>25.48668</v>
      </c>
      <c r="H1059" s="6" t="str">
        <f>IFERROR(VLOOKUP(LOG_RESEAU[[#This Row],[Cell_ID]],Registre_Maintenance!A:E,5,FALSE),"Non trouvé")</f>
        <v>5G</v>
      </c>
      <c r="I1059" s="6" t="str">
        <f>IFERROR(VLOOKUP(LOG_RESEAU[[#This Row],[Cell_ID]],Registre_Maintenance!A:F,6,FALSE),"Non trouvé")</f>
        <v>Nokia</v>
      </c>
      <c r="J1059" s="6" t="str">
        <f t="shared" si="48"/>
        <v>OK</v>
      </c>
      <c r="K1059" s="6">
        <f t="shared" si="49"/>
        <v>2</v>
      </c>
      <c r="L1059" s="6">
        <f t="shared" si="50"/>
        <v>111</v>
      </c>
    </row>
    <row r="1060" spans="1:12" ht="15.75" x14ac:dyDescent="0.25">
      <c r="A1060" s="6" t="s">
        <v>993</v>
      </c>
      <c r="B1060" s="7">
        <v>45224.385416666657</v>
      </c>
      <c r="C1060" s="6">
        <v>73</v>
      </c>
      <c r="D1060" s="6" t="s">
        <v>794</v>
      </c>
      <c r="E1060" s="8" t="str">
        <f>IFERROR(VLOOKUP(LOG_RESEAU[[#This Row],[Cell_ID]],Registre_Maintenance!A:B,2,FALSE),"Non trouvé")</f>
        <v>Kinshasa</v>
      </c>
      <c r="F1060" s="8">
        <f>IFERROR(VLOOKUP(LOG_RESEAU[[#This Row],[Cell_ID]],Registre_Maintenance!A:C,3,FALSE),"Non trouvé")</f>
        <v>1.217457</v>
      </c>
      <c r="G1060" s="8">
        <f>IFERROR(VLOOKUP(LOG_RESEAU[[#This Row],[Cell_ID]],Registre_Maintenance!A:D,4,FALSE),"Non trouvé")</f>
        <v>25.48668</v>
      </c>
      <c r="H1060" s="6" t="str">
        <f>IFERROR(VLOOKUP(LOG_RESEAU[[#This Row],[Cell_ID]],Registre_Maintenance!A:E,5,FALSE),"Non trouvé")</f>
        <v>5G</v>
      </c>
      <c r="I1060" s="6" t="str">
        <f>IFERROR(VLOOKUP(LOG_RESEAU[[#This Row],[Cell_ID]],Registre_Maintenance!A:F,6,FALSE),"Non trouvé")</f>
        <v>Nokia</v>
      </c>
      <c r="J1060" s="6" t="str">
        <f t="shared" si="48"/>
        <v>OK</v>
      </c>
      <c r="K1060" s="6">
        <f t="shared" si="49"/>
        <v>2</v>
      </c>
      <c r="L1060" s="6">
        <f t="shared" si="50"/>
        <v>111</v>
      </c>
    </row>
    <row r="1061" spans="1:12" ht="15.75" x14ac:dyDescent="0.25">
      <c r="A1061" s="6" t="s">
        <v>1541</v>
      </c>
      <c r="B1061" s="7">
        <v>45224.984027777777</v>
      </c>
      <c r="C1061" s="6">
        <v>49</v>
      </c>
      <c r="D1061" s="6" t="s">
        <v>794</v>
      </c>
      <c r="E1061" s="8" t="str">
        <f>IFERROR(VLOOKUP(LOG_RESEAU[[#This Row],[Cell_ID]],Registre_Maintenance!A:B,2,FALSE),"Non trouvé")</f>
        <v>Non trouvé</v>
      </c>
      <c r="F1061" s="8" t="str">
        <f>IFERROR(VLOOKUP(LOG_RESEAU[[#This Row],[Cell_ID]],Registre_Maintenance!A:C,3,FALSE),"Non trouvé")</f>
        <v>Non trouvé</v>
      </c>
      <c r="G1061" s="8" t="str">
        <f>IFERROR(VLOOKUP(LOG_RESEAU[[#This Row],[Cell_ID]],Registre_Maintenance!A:D,4,FALSE),"Non trouvé")</f>
        <v>Non trouvé</v>
      </c>
      <c r="H1061" s="6" t="str">
        <f>IFERROR(VLOOKUP(LOG_RESEAU[[#This Row],[Cell_ID]],Registre_Maintenance!A:E,5,FALSE),"Non trouvé")</f>
        <v>Non trouvé</v>
      </c>
      <c r="I1061" s="6" t="str">
        <f>IFERROR(VLOOKUP(LOG_RESEAU[[#This Row],[Cell_ID]],Registre_Maintenance!A:F,6,FALSE),"Non trouvé")</f>
        <v>Non trouvé</v>
      </c>
      <c r="J1061" s="6" t="str">
        <f t="shared" si="48"/>
        <v>Antenne inconnue</v>
      </c>
      <c r="K1061" s="6">
        <f t="shared" si="49"/>
        <v>1</v>
      </c>
      <c r="L1061" s="6">
        <f t="shared" si="50"/>
        <v>49</v>
      </c>
    </row>
    <row r="1062" spans="1:12" ht="15.75" x14ac:dyDescent="0.25">
      <c r="A1062" s="6" t="s">
        <v>1031</v>
      </c>
      <c r="B1062" s="7">
        <v>45229.503472222219</v>
      </c>
      <c r="C1062" s="6">
        <v>106</v>
      </c>
      <c r="D1062" s="6" t="s">
        <v>800</v>
      </c>
      <c r="E1062" s="8" t="str">
        <f>IFERROR(VLOOKUP(LOG_RESEAU[[#This Row],[Cell_ID]],Registre_Maintenance!A:B,2,FALSE),"Non trouvé")</f>
        <v>Non trouvé</v>
      </c>
      <c r="F1062" s="8" t="str">
        <f>IFERROR(VLOOKUP(LOG_RESEAU[[#This Row],[Cell_ID]],Registre_Maintenance!A:C,3,FALSE),"Non trouvé")</f>
        <v>Non trouvé</v>
      </c>
      <c r="G1062" s="8" t="str">
        <f>IFERROR(VLOOKUP(LOG_RESEAU[[#This Row],[Cell_ID]],Registre_Maintenance!A:D,4,FALSE),"Non trouvé")</f>
        <v>Non trouvé</v>
      </c>
      <c r="H1062" s="6" t="str">
        <f>IFERROR(VLOOKUP(LOG_RESEAU[[#This Row],[Cell_ID]],Registre_Maintenance!A:E,5,FALSE),"Non trouvé")</f>
        <v>Non trouvé</v>
      </c>
      <c r="I1062" s="6" t="str">
        <f>IFERROR(VLOOKUP(LOG_RESEAU[[#This Row],[Cell_ID]],Registre_Maintenance!A:F,6,FALSE),"Non trouvé")</f>
        <v>Non trouvé</v>
      </c>
      <c r="J1062" s="6" t="str">
        <f t="shared" si="48"/>
        <v>Antenne inconnue</v>
      </c>
      <c r="K1062" s="6">
        <f t="shared" si="49"/>
        <v>1</v>
      </c>
      <c r="L1062" s="6">
        <f t="shared" si="50"/>
        <v>106</v>
      </c>
    </row>
    <row r="1063" spans="1:12" ht="15.75" x14ac:dyDescent="0.25">
      <c r="A1063" s="6" t="s">
        <v>1259</v>
      </c>
      <c r="B1063" s="7">
        <v>45209.365277777782</v>
      </c>
      <c r="C1063" s="6">
        <v>120</v>
      </c>
      <c r="D1063" s="6" t="s">
        <v>794</v>
      </c>
      <c r="E1063" s="8" t="str">
        <f>IFERROR(VLOOKUP(LOG_RESEAU[[#This Row],[Cell_ID]],Registre_Maintenance!A:B,2,FALSE),"Non trouvé")</f>
        <v>Sankuru</v>
      </c>
      <c r="F1063" s="8">
        <f>IFERROR(VLOOKUP(LOG_RESEAU[[#This Row],[Cell_ID]],Registre_Maintenance!A:C,3,FALSE),"Non trouvé")</f>
        <v>-1.4110389999999999</v>
      </c>
      <c r="G1063" s="8">
        <f>IFERROR(VLOOKUP(LOG_RESEAU[[#This Row],[Cell_ID]],Registre_Maintenance!A:D,4,FALSE),"Non trouvé")</f>
        <v>21.261644</v>
      </c>
      <c r="H1063" s="6" t="str">
        <f>IFERROR(VLOOKUP(LOG_RESEAU[[#This Row],[Cell_ID]],Registre_Maintenance!A:E,5,FALSE),"Non trouvé")</f>
        <v>4G</v>
      </c>
      <c r="I1063" s="6" t="str">
        <f>IFERROR(VLOOKUP(LOG_RESEAU[[#This Row],[Cell_ID]],Registre_Maintenance!A:F,6,FALSE),"Non trouvé")</f>
        <v>ZTE</v>
      </c>
      <c r="J1063" s="6" t="str">
        <f t="shared" si="48"/>
        <v>OK</v>
      </c>
      <c r="K1063" s="6">
        <f t="shared" si="49"/>
        <v>3</v>
      </c>
      <c r="L1063" s="6">
        <f t="shared" si="50"/>
        <v>270</v>
      </c>
    </row>
    <row r="1064" spans="1:12" ht="15.75" x14ac:dyDescent="0.25">
      <c r="A1064" s="6" t="s">
        <v>1259</v>
      </c>
      <c r="B1064" s="7">
        <v>45215.990277777782</v>
      </c>
      <c r="C1064" s="6">
        <v>66</v>
      </c>
      <c r="D1064" s="6" t="s">
        <v>792</v>
      </c>
      <c r="E1064" s="8" t="str">
        <f>IFERROR(VLOOKUP(LOG_RESEAU[[#This Row],[Cell_ID]],Registre_Maintenance!A:B,2,FALSE),"Non trouvé")</f>
        <v>Sankuru</v>
      </c>
      <c r="F1064" s="8">
        <f>IFERROR(VLOOKUP(LOG_RESEAU[[#This Row],[Cell_ID]],Registre_Maintenance!A:C,3,FALSE),"Non trouvé")</f>
        <v>-1.4110389999999999</v>
      </c>
      <c r="G1064" s="8">
        <f>IFERROR(VLOOKUP(LOG_RESEAU[[#This Row],[Cell_ID]],Registre_Maintenance!A:D,4,FALSE),"Non trouvé")</f>
        <v>21.261644</v>
      </c>
      <c r="H1064" s="6" t="str">
        <f>IFERROR(VLOOKUP(LOG_RESEAU[[#This Row],[Cell_ID]],Registre_Maintenance!A:E,5,FALSE),"Non trouvé")</f>
        <v>4G</v>
      </c>
      <c r="I1064" s="6" t="str">
        <f>IFERROR(VLOOKUP(LOG_RESEAU[[#This Row],[Cell_ID]],Registre_Maintenance!A:F,6,FALSE),"Non trouvé")</f>
        <v>ZTE</v>
      </c>
      <c r="J1064" s="6" t="str">
        <f t="shared" si="48"/>
        <v>OK</v>
      </c>
      <c r="K1064" s="6">
        <f t="shared" si="49"/>
        <v>3</v>
      </c>
      <c r="L1064" s="6">
        <f t="shared" si="50"/>
        <v>270</v>
      </c>
    </row>
    <row r="1065" spans="1:12" ht="15.75" x14ac:dyDescent="0.25">
      <c r="A1065" s="6" t="s">
        <v>1259</v>
      </c>
      <c r="B1065" s="7">
        <v>45211.724999999999</v>
      </c>
      <c r="C1065" s="6">
        <v>84</v>
      </c>
      <c r="D1065" s="6" t="s">
        <v>792</v>
      </c>
      <c r="E1065" s="8" t="str">
        <f>IFERROR(VLOOKUP(LOG_RESEAU[[#This Row],[Cell_ID]],Registre_Maintenance!A:B,2,FALSE),"Non trouvé")</f>
        <v>Sankuru</v>
      </c>
      <c r="F1065" s="8">
        <f>IFERROR(VLOOKUP(LOG_RESEAU[[#This Row],[Cell_ID]],Registre_Maintenance!A:C,3,FALSE),"Non trouvé")</f>
        <v>-1.4110389999999999</v>
      </c>
      <c r="G1065" s="8">
        <f>IFERROR(VLOOKUP(LOG_RESEAU[[#This Row],[Cell_ID]],Registre_Maintenance!A:D,4,FALSE),"Non trouvé")</f>
        <v>21.261644</v>
      </c>
      <c r="H1065" s="6" t="str">
        <f>IFERROR(VLOOKUP(LOG_RESEAU[[#This Row],[Cell_ID]],Registre_Maintenance!A:E,5,FALSE),"Non trouvé")</f>
        <v>4G</v>
      </c>
      <c r="I1065" s="6" t="str">
        <f>IFERROR(VLOOKUP(LOG_RESEAU[[#This Row],[Cell_ID]],Registre_Maintenance!A:F,6,FALSE),"Non trouvé")</f>
        <v>ZTE</v>
      </c>
      <c r="J1065" s="6" t="str">
        <f t="shared" si="48"/>
        <v>OK</v>
      </c>
      <c r="K1065" s="6">
        <f t="shared" si="49"/>
        <v>3</v>
      </c>
      <c r="L1065" s="6">
        <f t="shared" si="50"/>
        <v>270</v>
      </c>
    </row>
    <row r="1066" spans="1:12" ht="15.75" x14ac:dyDescent="0.25">
      <c r="A1066" s="6" t="s">
        <v>1198</v>
      </c>
      <c r="B1066" s="7">
        <v>45205.929861111108</v>
      </c>
      <c r="C1066" s="6">
        <v>82</v>
      </c>
      <c r="D1066" s="6" t="s">
        <v>792</v>
      </c>
      <c r="E1066" s="8" t="str">
        <f>IFERROR(VLOOKUP(LOG_RESEAU[[#This Row],[Cell_ID]],Registre_Maintenance!A:B,2,FALSE),"Non trouvé")</f>
        <v>Lualaba</v>
      </c>
      <c r="F1066" s="8">
        <f>IFERROR(VLOOKUP(LOG_RESEAU[[#This Row],[Cell_ID]],Registre_Maintenance!A:C,3,FALSE),"Non trouvé")</f>
        <v>4.0157999999999996</v>
      </c>
      <c r="G1066" s="8">
        <f>IFERROR(VLOOKUP(LOG_RESEAU[[#This Row],[Cell_ID]],Registre_Maintenance!A:D,4,FALSE),"Non trouvé")</f>
        <v>21.430246</v>
      </c>
      <c r="H1066" s="6" t="str">
        <f>IFERROR(VLOOKUP(LOG_RESEAU[[#This Row],[Cell_ID]],Registre_Maintenance!A:E,5,FALSE),"Non trouvé")</f>
        <v>5G</v>
      </c>
      <c r="I1066" s="6" t="str">
        <f>IFERROR(VLOOKUP(LOG_RESEAU[[#This Row],[Cell_ID]],Registre_Maintenance!A:F,6,FALSE),"Non trouvé")</f>
        <v>Nokia</v>
      </c>
      <c r="J1066" s="6" t="str">
        <f t="shared" si="48"/>
        <v>OK</v>
      </c>
      <c r="K1066" s="6">
        <f t="shared" si="49"/>
        <v>1</v>
      </c>
      <c r="L1066" s="6">
        <f t="shared" si="50"/>
        <v>82</v>
      </c>
    </row>
    <row r="1067" spans="1:12" ht="15.75" x14ac:dyDescent="0.25">
      <c r="A1067" s="6" t="s">
        <v>1170</v>
      </c>
      <c r="B1067" s="7">
        <v>45207.368055555547</v>
      </c>
      <c r="C1067" s="6">
        <v>46</v>
      </c>
      <c r="D1067" s="6" t="s">
        <v>794</v>
      </c>
      <c r="E1067" s="8" t="str">
        <f>IFERROR(VLOOKUP(LOG_RESEAU[[#This Row],[Cell_ID]],Registre_Maintenance!A:B,2,FALSE),"Non trouvé")</f>
        <v>Tanganyika</v>
      </c>
      <c r="F1067" s="8">
        <f>IFERROR(VLOOKUP(LOG_RESEAU[[#This Row],[Cell_ID]],Registre_Maintenance!A:C,3,FALSE),"Non trouvé")</f>
        <v>-10.481026999999999</v>
      </c>
      <c r="G1067" s="8">
        <f>IFERROR(VLOOKUP(LOG_RESEAU[[#This Row],[Cell_ID]],Registre_Maintenance!A:D,4,FALSE),"Non trouvé")</f>
        <v>18.160464000000001</v>
      </c>
      <c r="H1067" s="6" t="str">
        <f>IFERROR(VLOOKUP(LOG_RESEAU[[#This Row],[Cell_ID]],Registre_Maintenance!A:E,5,FALSE),"Non trouvé")</f>
        <v>5G</v>
      </c>
      <c r="I1067" s="6" t="str">
        <f>IFERROR(VLOOKUP(LOG_RESEAU[[#This Row],[Cell_ID]],Registre_Maintenance!A:F,6,FALSE),"Non trouvé")</f>
        <v>Huawei</v>
      </c>
      <c r="J1067" s="6" t="str">
        <f t="shared" si="48"/>
        <v>OK</v>
      </c>
      <c r="K1067" s="6">
        <f t="shared" si="49"/>
        <v>1</v>
      </c>
      <c r="L1067" s="6">
        <f t="shared" si="50"/>
        <v>46</v>
      </c>
    </row>
    <row r="1068" spans="1:12" ht="15.75" x14ac:dyDescent="0.25">
      <c r="A1068" s="6" t="s">
        <v>1416</v>
      </c>
      <c r="B1068" s="7">
        <v>45206.636805555558</v>
      </c>
      <c r="C1068" s="6">
        <v>32</v>
      </c>
      <c r="D1068" s="6" t="s">
        <v>792</v>
      </c>
      <c r="E1068" s="8" t="str">
        <f>IFERROR(VLOOKUP(LOG_RESEAU[[#This Row],[Cell_ID]],Registre_Maintenance!A:B,2,FALSE),"Non trouvé")</f>
        <v>Sud-Kivu</v>
      </c>
      <c r="F1068" s="8">
        <f>IFERROR(VLOOKUP(LOG_RESEAU[[#This Row],[Cell_ID]],Registre_Maintenance!A:C,3,FALSE),"Non trouvé")</f>
        <v>-11.514817000000001</v>
      </c>
      <c r="G1068" s="8">
        <f>IFERROR(VLOOKUP(LOG_RESEAU[[#This Row],[Cell_ID]],Registre_Maintenance!A:D,4,FALSE),"Non trouvé")</f>
        <v>24.891375</v>
      </c>
      <c r="H1068" s="6" t="str">
        <f>IFERROR(VLOOKUP(LOG_RESEAU[[#This Row],[Cell_ID]],Registre_Maintenance!A:E,5,FALSE),"Non trouvé")</f>
        <v>3G</v>
      </c>
      <c r="I1068" s="6" t="str">
        <f>IFERROR(VLOOKUP(LOG_RESEAU[[#This Row],[Cell_ID]],Registre_Maintenance!A:F,6,FALSE),"Non trouvé")</f>
        <v>Nokia</v>
      </c>
      <c r="J1068" s="6" t="str">
        <f t="shared" si="48"/>
        <v>OK</v>
      </c>
      <c r="K1068" s="6">
        <f t="shared" si="49"/>
        <v>2</v>
      </c>
      <c r="L1068" s="6">
        <f t="shared" si="50"/>
        <v>53</v>
      </c>
    </row>
    <row r="1069" spans="1:12" ht="15.75" x14ac:dyDescent="0.25">
      <c r="A1069" s="6" t="s">
        <v>1416</v>
      </c>
      <c r="B1069" s="7">
        <v>45218.589583333327</v>
      </c>
      <c r="C1069" s="6">
        <v>21</v>
      </c>
      <c r="D1069" s="6" t="s">
        <v>794</v>
      </c>
      <c r="E1069" s="8" t="str">
        <f>IFERROR(VLOOKUP(LOG_RESEAU[[#This Row],[Cell_ID]],Registre_Maintenance!A:B,2,FALSE),"Non trouvé")</f>
        <v>Sud-Kivu</v>
      </c>
      <c r="F1069" s="8">
        <f>IFERROR(VLOOKUP(LOG_RESEAU[[#This Row],[Cell_ID]],Registre_Maintenance!A:C,3,FALSE),"Non trouvé")</f>
        <v>-11.514817000000001</v>
      </c>
      <c r="G1069" s="8">
        <f>IFERROR(VLOOKUP(LOG_RESEAU[[#This Row],[Cell_ID]],Registre_Maintenance!A:D,4,FALSE),"Non trouvé")</f>
        <v>24.891375</v>
      </c>
      <c r="H1069" s="6" t="str">
        <f>IFERROR(VLOOKUP(LOG_RESEAU[[#This Row],[Cell_ID]],Registre_Maintenance!A:E,5,FALSE),"Non trouvé")</f>
        <v>3G</v>
      </c>
      <c r="I1069" s="6" t="str">
        <f>IFERROR(VLOOKUP(LOG_RESEAU[[#This Row],[Cell_ID]],Registre_Maintenance!A:F,6,FALSE),"Non trouvé")</f>
        <v>Nokia</v>
      </c>
      <c r="J1069" s="6" t="str">
        <f t="shared" si="48"/>
        <v>OK</v>
      </c>
      <c r="K1069" s="6">
        <f t="shared" si="49"/>
        <v>2</v>
      </c>
      <c r="L1069" s="6">
        <f t="shared" si="50"/>
        <v>53</v>
      </c>
    </row>
    <row r="1070" spans="1:12" ht="15.75" x14ac:dyDescent="0.25">
      <c r="A1070" s="6" t="s">
        <v>1514</v>
      </c>
      <c r="B1070" s="7">
        <v>45200.913888888892</v>
      </c>
      <c r="C1070" s="6">
        <v>87</v>
      </c>
      <c r="D1070" s="6" t="s">
        <v>794</v>
      </c>
      <c r="E1070" s="8" t="str">
        <f>IFERROR(VLOOKUP(LOG_RESEAU[[#This Row],[Cell_ID]],Registre_Maintenance!A:B,2,FALSE),"Non trouvé")</f>
        <v>Sankuru</v>
      </c>
      <c r="F1070" s="8">
        <f>IFERROR(VLOOKUP(LOG_RESEAU[[#This Row],[Cell_ID]],Registre_Maintenance!A:C,3,FALSE),"Non trouvé")</f>
        <v>3.175935</v>
      </c>
      <c r="G1070" s="8">
        <f>IFERROR(VLOOKUP(LOG_RESEAU[[#This Row],[Cell_ID]],Registre_Maintenance!A:D,4,FALSE),"Non trouvé")</f>
        <v>16.862832000000001</v>
      </c>
      <c r="H1070" s="6" t="str">
        <f>IFERROR(VLOOKUP(LOG_RESEAU[[#This Row],[Cell_ID]],Registre_Maintenance!A:E,5,FALSE),"Non trouvé")</f>
        <v>5G</v>
      </c>
      <c r="I1070" s="6" t="str">
        <f>IFERROR(VLOOKUP(LOG_RESEAU[[#This Row],[Cell_ID]],Registre_Maintenance!A:F,6,FALSE),"Non trouvé")</f>
        <v>Ericsson</v>
      </c>
      <c r="J1070" s="6" t="str">
        <f t="shared" si="48"/>
        <v>OK</v>
      </c>
      <c r="K1070" s="6">
        <f t="shared" si="49"/>
        <v>1</v>
      </c>
      <c r="L1070" s="6">
        <f t="shared" si="50"/>
        <v>87</v>
      </c>
    </row>
    <row r="1071" spans="1:12" ht="15.75" x14ac:dyDescent="0.25">
      <c r="A1071" s="6" t="s">
        <v>1386</v>
      </c>
      <c r="B1071" s="7">
        <v>45213.607638888891</v>
      </c>
      <c r="C1071" s="6">
        <v>22</v>
      </c>
      <c r="D1071" s="6" t="s">
        <v>794</v>
      </c>
      <c r="E1071" s="8" t="str">
        <f>IFERROR(VLOOKUP(LOG_RESEAU[[#This Row],[Cell_ID]],Registre_Maintenance!A:B,2,FALSE),"Non trouvé")</f>
        <v>Non trouvé</v>
      </c>
      <c r="F1071" s="8" t="str">
        <f>IFERROR(VLOOKUP(LOG_RESEAU[[#This Row],[Cell_ID]],Registre_Maintenance!A:C,3,FALSE),"Non trouvé")</f>
        <v>Non trouvé</v>
      </c>
      <c r="G1071" s="8" t="str">
        <f>IFERROR(VLOOKUP(LOG_RESEAU[[#This Row],[Cell_ID]],Registre_Maintenance!A:D,4,FALSE),"Non trouvé")</f>
        <v>Non trouvé</v>
      </c>
      <c r="H1071" s="6" t="str">
        <f>IFERROR(VLOOKUP(LOG_RESEAU[[#This Row],[Cell_ID]],Registre_Maintenance!A:E,5,FALSE),"Non trouvé")</f>
        <v>Non trouvé</v>
      </c>
      <c r="I1071" s="6" t="str">
        <f>IFERROR(VLOOKUP(LOG_RESEAU[[#This Row],[Cell_ID]],Registre_Maintenance!A:F,6,FALSE),"Non trouvé")</f>
        <v>Non trouvé</v>
      </c>
      <c r="J1071" s="6" t="str">
        <f t="shared" si="48"/>
        <v>Antenne inconnue</v>
      </c>
      <c r="K1071" s="6">
        <f t="shared" si="49"/>
        <v>1</v>
      </c>
      <c r="L1071" s="6">
        <f t="shared" si="50"/>
        <v>22</v>
      </c>
    </row>
    <row r="1072" spans="1:12" ht="15.75" x14ac:dyDescent="0.25">
      <c r="A1072" s="6" t="s">
        <v>1312</v>
      </c>
      <c r="B1072" s="7">
        <v>45206.768055555563</v>
      </c>
      <c r="C1072" s="6">
        <v>35</v>
      </c>
      <c r="D1072" s="6" t="s">
        <v>792</v>
      </c>
      <c r="E1072" s="8" t="str">
        <f>IFERROR(VLOOKUP(LOG_RESEAU[[#This Row],[Cell_ID]],Registre_Maintenance!A:B,2,FALSE),"Non trouvé")</f>
        <v>Non trouvé</v>
      </c>
      <c r="F1072" s="8" t="str">
        <f>IFERROR(VLOOKUP(LOG_RESEAU[[#This Row],[Cell_ID]],Registre_Maintenance!A:C,3,FALSE),"Non trouvé")</f>
        <v>Non trouvé</v>
      </c>
      <c r="G1072" s="8" t="str">
        <f>IFERROR(VLOOKUP(LOG_RESEAU[[#This Row],[Cell_ID]],Registre_Maintenance!A:D,4,FALSE),"Non trouvé")</f>
        <v>Non trouvé</v>
      </c>
      <c r="H1072" s="6" t="str">
        <f>IFERROR(VLOOKUP(LOG_RESEAU[[#This Row],[Cell_ID]],Registre_Maintenance!A:E,5,FALSE),"Non trouvé")</f>
        <v>Non trouvé</v>
      </c>
      <c r="I1072" s="6" t="str">
        <f>IFERROR(VLOOKUP(LOG_RESEAU[[#This Row],[Cell_ID]],Registre_Maintenance!A:F,6,FALSE),"Non trouvé")</f>
        <v>Non trouvé</v>
      </c>
      <c r="J1072" s="6" t="str">
        <f t="shared" si="48"/>
        <v>Antenne inconnue</v>
      </c>
      <c r="K1072" s="6">
        <f t="shared" si="49"/>
        <v>1</v>
      </c>
      <c r="L1072" s="6">
        <f t="shared" si="50"/>
        <v>35</v>
      </c>
    </row>
    <row r="1073" spans="1:12" ht="15.75" x14ac:dyDescent="0.25">
      <c r="A1073" s="6" t="s">
        <v>1408</v>
      </c>
      <c r="B1073" s="7">
        <v>45203.71597222222</v>
      </c>
      <c r="C1073" s="6">
        <v>68</v>
      </c>
      <c r="D1073" s="6" t="s">
        <v>800</v>
      </c>
      <c r="E1073" s="8" t="str">
        <f>IFERROR(VLOOKUP(LOG_RESEAU[[#This Row],[Cell_ID]],Registre_Maintenance!A:B,2,FALSE),"Non trouvé")</f>
        <v>Nord-Kivu</v>
      </c>
      <c r="F1073" s="8">
        <f>IFERROR(VLOOKUP(LOG_RESEAU[[#This Row],[Cell_ID]],Registre_Maintenance!A:C,3,FALSE),"Non trouvé")</f>
        <v>-7.9866700000000002</v>
      </c>
      <c r="G1073" s="8">
        <f>IFERROR(VLOOKUP(LOG_RESEAU[[#This Row],[Cell_ID]],Registre_Maintenance!A:D,4,FALSE),"Non trouvé")</f>
        <v>17.757847000000002</v>
      </c>
      <c r="H1073" s="6" t="str">
        <f>IFERROR(VLOOKUP(LOG_RESEAU[[#This Row],[Cell_ID]],Registre_Maintenance!A:E,5,FALSE),"Non trouvé")</f>
        <v>5G</v>
      </c>
      <c r="I1073" s="6" t="str">
        <f>IFERROR(VLOOKUP(LOG_RESEAU[[#This Row],[Cell_ID]],Registre_Maintenance!A:F,6,FALSE),"Non trouvé")</f>
        <v>Huawei</v>
      </c>
      <c r="J1073" s="6" t="str">
        <f t="shared" si="48"/>
        <v>OK</v>
      </c>
      <c r="K1073" s="6">
        <f t="shared" si="49"/>
        <v>1</v>
      </c>
      <c r="L1073" s="6">
        <f t="shared" si="50"/>
        <v>68</v>
      </c>
    </row>
    <row r="1074" spans="1:12" ht="15.75" x14ac:dyDescent="0.25">
      <c r="A1074" s="6" t="s">
        <v>1462</v>
      </c>
      <c r="B1074" s="7">
        <v>45222.479166666657</v>
      </c>
      <c r="C1074" s="6">
        <v>112</v>
      </c>
      <c r="D1074" s="6" t="s">
        <v>800</v>
      </c>
      <c r="E1074" s="8" t="str">
        <f>IFERROR(VLOOKUP(LOG_RESEAU[[#This Row],[Cell_ID]],Registre_Maintenance!A:B,2,FALSE),"Non trouvé")</f>
        <v>Haut-Uele</v>
      </c>
      <c r="F1074" s="8">
        <f>IFERROR(VLOOKUP(LOG_RESEAU[[#This Row],[Cell_ID]],Registre_Maintenance!A:C,3,FALSE),"Non trouvé")</f>
        <v>-8.8118569999999998</v>
      </c>
      <c r="G1074" s="8">
        <f>IFERROR(VLOOKUP(LOG_RESEAU[[#This Row],[Cell_ID]],Registre_Maintenance!A:D,4,FALSE),"Non trouvé")</f>
        <v>14.465711000000001</v>
      </c>
      <c r="H1074" s="6" t="str">
        <f>IFERROR(VLOOKUP(LOG_RESEAU[[#This Row],[Cell_ID]],Registre_Maintenance!A:E,5,FALSE),"Non trouvé")</f>
        <v>5G</v>
      </c>
      <c r="I1074" s="6" t="str">
        <f>IFERROR(VLOOKUP(LOG_RESEAU[[#This Row],[Cell_ID]],Registre_Maintenance!A:F,6,FALSE),"Non trouvé")</f>
        <v>Nokia</v>
      </c>
      <c r="J1074" s="6" t="str">
        <f t="shared" si="48"/>
        <v>OK</v>
      </c>
      <c r="K1074" s="6">
        <f t="shared" si="49"/>
        <v>1</v>
      </c>
      <c r="L1074" s="6">
        <f t="shared" si="50"/>
        <v>112</v>
      </c>
    </row>
    <row r="1075" spans="1:12" ht="15.75" x14ac:dyDescent="0.25">
      <c r="A1075" s="6" t="s">
        <v>1538</v>
      </c>
      <c r="B1075" s="7">
        <v>45211.587500000001</v>
      </c>
      <c r="C1075" s="6">
        <v>27</v>
      </c>
      <c r="D1075" s="6" t="s">
        <v>792</v>
      </c>
      <c r="E1075" s="8" t="str">
        <f>IFERROR(VLOOKUP(LOG_RESEAU[[#This Row],[Cell_ID]],Registre_Maintenance!A:B,2,FALSE),"Non trouvé")</f>
        <v>Equateur</v>
      </c>
      <c r="F1075" s="8">
        <f>IFERROR(VLOOKUP(LOG_RESEAU[[#This Row],[Cell_ID]],Registre_Maintenance!A:C,3,FALSE),"Non trouvé")</f>
        <v>-7.8215969999999997</v>
      </c>
      <c r="G1075" s="8">
        <f>IFERROR(VLOOKUP(LOG_RESEAU[[#This Row],[Cell_ID]],Registre_Maintenance!A:D,4,FALSE),"Non trouvé")</f>
        <v>26.797349000000001</v>
      </c>
      <c r="H1075" s="6" t="str">
        <f>IFERROR(VLOOKUP(LOG_RESEAU[[#This Row],[Cell_ID]],Registre_Maintenance!A:E,5,FALSE),"Non trouvé")</f>
        <v>3G</v>
      </c>
      <c r="I1075" s="6" t="str">
        <f>IFERROR(VLOOKUP(LOG_RESEAU[[#This Row],[Cell_ID]],Registre_Maintenance!A:F,6,FALSE),"Non trouvé")</f>
        <v>Ericsson</v>
      </c>
      <c r="J1075" s="6" t="str">
        <f t="shared" si="48"/>
        <v>OK</v>
      </c>
      <c r="K1075" s="6">
        <f t="shared" si="49"/>
        <v>1</v>
      </c>
      <c r="L1075" s="6">
        <f t="shared" si="50"/>
        <v>27</v>
      </c>
    </row>
    <row r="1076" spans="1:12" ht="15.75" x14ac:dyDescent="0.25">
      <c r="A1076" s="6" t="s">
        <v>1137</v>
      </c>
      <c r="B1076" s="7">
        <v>45229.4</v>
      </c>
      <c r="C1076" s="6">
        <v>77</v>
      </c>
      <c r="D1076" s="6" t="s">
        <v>794</v>
      </c>
      <c r="E1076" s="8" t="str">
        <f>IFERROR(VLOOKUP(LOG_RESEAU[[#This Row],[Cell_ID]],Registre_Maintenance!A:B,2,FALSE),"Non trouvé")</f>
        <v>Non trouvé</v>
      </c>
      <c r="F1076" s="8" t="str">
        <f>IFERROR(VLOOKUP(LOG_RESEAU[[#This Row],[Cell_ID]],Registre_Maintenance!A:C,3,FALSE),"Non trouvé")</f>
        <v>Non trouvé</v>
      </c>
      <c r="G1076" s="8" t="str">
        <f>IFERROR(VLOOKUP(LOG_RESEAU[[#This Row],[Cell_ID]],Registre_Maintenance!A:D,4,FALSE),"Non trouvé")</f>
        <v>Non trouvé</v>
      </c>
      <c r="H1076" s="6" t="str">
        <f>IFERROR(VLOOKUP(LOG_RESEAU[[#This Row],[Cell_ID]],Registre_Maintenance!A:E,5,FALSE),"Non trouvé")</f>
        <v>Non trouvé</v>
      </c>
      <c r="I1076" s="6" t="str">
        <f>IFERROR(VLOOKUP(LOG_RESEAU[[#This Row],[Cell_ID]],Registre_Maintenance!A:F,6,FALSE),"Non trouvé")</f>
        <v>Non trouvé</v>
      </c>
      <c r="J1076" s="6" t="str">
        <f t="shared" si="48"/>
        <v>Antenne inconnue</v>
      </c>
      <c r="K1076" s="6">
        <f t="shared" si="49"/>
        <v>2</v>
      </c>
      <c r="L1076" s="6">
        <f t="shared" si="50"/>
        <v>91</v>
      </c>
    </row>
    <row r="1077" spans="1:12" ht="15.75" x14ac:dyDescent="0.25">
      <c r="A1077" s="6" t="s">
        <v>1137</v>
      </c>
      <c r="B1077" s="7">
        <v>45224.671527777777</v>
      </c>
      <c r="C1077" s="6">
        <v>14</v>
      </c>
      <c r="D1077" s="6" t="s">
        <v>792</v>
      </c>
      <c r="E1077" s="8" t="str">
        <f>IFERROR(VLOOKUP(LOG_RESEAU[[#This Row],[Cell_ID]],Registre_Maintenance!A:B,2,FALSE),"Non trouvé")</f>
        <v>Non trouvé</v>
      </c>
      <c r="F1077" s="8" t="str">
        <f>IFERROR(VLOOKUP(LOG_RESEAU[[#This Row],[Cell_ID]],Registre_Maintenance!A:C,3,FALSE),"Non trouvé")</f>
        <v>Non trouvé</v>
      </c>
      <c r="G1077" s="8" t="str">
        <f>IFERROR(VLOOKUP(LOG_RESEAU[[#This Row],[Cell_ID]],Registre_Maintenance!A:D,4,FALSE),"Non trouvé")</f>
        <v>Non trouvé</v>
      </c>
      <c r="H1077" s="6" t="str">
        <f>IFERROR(VLOOKUP(LOG_RESEAU[[#This Row],[Cell_ID]],Registre_Maintenance!A:E,5,FALSE),"Non trouvé")</f>
        <v>Non trouvé</v>
      </c>
      <c r="I1077" s="6" t="str">
        <f>IFERROR(VLOOKUP(LOG_RESEAU[[#This Row],[Cell_ID]],Registre_Maintenance!A:F,6,FALSE),"Non trouvé")</f>
        <v>Non trouvé</v>
      </c>
      <c r="J1077" s="6" t="str">
        <f t="shared" si="48"/>
        <v>Antenne inconnue</v>
      </c>
      <c r="K1077" s="6">
        <f t="shared" si="49"/>
        <v>2</v>
      </c>
      <c r="L1077" s="6">
        <f t="shared" si="50"/>
        <v>91</v>
      </c>
    </row>
    <row r="1078" spans="1:12" ht="15.75" x14ac:dyDescent="0.25">
      <c r="A1078" s="6" t="s">
        <v>1338</v>
      </c>
      <c r="B1078" s="7">
        <v>45203.59652777778</v>
      </c>
      <c r="C1078" s="6">
        <v>13</v>
      </c>
      <c r="D1078" s="6" t="s">
        <v>800</v>
      </c>
      <c r="E1078" s="8" t="str">
        <f>IFERROR(VLOOKUP(LOG_RESEAU[[#This Row],[Cell_ID]],Registre_Maintenance!A:B,2,FALSE),"Non trouvé")</f>
        <v>Tshuapa</v>
      </c>
      <c r="F1078" s="8">
        <f>IFERROR(VLOOKUP(LOG_RESEAU[[#This Row],[Cell_ID]],Registre_Maintenance!A:C,3,FALSE),"Non trouvé")</f>
        <v>-1.9540519999999999</v>
      </c>
      <c r="G1078" s="8">
        <f>IFERROR(VLOOKUP(LOG_RESEAU[[#This Row],[Cell_ID]],Registre_Maintenance!A:D,4,FALSE),"Non trouvé")</f>
        <v>12.667945</v>
      </c>
      <c r="H1078" s="6" t="str">
        <f>IFERROR(VLOOKUP(LOG_RESEAU[[#This Row],[Cell_ID]],Registre_Maintenance!A:E,5,FALSE),"Non trouvé")</f>
        <v>4G</v>
      </c>
      <c r="I1078" s="6" t="str">
        <f>IFERROR(VLOOKUP(LOG_RESEAU[[#This Row],[Cell_ID]],Registre_Maintenance!A:F,6,FALSE),"Non trouvé")</f>
        <v>Huawei</v>
      </c>
      <c r="J1078" s="6" t="str">
        <f t="shared" si="48"/>
        <v>OK</v>
      </c>
      <c r="K1078" s="6">
        <f t="shared" si="49"/>
        <v>2</v>
      </c>
      <c r="L1078" s="6">
        <f t="shared" si="50"/>
        <v>75</v>
      </c>
    </row>
    <row r="1079" spans="1:12" ht="15.75" x14ac:dyDescent="0.25">
      <c r="A1079" s="6" t="s">
        <v>1338</v>
      </c>
      <c r="B1079" s="7">
        <v>45230.913194444453</v>
      </c>
      <c r="C1079" s="6">
        <v>62</v>
      </c>
      <c r="D1079" s="6" t="s">
        <v>794</v>
      </c>
      <c r="E1079" s="8" t="str">
        <f>IFERROR(VLOOKUP(LOG_RESEAU[[#This Row],[Cell_ID]],Registre_Maintenance!A:B,2,FALSE),"Non trouvé")</f>
        <v>Tshuapa</v>
      </c>
      <c r="F1079" s="8">
        <f>IFERROR(VLOOKUP(LOG_RESEAU[[#This Row],[Cell_ID]],Registre_Maintenance!A:C,3,FALSE),"Non trouvé")</f>
        <v>-1.9540519999999999</v>
      </c>
      <c r="G1079" s="8">
        <f>IFERROR(VLOOKUP(LOG_RESEAU[[#This Row],[Cell_ID]],Registre_Maintenance!A:D,4,FALSE),"Non trouvé")</f>
        <v>12.667945</v>
      </c>
      <c r="H1079" s="6" t="str">
        <f>IFERROR(VLOOKUP(LOG_RESEAU[[#This Row],[Cell_ID]],Registre_Maintenance!A:E,5,FALSE),"Non trouvé")</f>
        <v>4G</v>
      </c>
      <c r="I1079" s="6" t="str">
        <f>IFERROR(VLOOKUP(LOG_RESEAU[[#This Row],[Cell_ID]],Registre_Maintenance!A:F,6,FALSE),"Non trouvé")</f>
        <v>Huawei</v>
      </c>
      <c r="J1079" s="6" t="str">
        <f t="shared" si="48"/>
        <v>OK</v>
      </c>
      <c r="K1079" s="6">
        <f t="shared" si="49"/>
        <v>2</v>
      </c>
      <c r="L1079" s="6">
        <f t="shared" si="50"/>
        <v>75</v>
      </c>
    </row>
    <row r="1080" spans="1:12" ht="15.75" x14ac:dyDescent="0.25">
      <c r="A1080" s="6" t="s">
        <v>1394</v>
      </c>
      <c r="B1080" s="7">
        <v>45212.617361111108</v>
      </c>
      <c r="C1080" s="6">
        <v>28</v>
      </c>
      <c r="D1080" s="6" t="s">
        <v>794</v>
      </c>
      <c r="E1080" s="8" t="str">
        <f>IFERROR(VLOOKUP(LOG_RESEAU[[#This Row],[Cell_ID]],Registre_Maintenance!A:B,2,FALSE),"Non trouvé")</f>
        <v>Non trouvé</v>
      </c>
      <c r="F1080" s="8" t="str">
        <f>IFERROR(VLOOKUP(LOG_RESEAU[[#This Row],[Cell_ID]],Registre_Maintenance!A:C,3,FALSE),"Non trouvé")</f>
        <v>Non trouvé</v>
      </c>
      <c r="G1080" s="8" t="str">
        <f>IFERROR(VLOOKUP(LOG_RESEAU[[#This Row],[Cell_ID]],Registre_Maintenance!A:D,4,FALSE),"Non trouvé")</f>
        <v>Non trouvé</v>
      </c>
      <c r="H1080" s="6" t="str">
        <f>IFERROR(VLOOKUP(LOG_RESEAU[[#This Row],[Cell_ID]],Registre_Maintenance!A:E,5,FALSE),"Non trouvé")</f>
        <v>Non trouvé</v>
      </c>
      <c r="I1080" s="6" t="str">
        <f>IFERROR(VLOOKUP(LOG_RESEAU[[#This Row],[Cell_ID]],Registre_Maintenance!A:F,6,FALSE),"Non trouvé")</f>
        <v>Non trouvé</v>
      </c>
      <c r="J1080" s="6" t="str">
        <f t="shared" si="48"/>
        <v>Antenne inconnue</v>
      </c>
      <c r="K1080" s="6">
        <f t="shared" si="49"/>
        <v>1</v>
      </c>
      <c r="L1080" s="6">
        <f t="shared" si="50"/>
        <v>28</v>
      </c>
    </row>
    <row r="1081" spans="1:12" ht="15.75" x14ac:dyDescent="0.25">
      <c r="A1081" s="6" t="s">
        <v>1316</v>
      </c>
      <c r="B1081" s="7">
        <v>45228.672222222223</v>
      </c>
      <c r="C1081" s="6">
        <v>106</v>
      </c>
      <c r="D1081" s="6" t="s">
        <v>794</v>
      </c>
      <c r="E1081" s="8" t="str">
        <f>IFERROR(VLOOKUP(LOG_RESEAU[[#This Row],[Cell_ID]],Registre_Maintenance!A:B,2,FALSE),"Non trouvé")</f>
        <v>Lualaba</v>
      </c>
      <c r="F1081" s="8">
        <f>IFERROR(VLOOKUP(LOG_RESEAU[[#This Row],[Cell_ID]],Registre_Maintenance!A:C,3,FALSE),"Non trouvé")</f>
        <v>2.0392079999999999</v>
      </c>
      <c r="G1081" s="8">
        <f>IFERROR(VLOOKUP(LOG_RESEAU[[#This Row],[Cell_ID]],Registre_Maintenance!A:D,4,FALSE),"Non trouvé")</f>
        <v>19.090841999999999</v>
      </c>
      <c r="H1081" s="6" t="str">
        <f>IFERROR(VLOOKUP(LOG_RESEAU[[#This Row],[Cell_ID]],Registre_Maintenance!A:E,5,FALSE),"Non trouvé")</f>
        <v>4G</v>
      </c>
      <c r="I1081" s="6" t="str">
        <f>IFERROR(VLOOKUP(LOG_RESEAU[[#This Row],[Cell_ID]],Registre_Maintenance!A:F,6,FALSE),"Non trouvé")</f>
        <v>Nokia</v>
      </c>
      <c r="J1081" s="6" t="str">
        <f t="shared" si="48"/>
        <v>OK</v>
      </c>
      <c r="K1081" s="6">
        <f t="shared" si="49"/>
        <v>2</v>
      </c>
      <c r="L1081" s="6">
        <f t="shared" si="50"/>
        <v>196</v>
      </c>
    </row>
    <row r="1082" spans="1:12" hidden="1" x14ac:dyDescent="0.25">
      <c r="A1082" s="2"/>
      <c r="B1082" s="2">
        <v>45207.76666666667</v>
      </c>
      <c r="C1082" s="2">
        <v>30</v>
      </c>
      <c r="D1082" s="2" t="s">
        <v>792</v>
      </c>
      <c r="E1082" s="3" t="str">
        <f>IFERROR(VLOOKUP(LOG_RESEAU[[#This Row],[Cell_ID]],Registre_Maintenance!A:B,2,FALSE),"Non trouvé")</f>
        <v>Non trouvé</v>
      </c>
      <c r="F1082" s="3" t="str">
        <f>IFERROR(VLOOKUP(LOG_RESEAU[[#This Row],[Cell_ID]],Registre_Maintenance!A:C,3,FALSE),"Non trouvé")</f>
        <v>Non trouvé</v>
      </c>
      <c r="G1082" s="3" t="str">
        <f>IFERROR(VLOOKUP(LOG_RESEAU[[#This Row],[Cell_ID]],Registre_Maintenance!A:D,4,FALSE),"Non trouvé")</f>
        <v>Non trouvé</v>
      </c>
      <c r="H1082" s="2" t="str">
        <f>IFERROR(VLOOKUP(LOG_RESEAU[[#This Row],[Cell_ID]],Registre_Maintenance!A:E,5,FALSE),"Non trouvé")</f>
        <v>Non trouvé</v>
      </c>
      <c r="I1082" s="2" t="str">
        <f>IFERROR(VLOOKUP(LOG_RESEAU[[#This Row],[Cell_ID]],Registre_Maintenance!A:F,6,FALSE),"Non trouvé")</f>
        <v>Non trouvé</v>
      </c>
      <c r="J1082" s="2" t="str">
        <f t="shared" si="48"/>
        <v>Antenne inconnue</v>
      </c>
      <c r="K1082" s="2">
        <f t="shared" si="49"/>
        <v>0</v>
      </c>
      <c r="L1082" s="2">
        <f t="shared" si="50"/>
        <v>0</v>
      </c>
    </row>
    <row r="1083" spans="1:12" ht="15.75" x14ac:dyDescent="0.25">
      <c r="A1083" s="6" t="s">
        <v>1316</v>
      </c>
      <c r="B1083" s="7">
        <v>45204.26458333333</v>
      </c>
      <c r="C1083" s="6">
        <v>90</v>
      </c>
      <c r="D1083" s="6" t="s">
        <v>792</v>
      </c>
      <c r="E1083" s="8" t="str">
        <f>IFERROR(VLOOKUP(LOG_RESEAU[[#This Row],[Cell_ID]],Registre_Maintenance!A:B,2,FALSE),"Non trouvé")</f>
        <v>Lualaba</v>
      </c>
      <c r="F1083" s="8">
        <f>IFERROR(VLOOKUP(LOG_RESEAU[[#This Row],[Cell_ID]],Registre_Maintenance!A:C,3,FALSE),"Non trouvé")</f>
        <v>2.0392079999999999</v>
      </c>
      <c r="G1083" s="8">
        <f>IFERROR(VLOOKUP(LOG_RESEAU[[#This Row],[Cell_ID]],Registre_Maintenance!A:D,4,FALSE),"Non trouvé")</f>
        <v>19.090841999999999</v>
      </c>
      <c r="H1083" s="6" t="str">
        <f>IFERROR(VLOOKUP(LOG_RESEAU[[#This Row],[Cell_ID]],Registre_Maintenance!A:E,5,FALSE),"Non trouvé")</f>
        <v>4G</v>
      </c>
      <c r="I1083" s="6" t="str">
        <f>IFERROR(VLOOKUP(LOG_RESEAU[[#This Row],[Cell_ID]],Registre_Maintenance!A:F,6,FALSE),"Non trouvé")</f>
        <v>Nokia</v>
      </c>
      <c r="J1083" s="6" t="str">
        <f t="shared" si="48"/>
        <v>OK</v>
      </c>
      <c r="K1083" s="6">
        <f t="shared" si="49"/>
        <v>2</v>
      </c>
      <c r="L1083" s="6">
        <f t="shared" si="50"/>
        <v>196</v>
      </c>
    </row>
    <row r="1084" spans="1:12" ht="15.75" x14ac:dyDescent="0.25">
      <c r="A1084" s="6" t="s">
        <v>1470</v>
      </c>
      <c r="B1084" s="7">
        <v>45207.919444444437</v>
      </c>
      <c r="C1084" s="6">
        <v>42</v>
      </c>
      <c r="D1084" s="6" t="s">
        <v>794</v>
      </c>
      <c r="E1084" s="8" t="str">
        <f>IFERROR(VLOOKUP(LOG_RESEAU[[#This Row],[Cell_ID]],Registre_Maintenance!A:B,2,FALSE),"Non trouvé")</f>
        <v>Non trouvé</v>
      </c>
      <c r="F1084" s="8" t="str">
        <f>IFERROR(VLOOKUP(LOG_RESEAU[[#This Row],[Cell_ID]],Registre_Maintenance!A:C,3,FALSE),"Non trouvé")</f>
        <v>Non trouvé</v>
      </c>
      <c r="G1084" s="8" t="str">
        <f>IFERROR(VLOOKUP(LOG_RESEAU[[#This Row],[Cell_ID]],Registre_Maintenance!A:D,4,FALSE),"Non trouvé")</f>
        <v>Non trouvé</v>
      </c>
      <c r="H1084" s="6" t="str">
        <f>IFERROR(VLOOKUP(LOG_RESEAU[[#This Row],[Cell_ID]],Registre_Maintenance!A:E,5,FALSE),"Non trouvé")</f>
        <v>Non trouvé</v>
      </c>
      <c r="I1084" s="6" t="str">
        <f>IFERROR(VLOOKUP(LOG_RESEAU[[#This Row],[Cell_ID]],Registre_Maintenance!A:F,6,FALSE),"Non trouvé")</f>
        <v>Non trouvé</v>
      </c>
      <c r="J1084" s="6" t="str">
        <f t="shared" si="48"/>
        <v>Antenne inconnue</v>
      </c>
      <c r="K1084" s="6">
        <f t="shared" si="49"/>
        <v>1</v>
      </c>
      <c r="L1084" s="6">
        <f t="shared" si="50"/>
        <v>42</v>
      </c>
    </row>
    <row r="1085" spans="1:12" ht="15.75" x14ac:dyDescent="0.25">
      <c r="A1085" s="6" t="s">
        <v>1346</v>
      </c>
      <c r="B1085" s="7">
        <v>45214.697916666657</v>
      </c>
      <c r="C1085" s="6">
        <v>98</v>
      </c>
      <c r="D1085" s="6" t="s">
        <v>792</v>
      </c>
      <c r="E1085" s="8" t="str">
        <f>IFERROR(VLOOKUP(LOG_RESEAU[[#This Row],[Cell_ID]],Registre_Maintenance!A:B,2,FALSE),"Non trouvé")</f>
        <v>Mai-Ndombe</v>
      </c>
      <c r="F1085" s="8">
        <f>IFERROR(VLOOKUP(LOG_RESEAU[[#This Row],[Cell_ID]],Registre_Maintenance!A:C,3,FALSE),"Non trouvé")</f>
        <v>-12.192204</v>
      </c>
      <c r="G1085" s="8">
        <f>IFERROR(VLOOKUP(LOG_RESEAU[[#This Row],[Cell_ID]],Registre_Maintenance!A:D,4,FALSE),"Non trouvé")</f>
        <v>28.468682000000001</v>
      </c>
      <c r="H1085" s="6" t="str">
        <f>IFERROR(VLOOKUP(LOG_RESEAU[[#This Row],[Cell_ID]],Registre_Maintenance!A:E,5,FALSE),"Non trouvé")</f>
        <v>3G</v>
      </c>
      <c r="I1085" s="6" t="str">
        <f>IFERROR(VLOOKUP(LOG_RESEAU[[#This Row],[Cell_ID]],Registre_Maintenance!A:F,6,FALSE),"Non trouvé")</f>
        <v>ZTE</v>
      </c>
      <c r="J1085" s="6" t="str">
        <f t="shared" si="48"/>
        <v>OK</v>
      </c>
      <c r="K1085" s="6">
        <f t="shared" si="49"/>
        <v>1</v>
      </c>
      <c r="L1085" s="6">
        <f t="shared" si="50"/>
        <v>98</v>
      </c>
    </row>
    <row r="1086" spans="1:12" ht="15.75" x14ac:dyDescent="0.25">
      <c r="A1086" s="6" t="s">
        <v>1329</v>
      </c>
      <c r="B1086" s="7">
        <v>45230.40902777778</v>
      </c>
      <c r="C1086" s="6">
        <v>80</v>
      </c>
      <c r="D1086" s="6" t="s">
        <v>800</v>
      </c>
      <c r="E1086" s="8" t="str">
        <f>IFERROR(VLOOKUP(LOG_RESEAU[[#This Row],[Cell_ID]],Registre_Maintenance!A:B,2,FALSE),"Non trouvé")</f>
        <v>Kwilu</v>
      </c>
      <c r="F1086" s="8">
        <f>IFERROR(VLOOKUP(LOG_RESEAU[[#This Row],[Cell_ID]],Registre_Maintenance!A:C,3,FALSE),"Non trouvé")</f>
        <v>0.62055499999999997</v>
      </c>
      <c r="G1086" s="8">
        <f>IFERROR(VLOOKUP(LOG_RESEAU[[#This Row],[Cell_ID]],Registre_Maintenance!A:D,4,FALSE),"Non trouvé")</f>
        <v>21.222035000000002</v>
      </c>
      <c r="H1086" s="6" t="str">
        <f>IFERROR(VLOOKUP(LOG_RESEAU[[#This Row],[Cell_ID]],Registre_Maintenance!A:E,5,FALSE),"Non trouvé")</f>
        <v>5G</v>
      </c>
      <c r="I1086" s="6" t="str">
        <f>IFERROR(VLOOKUP(LOG_RESEAU[[#This Row],[Cell_ID]],Registre_Maintenance!A:F,6,FALSE),"Non trouvé")</f>
        <v>Nokia</v>
      </c>
      <c r="J1086" s="6" t="str">
        <f t="shared" si="48"/>
        <v>OK</v>
      </c>
      <c r="K1086" s="6">
        <f t="shared" si="49"/>
        <v>2</v>
      </c>
      <c r="L1086" s="6">
        <f t="shared" si="50"/>
        <v>110</v>
      </c>
    </row>
    <row r="1087" spans="1:12" ht="15.75" x14ac:dyDescent="0.25">
      <c r="A1087" s="6" t="s">
        <v>1329</v>
      </c>
      <c r="B1087" s="7">
        <v>45228.15902777778</v>
      </c>
      <c r="C1087" s="6">
        <v>30</v>
      </c>
      <c r="D1087" s="6" t="s">
        <v>794</v>
      </c>
      <c r="E1087" s="8" t="str">
        <f>IFERROR(VLOOKUP(LOG_RESEAU[[#This Row],[Cell_ID]],Registre_Maintenance!A:B,2,FALSE),"Non trouvé")</f>
        <v>Kwilu</v>
      </c>
      <c r="F1087" s="8">
        <f>IFERROR(VLOOKUP(LOG_RESEAU[[#This Row],[Cell_ID]],Registre_Maintenance!A:C,3,FALSE),"Non trouvé")</f>
        <v>0.62055499999999997</v>
      </c>
      <c r="G1087" s="8">
        <f>IFERROR(VLOOKUP(LOG_RESEAU[[#This Row],[Cell_ID]],Registre_Maintenance!A:D,4,FALSE),"Non trouvé")</f>
        <v>21.222035000000002</v>
      </c>
      <c r="H1087" s="6" t="str">
        <f>IFERROR(VLOOKUP(LOG_RESEAU[[#This Row],[Cell_ID]],Registre_Maintenance!A:E,5,FALSE),"Non trouvé")</f>
        <v>5G</v>
      </c>
      <c r="I1087" s="6" t="str">
        <f>IFERROR(VLOOKUP(LOG_RESEAU[[#This Row],[Cell_ID]],Registre_Maintenance!A:F,6,FALSE),"Non trouvé")</f>
        <v>Nokia</v>
      </c>
      <c r="J1087" s="6" t="str">
        <f t="shared" si="48"/>
        <v>OK</v>
      </c>
      <c r="K1087" s="6">
        <f t="shared" si="49"/>
        <v>2</v>
      </c>
      <c r="L1087" s="6">
        <f t="shared" si="50"/>
        <v>110</v>
      </c>
    </row>
    <row r="1088" spans="1:12" ht="15.75" x14ac:dyDescent="0.25">
      <c r="A1088" s="6" t="s">
        <v>1318</v>
      </c>
      <c r="B1088" s="7">
        <v>45205.527083333327</v>
      </c>
      <c r="C1088" s="6">
        <v>40</v>
      </c>
      <c r="D1088" s="6" t="s">
        <v>792</v>
      </c>
      <c r="E1088" s="8" t="str">
        <f>IFERROR(VLOOKUP(LOG_RESEAU[[#This Row],[Cell_ID]],Registre_Maintenance!A:B,2,FALSE),"Non trouvé")</f>
        <v>Nord-Kivu</v>
      </c>
      <c r="F1088" s="8">
        <f>IFERROR(VLOOKUP(LOG_RESEAU[[#This Row],[Cell_ID]],Registre_Maintenance!A:C,3,FALSE),"Non trouvé")</f>
        <v>-5.42171</v>
      </c>
      <c r="G1088" s="8">
        <f>IFERROR(VLOOKUP(LOG_RESEAU[[#This Row],[Cell_ID]],Registre_Maintenance!A:D,4,FALSE),"Non trouvé")</f>
        <v>24.202960999999998</v>
      </c>
      <c r="H1088" s="6" t="str">
        <f>IFERROR(VLOOKUP(LOG_RESEAU[[#This Row],[Cell_ID]],Registre_Maintenance!A:E,5,FALSE),"Non trouvé")</f>
        <v>5G</v>
      </c>
      <c r="I1088" s="6" t="str">
        <f>IFERROR(VLOOKUP(LOG_RESEAU[[#This Row],[Cell_ID]],Registre_Maintenance!A:F,6,FALSE),"Non trouvé")</f>
        <v>Ericsson</v>
      </c>
      <c r="J1088" s="6" t="str">
        <f t="shared" si="48"/>
        <v>OK</v>
      </c>
      <c r="K1088" s="6">
        <f t="shared" si="49"/>
        <v>2</v>
      </c>
      <c r="L1088" s="6">
        <f t="shared" si="50"/>
        <v>94</v>
      </c>
    </row>
    <row r="1089" spans="1:12" ht="15.75" x14ac:dyDescent="0.25">
      <c r="A1089" s="6" t="s">
        <v>1318</v>
      </c>
      <c r="B1089" s="7">
        <v>45220.743055555547</v>
      </c>
      <c r="C1089" s="6">
        <v>54</v>
      </c>
      <c r="D1089" s="6" t="s">
        <v>800</v>
      </c>
      <c r="E1089" s="8" t="str">
        <f>IFERROR(VLOOKUP(LOG_RESEAU[[#This Row],[Cell_ID]],Registre_Maintenance!A:B,2,FALSE),"Non trouvé")</f>
        <v>Nord-Kivu</v>
      </c>
      <c r="F1089" s="8">
        <f>IFERROR(VLOOKUP(LOG_RESEAU[[#This Row],[Cell_ID]],Registre_Maintenance!A:C,3,FALSE),"Non trouvé")</f>
        <v>-5.42171</v>
      </c>
      <c r="G1089" s="8">
        <f>IFERROR(VLOOKUP(LOG_RESEAU[[#This Row],[Cell_ID]],Registre_Maintenance!A:D,4,FALSE),"Non trouvé")</f>
        <v>24.202960999999998</v>
      </c>
      <c r="H1089" s="6" t="str">
        <f>IFERROR(VLOOKUP(LOG_RESEAU[[#This Row],[Cell_ID]],Registre_Maintenance!A:E,5,FALSE),"Non trouvé")</f>
        <v>5G</v>
      </c>
      <c r="I1089" s="6" t="str">
        <f>IFERROR(VLOOKUP(LOG_RESEAU[[#This Row],[Cell_ID]],Registre_Maintenance!A:F,6,FALSE),"Non trouvé")</f>
        <v>Ericsson</v>
      </c>
      <c r="J1089" s="6" t="str">
        <f t="shared" si="48"/>
        <v>OK</v>
      </c>
      <c r="K1089" s="6">
        <f t="shared" si="49"/>
        <v>2</v>
      </c>
      <c r="L1089" s="6">
        <f t="shared" si="50"/>
        <v>94</v>
      </c>
    </row>
    <row r="1090" spans="1:12" ht="15.75" x14ac:dyDescent="0.25">
      <c r="A1090" s="6" t="s">
        <v>1546</v>
      </c>
      <c r="B1090" s="7">
        <v>45212.720833333333</v>
      </c>
      <c r="C1090" s="6">
        <v>33</v>
      </c>
      <c r="D1090" s="6" t="s">
        <v>792</v>
      </c>
      <c r="E1090" s="8" t="str">
        <f>IFERROR(VLOOKUP(LOG_RESEAU[[#This Row],[Cell_ID]],Registre_Maintenance!A:B,2,FALSE),"Non trouvé")</f>
        <v>Tshuapa</v>
      </c>
      <c r="F1090" s="8">
        <f>IFERROR(VLOOKUP(LOG_RESEAU[[#This Row],[Cell_ID]],Registre_Maintenance!A:C,3,FALSE),"Non trouvé")</f>
        <v>-5.7957599999999996</v>
      </c>
      <c r="G1090" s="8">
        <f>IFERROR(VLOOKUP(LOG_RESEAU[[#This Row],[Cell_ID]],Registre_Maintenance!A:D,4,FALSE),"Non trouvé")</f>
        <v>14.078258</v>
      </c>
      <c r="H1090" s="6" t="str">
        <f>IFERROR(VLOOKUP(LOG_RESEAU[[#This Row],[Cell_ID]],Registre_Maintenance!A:E,5,FALSE),"Non trouvé")</f>
        <v>5G</v>
      </c>
      <c r="I1090" s="6" t="str">
        <f>IFERROR(VLOOKUP(LOG_RESEAU[[#This Row],[Cell_ID]],Registre_Maintenance!A:F,6,FALSE),"Non trouvé")</f>
        <v>Ericsson</v>
      </c>
      <c r="J1090" s="6" t="str">
        <f t="shared" ref="J1090:J1153" si="51">IF(ISERROR(SEARCH("Non trouvé",F1090)),"OK","Antenne inconnue")</f>
        <v>OK</v>
      </c>
      <c r="K1090" s="6">
        <f t="shared" ref="K1090:K1153" si="52">COUNTIF(A:A,A1090)</f>
        <v>1</v>
      </c>
      <c r="L1090" s="6">
        <f t="shared" ref="L1090:L1153" si="53">SUMIF(A:A,A1090,C:C)</f>
        <v>33</v>
      </c>
    </row>
    <row r="1091" spans="1:12" ht="15.75" x14ac:dyDescent="0.25">
      <c r="A1091" s="6" t="s">
        <v>1289</v>
      </c>
      <c r="B1091" s="7">
        <v>45211.079861111109</v>
      </c>
      <c r="C1091" s="6">
        <v>59</v>
      </c>
      <c r="D1091" s="6" t="s">
        <v>800</v>
      </c>
      <c r="E1091" s="8" t="str">
        <f>IFERROR(VLOOKUP(LOG_RESEAU[[#This Row],[Cell_ID]],Registre_Maintenance!A:B,2,FALSE),"Non trouvé")</f>
        <v>Non trouvé</v>
      </c>
      <c r="F1091" s="8" t="str">
        <f>IFERROR(VLOOKUP(LOG_RESEAU[[#This Row],[Cell_ID]],Registre_Maintenance!A:C,3,FALSE),"Non trouvé")</f>
        <v>Non trouvé</v>
      </c>
      <c r="G1091" s="8" t="str">
        <f>IFERROR(VLOOKUP(LOG_RESEAU[[#This Row],[Cell_ID]],Registre_Maintenance!A:D,4,FALSE),"Non trouvé")</f>
        <v>Non trouvé</v>
      </c>
      <c r="H1091" s="6" t="str">
        <f>IFERROR(VLOOKUP(LOG_RESEAU[[#This Row],[Cell_ID]],Registre_Maintenance!A:E,5,FALSE),"Non trouvé")</f>
        <v>Non trouvé</v>
      </c>
      <c r="I1091" s="6" t="str">
        <f>IFERROR(VLOOKUP(LOG_RESEAU[[#This Row],[Cell_ID]],Registre_Maintenance!A:F,6,FALSE),"Non trouvé")</f>
        <v>Non trouvé</v>
      </c>
      <c r="J1091" s="6" t="str">
        <f t="shared" si="51"/>
        <v>Antenne inconnue</v>
      </c>
      <c r="K1091" s="6">
        <f t="shared" si="52"/>
        <v>2</v>
      </c>
      <c r="L1091" s="6">
        <f t="shared" si="53"/>
        <v>113</v>
      </c>
    </row>
    <row r="1092" spans="1:12" ht="15.75" x14ac:dyDescent="0.25">
      <c r="A1092" s="6" t="s">
        <v>1289</v>
      </c>
      <c r="B1092" s="7">
        <v>45212.240277777782</v>
      </c>
      <c r="C1092" s="6">
        <v>54</v>
      </c>
      <c r="D1092" s="6" t="s">
        <v>800</v>
      </c>
      <c r="E1092" s="8" t="str">
        <f>IFERROR(VLOOKUP(LOG_RESEAU[[#This Row],[Cell_ID]],Registre_Maintenance!A:B,2,FALSE),"Non trouvé")</f>
        <v>Non trouvé</v>
      </c>
      <c r="F1092" s="8" t="str">
        <f>IFERROR(VLOOKUP(LOG_RESEAU[[#This Row],[Cell_ID]],Registre_Maintenance!A:C,3,FALSE),"Non trouvé")</f>
        <v>Non trouvé</v>
      </c>
      <c r="G1092" s="8" t="str">
        <f>IFERROR(VLOOKUP(LOG_RESEAU[[#This Row],[Cell_ID]],Registre_Maintenance!A:D,4,FALSE),"Non trouvé")</f>
        <v>Non trouvé</v>
      </c>
      <c r="H1092" s="6" t="str">
        <f>IFERROR(VLOOKUP(LOG_RESEAU[[#This Row],[Cell_ID]],Registre_Maintenance!A:E,5,FALSE),"Non trouvé")</f>
        <v>Non trouvé</v>
      </c>
      <c r="I1092" s="6" t="str">
        <f>IFERROR(VLOOKUP(LOG_RESEAU[[#This Row],[Cell_ID]],Registre_Maintenance!A:F,6,FALSE),"Non trouvé")</f>
        <v>Non trouvé</v>
      </c>
      <c r="J1092" s="6" t="str">
        <f t="shared" si="51"/>
        <v>Antenne inconnue</v>
      </c>
      <c r="K1092" s="6">
        <f t="shared" si="52"/>
        <v>2</v>
      </c>
      <c r="L1092" s="6">
        <f t="shared" si="53"/>
        <v>113</v>
      </c>
    </row>
    <row r="1093" spans="1:12" ht="15.75" x14ac:dyDescent="0.25">
      <c r="A1093" s="6" t="s">
        <v>1447</v>
      </c>
      <c r="B1093" s="7">
        <v>45209.388888888891</v>
      </c>
      <c r="C1093" s="6">
        <v>44</v>
      </c>
      <c r="D1093" s="6" t="s">
        <v>794</v>
      </c>
      <c r="E1093" s="8" t="str">
        <f>IFERROR(VLOOKUP(LOG_RESEAU[[#This Row],[Cell_ID]],Registre_Maintenance!A:B,2,FALSE),"Non trouvé")</f>
        <v>Non trouvé</v>
      </c>
      <c r="F1093" s="8" t="str">
        <f>IFERROR(VLOOKUP(LOG_RESEAU[[#This Row],[Cell_ID]],Registre_Maintenance!A:C,3,FALSE),"Non trouvé")</f>
        <v>Non trouvé</v>
      </c>
      <c r="G1093" s="8" t="str">
        <f>IFERROR(VLOOKUP(LOG_RESEAU[[#This Row],[Cell_ID]],Registre_Maintenance!A:D,4,FALSE),"Non trouvé")</f>
        <v>Non trouvé</v>
      </c>
      <c r="H1093" s="6" t="str">
        <f>IFERROR(VLOOKUP(LOG_RESEAU[[#This Row],[Cell_ID]],Registre_Maintenance!A:E,5,FALSE),"Non trouvé")</f>
        <v>Non trouvé</v>
      </c>
      <c r="I1093" s="6" t="str">
        <f>IFERROR(VLOOKUP(LOG_RESEAU[[#This Row],[Cell_ID]],Registre_Maintenance!A:F,6,FALSE),"Non trouvé")</f>
        <v>Non trouvé</v>
      </c>
      <c r="J1093" s="6" t="str">
        <f t="shared" si="51"/>
        <v>Antenne inconnue</v>
      </c>
      <c r="K1093" s="6">
        <f t="shared" si="52"/>
        <v>1</v>
      </c>
      <c r="L1093" s="6">
        <f t="shared" si="53"/>
        <v>44</v>
      </c>
    </row>
    <row r="1094" spans="1:12" ht="15.75" x14ac:dyDescent="0.25">
      <c r="A1094" s="6" t="s">
        <v>1430</v>
      </c>
      <c r="B1094" s="7">
        <v>45207.124305555553</v>
      </c>
      <c r="C1094" s="6">
        <v>77</v>
      </c>
      <c r="D1094" s="6" t="s">
        <v>792</v>
      </c>
      <c r="E1094" s="8" t="str">
        <f>IFERROR(VLOOKUP(LOG_RESEAU[[#This Row],[Cell_ID]],Registre_Maintenance!A:B,2,FALSE),"Non trouvé")</f>
        <v>Non trouvé</v>
      </c>
      <c r="F1094" s="8" t="str">
        <f>IFERROR(VLOOKUP(LOG_RESEAU[[#This Row],[Cell_ID]],Registre_Maintenance!A:C,3,FALSE),"Non trouvé")</f>
        <v>Non trouvé</v>
      </c>
      <c r="G1094" s="8" t="str">
        <f>IFERROR(VLOOKUP(LOG_RESEAU[[#This Row],[Cell_ID]],Registre_Maintenance!A:D,4,FALSE),"Non trouvé")</f>
        <v>Non trouvé</v>
      </c>
      <c r="H1094" s="6" t="str">
        <f>IFERROR(VLOOKUP(LOG_RESEAU[[#This Row],[Cell_ID]],Registre_Maintenance!A:E,5,FALSE),"Non trouvé")</f>
        <v>Non trouvé</v>
      </c>
      <c r="I1094" s="6" t="str">
        <f>IFERROR(VLOOKUP(LOG_RESEAU[[#This Row],[Cell_ID]],Registre_Maintenance!A:F,6,FALSE),"Non trouvé")</f>
        <v>Non trouvé</v>
      </c>
      <c r="J1094" s="6" t="str">
        <f t="shared" si="51"/>
        <v>Antenne inconnue</v>
      </c>
      <c r="K1094" s="6">
        <f t="shared" si="52"/>
        <v>1</v>
      </c>
      <c r="L1094" s="6">
        <f t="shared" si="53"/>
        <v>77</v>
      </c>
    </row>
    <row r="1095" spans="1:12" ht="15.75" x14ac:dyDescent="0.25">
      <c r="A1095" s="6" t="s">
        <v>1112</v>
      </c>
      <c r="B1095" s="7">
        <v>45219.420138888891</v>
      </c>
      <c r="C1095" s="6">
        <v>63</v>
      </c>
      <c r="D1095" s="6" t="s">
        <v>792</v>
      </c>
      <c r="E1095" s="8" t="str">
        <f>IFERROR(VLOOKUP(LOG_RESEAU[[#This Row],[Cell_ID]],Registre_Maintenance!A:B,2,FALSE),"Non trouvé")</f>
        <v>Lomami</v>
      </c>
      <c r="F1095" s="8">
        <f>IFERROR(VLOOKUP(LOG_RESEAU[[#This Row],[Cell_ID]],Registre_Maintenance!A:C,3,FALSE),"Non trouvé")</f>
        <v>-9.9875139999999991</v>
      </c>
      <c r="G1095" s="8">
        <f>IFERROR(VLOOKUP(LOG_RESEAU[[#This Row],[Cell_ID]],Registre_Maintenance!A:D,4,FALSE),"Non trouvé")</f>
        <v>12.013676999999999</v>
      </c>
      <c r="H1095" s="6" t="str">
        <f>IFERROR(VLOOKUP(LOG_RESEAU[[#This Row],[Cell_ID]],Registre_Maintenance!A:E,5,FALSE),"Non trouvé")</f>
        <v>3G</v>
      </c>
      <c r="I1095" s="6" t="str">
        <f>IFERROR(VLOOKUP(LOG_RESEAU[[#This Row],[Cell_ID]],Registre_Maintenance!A:F,6,FALSE),"Non trouvé")</f>
        <v>ZTE</v>
      </c>
      <c r="J1095" s="6" t="str">
        <f t="shared" si="51"/>
        <v>OK</v>
      </c>
      <c r="K1095" s="6">
        <f t="shared" si="52"/>
        <v>1</v>
      </c>
      <c r="L1095" s="6">
        <f t="shared" si="53"/>
        <v>63</v>
      </c>
    </row>
    <row r="1096" spans="1:12" ht="15.75" x14ac:dyDescent="0.25">
      <c r="A1096" s="6" t="s">
        <v>1046</v>
      </c>
      <c r="B1096" s="7">
        <v>45230.788888888892</v>
      </c>
      <c r="C1096" s="6">
        <v>87</v>
      </c>
      <c r="D1096" s="6" t="s">
        <v>800</v>
      </c>
      <c r="E1096" s="8" t="str">
        <f>IFERROR(VLOOKUP(LOG_RESEAU[[#This Row],[Cell_ID]],Registre_Maintenance!A:B,2,FALSE),"Non trouvé")</f>
        <v>Non trouvé</v>
      </c>
      <c r="F1096" s="8" t="str">
        <f>IFERROR(VLOOKUP(LOG_RESEAU[[#This Row],[Cell_ID]],Registre_Maintenance!A:C,3,FALSE),"Non trouvé")</f>
        <v>Non trouvé</v>
      </c>
      <c r="G1096" s="8" t="str">
        <f>IFERROR(VLOOKUP(LOG_RESEAU[[#This Row],[Cell_ID]],Registre_Maintenance!A:D,4,FALSE),"Non trouvé")</f>
        <v>Non trouvé</v>
      </c>
      <c r="H1096" s="6" t="str">
        <f>IFERROR(VLOOKUP(LOG_RESEAU[[#This Row],[Cell_ID]],Registre_Maintenance!A:E,5,FALSE),"Non trouvé")</f>
        <v>Non trouvé</v>
      </c>
      <c r="I1096" s="6" t="str">
        <f>IFERROR(VLOOKUP(LOG_RESEAU[[#This Row],[Cell_ID]],Registre_Maintenance!A:F,6,FALSE),"Non trouvé")</f>
        <v>Non trouvé</v>
      </c>
      <c r="J1096" s="6" t="str">
        <f t="shared" si="51"/>
        <v>Antenne inconnue</v>
      </c>
      <c r="K1096" s="6">
        <f t="shared" si="52"/>
        <v>3</v>
      </c>
      <c r="L1096" s="6">
        <f t="shared" si="53"/>
        <v>251</v>
      </c>
    </row>
    <row r="1097" spans="1:12" ht="15.75" x14ac:dyDescent="0.25">
      <c r="A1097" s="6" t="s">
        <v>1046</v>
      </c>
      <c r="B1097" s="7">
        <v>45200.093055555553</v>
      </c>
      <c r="C1097" s="6">
        <v>63</v>
      </c>
      <c r="D1097" s="6" t="s">
        <v>800</v>
      </c>
      <c r="E1097" s="8" t="str">
        <f>IFERROR(VLOOKUP(LOG_RESEAU[[#This Row],[Cell_ID]],Registre_Maintenance!A:B,2,FALSE),"Non trouvé")</f>
        <v>Non trouvé</v>
      </c>
      <c r="F1097" s="8" t="str">
        <f>IFERROR(VLOOKUP(LOG_RESEAU[[#This Row],[Cell_ID]],Registre_Maintenance!A:C,3,FALSE),"Non trouvé")</f>
        <v>Non trouvé</v>
      </c>
      <c r="G1097" s="8" t="str">
        <f>IFERROR(VLOOKUP(LOG_RESEAU[[#This Row],[Cell_ID]],Registre_Maintenance!A:D,4,FALSE),"Non trouvé")</f>
        <v>Non trouvé</v>
      </c>
      <c r="H1097" s="6" t="str">
        <f>IFERROR(VLOOKUP(LOG_RESEAU[[#This Row],[Cell_ID]],Registre_Maintenance!A:E,5,FALSE),"Non trouvé")</f>
        <v>Non trouvé</v>
      </c>
      <c r="I1097" s="6" t="str">
        <f>IFERROR(VLOOKUP(LOG_RESEAU[[#This Row],[Cell_ID]],Registre_Maintenance!A:F,6,FALSE),"Non trouvé")</f>
        <v>Non trouvé</v>
      </c>
      <c r="J1097" s="6" t="str">
        <f t="shared" si="51"/>
        <v>Antenne inconnue</v>
      </c>
      <c r="K1097" s="6">
        <f t="shared" si="52"/>
        <v>3</v>
      </c>
      <c r="L1097" s="6">
        <f t="shared" si="53"/>
        <v>251</v>
      </c>
    </row>
    <row r="1098" spans="1:12" ht="15.75" x14ac:dyDescent="0.25">
      <c r="A1098" s="6" t="s">
        <v>1046</v>
      </c>
      <c r="B1098" s="7">
        <v>45228.840277777781</v>
      </c>
      <c r="C1098" s="6">
        <v>101</v>
      </c>
      <c r="D1098" s="6" t="s">
        <v>794</v>
      </c>
      <c r="E1098" s="8" t="str">
        <f>IFERROR(VLOOKUP(LOG_RESEAU[[#This Row],[Cell_ID]],Registre_Maintenance!A:B,2,FALSE),"Non trouvé")</f>
        <v>Non trouvé</v>
      </c>
      <c r="F1098" s="8" t="str">
        <f>IFERROR(VLOOKUP(LOG_RESEAU[[#This Row],[Cell_ID]],Registre_Maintenance!A:C,3,FALSE),"Non trouvé")</f>
        <v>Non trouvé</v>
      </c>
      <c r="G1098" s="8" t="str">
        <f>IFERROR(VLOOKUP(LOG_RESEAU[[#This Row],[Cell_ID]],Registre_Maintenance!A:D,4,FALSE),"Non trouvé")</f>
        <v>Non trouvé</v>
      </c>
      <c r="H1098" s="6" t="str">
        <f>IFERROR(VLOOKUP(LOG_RESEAU[[#This Row],[Cell_ID]],Registre_Maintenance!A:E,5,FALSE),"Non trouvé")</f>
        <v>Non trouvé</v>
      </c>
      <c r="I1098" s="6" t="str">
        <f>IFERROR(VLOOKUP(LOG_RESEAU[[#This Row],[Cell_ID]],Registre_Maintenance!A:F,6,FALSE),"Non trouvé")</f>
        <v>Non trouvé</v>
      </c>
      <c r="J1098" s="6" t="str">
        <f t="shared" si="51"/>
        <v>Antenne inconnue</v>
      </c>
      <c r="K1098" s="6">
        <f t="shared" si="52"/>
        <v>3</v>
      </c>
      <c r="L1098" s="6">
        <f t="shared" si="53"/>
        <v>251</v>
      </c>
    </row>
    <row r="1099" spans="1:12" ht="15.75" x14ac:dyDescent="0.25">
      <c r="A1099" s="6" t="s">
        <v>1047</v>
      </c>
      <c r="B1099" s="7">
        <v>45220.642361111109</v>
      </c>
      <c r="C1099" s="6">
        <v>19</v>
      </c>
      <c r="D1099" s="6" t="s">
        <v>794</v>
      </c>
      <c r="E1099" s="8" t="str">
        <f>IFERROR(VLOOKUP(LOG_RESEAU[[#This Row],[Cell_ID]],Registre_Maintenance!A:B,2,FALSE),"Non trouvé")</f>
        <v>Non trouvé</v>
      </c>
      <c r="F1099" s="8" t="str">
        <f>IFERROR(VLOOKUP(LOG_RESEAU[[#This Row],[Cell_ID]],Registre_Maintenance!A:C,3,FALSE),"Non trouvé")</f>
        <v>Non trouvé</v>
      </c>
      <c r="G1099" s="8" t="str">
        <f>IFERROR(VLOOKUP(LOG_RESEAU[[#This Row],[Cell_ID]],Registre_Maintenance!A:D,4,FALSE),"Non trouvé")</f>
        <v>Non trouvé</v>
      </c>
      <c r="H1099" s="6" t="str">
        <f>IFERROR(VLOOKUP(LOG_RESEAU[[#This Row],[Cell_ID]],Registre_Maintenance!A:E,5,FALSE),"Non trouvé")</f>
        <v>Non trouvé</v>
      </c>
      <c r="I1099" s="6" t="str">
        <f>IFERROR(VLOOKUP(LOG_RESEAU[[#This Row],[Cell_ID]],Registre_Maintenance!A:F,6,FALSE),"Non trouvé")</f>
        <v>Non trouvé</v>
      </c>
      <c r="J1099" s="6" t="str">
        <f t="shared" si="51"/>
        <v>Antenne inconnue</v>
      </c>
      <c r="K1099" s="6">
        <f t="shared" si="52"/>
        <v>6</v>
      </c>
      <c r="L1099" s="6">
        <f t="shared" si="53"/>
        <v>330</v>
      </c>
    </row>
    <row r="1100" spans="1:12" ht="15.75" x14ac:dyDescent="0.25">
      <c r="A1100" s="6" t="s">
        <v>1047</v>
      </c>
      <c r="B1100" s="7">
        <v>45230.834722222222</v>
      </c>
      <c r="C1100" s="6">
        <v>46</v>
      </c>
      <c r="D1100" s="6" t="s">
        <v>800</v>
      </c>
      <c r="E1100" s="8" t="str">
        <f>IFERROR(VLOOKUP(LOG_RESEAU[[#This Row],[Cell_ID]],Registre_Maintenance!A:B,2,FALSE),"Non trouvé")</f>
        <v>Non trouvé</v>
      </c>
      <c r="F1100" s="8" t="str">
        <f>IFERROR(VLOOKUP(LOG_RESEAU[[#This Row],[Cell_ID]],Registre_Maintenance!A:C,3,FALSE),"Non trouvé")</f>
        <v>Non trouvé</v>
      </c>
      <c r="G1100" s="8" t="str">
        <f>IFERROR(VLOOKUP(LOG_RESEAU[[#This Row],[Cell_ID]],Registre_Maintenance!A:D,4,FALSE),"Non trouvé")</f>
        <v>Non trouvé</v>
      </c>
      <c r="H1100" s="6" t="str">
        <f>IFERROR(VLOOKUP(LOG_RESEAU[[#This Row],[Cell_ID]],Registre_Maintenance!A:E,5,FALSE),"Non trouvé")</f>
        <v>Non trouvé</v>
      </c>
      <c r="I1100" s="6" t="str">
        <f>IFERROR(VLOOKUP(LOG_RESEAU[[#This Row],[Cell_ID]],Registre_Maintenance!A:F,6,FALSE),"Non trouvé")</f>
        <v>Non trouvé</v>
      </c>
      <c r="J1100" s="6" t="str">
        <f t="shared" si="51"/>
        <v>Antenne inconnue</v>
      </c>
      <c r="K1100" s="6">
        <f t="shared" si="52"/>
        <v>6</v>
      </c>
      <c r="L1100" s="6">
        <f t="shared" si="53"/>
        <v>330</v>
      </c>
    </row>
    <row r="1101" spans="1:12" ht="15.75" x14ac:dyDescent="0.25">
      <c r="A1101" s="6" t="s">
        <v>1047</v>
      </c>
      <c r="B1101" s="7">
        <v>45218.361805555563</v>
      </c>
      <c r="C1101" s="6">
        <v>45</v>
      </c>
      <c r="D1101" s="6" t="s">
        <v>792</v>
      </c>
      <c r="E1101" s="8" t="str">
        <f>IFERROR(VLOOKUP(LOG_RESEAU[[#This Row],[Cell_ID]],Registre_Maintenance!A:B,2,FALSE),"Non trouvé")</f>
        <v>Non trouvé</v>
      </c>
      <c r="F1101" s="8" t="str">
        <f>IFERROR(VLOOKUP(LOG_RESEAU[[#This Row],[Cell_ID]],Registre_Maintenance!A:C,3,FALSE),"Non trouvé")</f>
        <v>Non trouvé</v>
      </c>
      <c r="G1101" s="8" t="str">
        <f>IFERROR(VLOOKUP(LOG_RESEAU[[#This Row],[Cell_ID]],Registre_Maintenance!A:D,4,FALSE),"Non trouvé")</f>
        <v>Non trouvé</v>
      </c>
      <c r="H1101" s="6" t="str">
        <f>IFERROR(VLOOKUP(LOG_RESEAU[[#This Row],[Cell_ID]],Registre_Maintenance!A:E,5,FALSE),"Non trouvé")</f>
        <v>Non trouvé</v>
      </c>
      <c r="I1101" s="6" t="str">
        <f>IFERROR(VLOOKUP(LOG_RESEAU[[#This Row],[Cell_ID]],Registre_Maintenance!A:F,6,FALSE),"Non trouvé")</f>
        <v>Non trouvé</v>
      </c>
      <c r="J1101" s="6" t="str">
        <f t="shared" si="51"/>
        <v>Antenne inconnue</v>
      </c>
      <c r="K1101" s="6">
        <f t="shared" si="52"/>
        <v>6</v>
      </c>
      <c r="L1101" s="6">
        <f t="shared" si="53"/>
        <v>330</v>
      </c>
    </row>
    <row r="1102" spans="1:12" ht="15.75" x14ac:dyDescent="0.25">
      <c r="A1102" s="6" t="s">
        <v>1047</v>
      </c>
      <c r="B1102" s="7">
        <v>45229.282638888893</v>
      </c>
      <c r="C1102" s="6">
        <v>102</v>
      </c>
      <c r="D1102" s="6" t="s">
        <v>800</v>
      </c>
      <c r="E1102" s="8" t="str">
        <f>IFERROR(VLOOKUP(LOG_RESEAU[[#This Row],[Cell_ID]],Registre_Maintenance!A:B,2,FALSE),"Non trouvé")</f>
        <v>Non trouvé</v>
      </c>
      <c r="F1102" s="8" t="str">
        <f>IFERROR(VLOOKUP(LOG_RESEAU[[#This Row],[Cell_ID]],Registre_Maintenance!A:C,3,FALSE),"Non trouvé")</f>
        <v>Non trouvé</v>
      </c>
      <c r="G1102" s="8" t="str">
        <f>IFERROR(VLOOKUP(LOG_RESEAU[[#This Row],[Cell_ID]],Registre_Maintenance!A:D,4,FALSE),"Non trouvé")</f>
        <v>Non trouvé</v>
      </c>
      <c r="H1102" s="6" t="str">
        <f>IFERROR(VLOOKUP(LOG_RESEAU[[#This Row],[Cell_ID]],Registre_Maintenance!A:E,5,FALSE),"Non trouvé")</f>
        <v>Non trouvé</v>
      </c>
      <c r="I1102" s="6" t="str">
        <f>IFERROR(VLOOKUP(LOG_RESEAU[[#This Row],[Cell_ID]],Registre_Maintenance!A:F,6,FALSE),"Non trouvé")</f>
        <v>Non trouvé</v>
      </c>
      <c r="J1102" s="6" t="str">
        <f t="shared" si="51"/>
        <v>Antenne inconnue</v>
      </c>
      <c r="K1102" s="6">
        <f t="shared" si="52"/>
        <v>6</v>
      </c>
      <c r="L1102" s="6">
        <f t="shared" si="53"/>
        <v>330</v>
      </c>
    </row>
    <row r="1103" spans="1:12" ht="15.75" x14ac:dyDescent="0.25">
      <c r="A1103" s="6" t="s">
        <v>1047</v>
      </c>
      <c r="B1103" s="7">
        <v>45220.114583333343</v>
      </c>
      <c r="C1103" s="6">
        <v>54</v>
      </c>
      <c r="D1103" s="6" t="s">
        <v>800</v>
      </c>
      <c r="E1103" s="8" t="str">
        <f>IFERROR(VLOOKUP(LOG_RESEAU[[#This Row],[Cell_ID]],Registre_Maintenance!A:B,2,FALSE),"Non trouvé")</f>
        <v>Non trouvé</v>
      </c>
      <c r="F1103" s="8" t="str">
        <f>IFERROR(VLOOKUP(LOG_RESEAU[[#This Row],[Cell_ID]],Registre_Maintenance!A:C,3,FALSE),"Non trouvé")</f>
        <v>Non trouvé</v>
      </c>
      <c r="G1103" s="8" t="str">
        <f>IFERROR(VLOOKUP(LOG_RESEAU[[#This Row],[Cell_ID]],Registre_Maintenance!A:D,4,FALSE),"Non trouvé")</f>
        <v>Non trouvé</v>
      </c>
      <c r="H1103" s="6" t="str">
        <f>IFERROR(VLOOKUP(LOG_RESEAU[[#This Row],[Cell_ID]],Registre_Maintenance!A:E,5,FALSE),"Non trouvé")</f>
        <v>Non trouvé</v>
      </c>
      <c r="I1103" s="6" t="str">
        <f>IFERROR(VLOOKUP(LOG_RESEAU[[#This Row],[Cell_ID]],Registre_Maintenance!A:F,6,FALSE),"Non trouvé")</f>
        <v>Non trouvé</v>
      </c>
      <c r="J1103" s="6" t="str">
        <f t="shared" si="51"/>
        <v>Antenne inconnue</v>
      </c>
      <c r="K1103" s="6">
        <f t="shared" si="52"/>
        <v>6</v>
      </c>
      <c r="L1103" s="6">
        <f t="shared" si="53"/>
        <v>330</v>
      </c>
    </row>
    <row r="1104" spans="1:12" ht="15.75" x14ac:dyDescent="0.25">
      <c r="A1104" s="6" t="s">
        <v>1047</v>
      </c>
      <c r="B1104" s="7">
        <v>45226.920138888891</v>
      </c>
      <c r="C1104" s="6">
        <v>64</v>
      </c>
      <c r="D1104" s="6" t="s">
        <v>792</v>
      </c>
      <c r="E1104" s="8" t="str">
        <f>IFERROR(VLOOKUP(LOG_RESEAU[[#This Row],[Cell_ID]],Registre_Maintenance!A:B,2,FALSE),"Non trouvé")</f>
        <v>Non trouvé</v>
      </c>
      <c r="F1104" s="8" t="str">
        <f>IFERROR(VLOOKUP(LOG_RESEAU[[#This Row],[Cell_ID]],Registre_Maintenance!A:C,3,FALSE),"Non trouvé")</f>
        <v>Non trouvé</v>
      </c>
      <c r="G1104" s="8" t="str">
        <f>IFERROR(VLOOKUP(LOG_RESEAU[[#This Row],[Cell_ID]],Registre_Maintenance!A:D,4,FALSE),"Non trouvé")</f>
        <v>Non trouvé</v>
      </c>
      <c r="H1104" s="6" t="str">
        <f>IFERROR(VLOOKUP(LOG_RESEAU[[#This Row],[Cell_ID]],Registre_Maintenance!A:E,5,FALSE),"Non trouvé")</f>
        <v>Non trouvé</v>
      </c>
      <c r="I1104" s="6" t="str">
        <f>IFERROR(VLOOKUP(LOG_RESEAU[[#This Row],[Cell_ID]],Registre_Maintenance!A:F,6,FALSE),"Non trouvé")</f>
        <v>Non trouvé</v>
      </c>
      <c r="J1104" s="6" t="str">
        <f t="shared" si="51"/>
        <v>Antenne inconnue</v>
      </c>
      <c r="K1104" s="6">
        <f t="shared" si="52"/>
        <v>6</v>
      </c>
      <c r="L1104" s="6">
        <f t="shared" si="53"/>
        <v>330</v>
      </c>
    </row>
    <row r="1105" spans="1:12" ht="15.75" x14ac:dyDescent="0.25">
      <c r="A1105" s="6" t="s">
        <v>1125</v>
      </c>
      <c r="B1105" s="7">
        <v>45228.511805555558</v>
      </c>
      <c r="C1105" s="6">
        <v>64</v>
      </c>
      <c r="D1105" s="6" t="s">
        <v>800</v>
      </c>
      <c r="E1105" s="8" t="str">
        <f>IFERROR(VLOOKUP(LOG_RESEAU[[#This Row],[Cell_ID]],Registre_Maintenance!A:B,2,FALSE),"Non trouvé")</f>
        <v>Haut-Uele</v>
      </c>
      <c r="F1105" s="8">
        <f>IFERROR(VLOOKUP(LOG_RESEAU[[#This Row],[Cell_ID]],Registre_Maintenance!A:C,3,FALSE),"Non trouvé")</f>
        <v>-4.4351269999999996</v>
      </c>
      <c r="G1105" s="8">
        <f>IFERROR(VLOOKUP(LOG_RESEAU[[#This Row],[Cell_ID]],Registre_Maintenance!A:D,4,FALSE),"Non trouvé")</f>
        <v>24.825467</v>
      </c>
      <c r="H1105" s="6" t="str">
        <f>IFERROR(VLOOKUP(LOG_RESEAU[[#This Row],[Cell_ID]],Registre_Maintenance!A:E,5,FALSE),"Non trouvé")</f>
        <v>4G</v>
      </c>
      <c r="I1105" s="6" t="str">
        <f>IFERROR(VLOOKUP(LOG_RESEAU[[#This Row],[Cell_ID]],Registre_Maintenance!A:F,6,FALSE),"Non trouvé")</f>
        <v>Huawei</v>
      </c>
      <c r="J1105" s="6" t="str">
        <f t="shared" si="51"/>
        <v>OK</v>
      </c>
      <c r="K1105" s="6">
        <f t="shared" si="52"/>
        <v>2</v>
      </c>
      <c r="L1105" s="6">
        <f t="shared" si="53"/>
        <v>169</v>
      </c>
    </row>
    <row r="1106" spans="1:12" ht="15.75" x14ac:dyDescent="0.25">
      <c r="A1106" s="6" t="s">
        <v>1125</v>
      </c>
      <c r="B1106" s="7">
        <v>45230.323611111111</v>
      </c>
      <c r="C1106" s="6">
        <v>105</v>
      </c>
      <c r="D1106" s="6" t="s">
        <v>794</v>
      </c>
      <c r="E1106" s="8" t="str">
        <f>IFERROR(VLOOKUP(LOG_RESEAU[[#This Row],[Cell_ID]],Registre_Maintenance!A:B,2,FALSE),"Non trouvé")</f>
        <v>Haut-Uele</v>
      </c>
      <c r="F1106" s="8">
        <f>IFERROR(VLOOKUP(LOG_RESEAU[[#This Row],[Cell_ID]],Registre_Maintenance!A:C,3,FALSE),"Non trouvé")</f>
        <v>-4.4351269999999996</v>
      </c>
      <c r="G1106" s="8">
        <f>IFERROR(VLOOKUP(LOG_RESEAU[[#This Row],[Cell_ID]],Registre_Maintenance!A:D,4,FALSE),"Non trouvé")</f>
        <v>24.825467</v>
      </c>
      <c r="H1106" s="6" t="str">
        <f>IFERROR(VLOOKUP(LOG_RESEAU[[#This Row],[Cell_ID]],Registre_Maintenance!A:E,5,FALSE),"Non trouvé")</f>
        <v>4G</v>
      </c>
      <c r="I1106" s="6" t="str">
        <f>IFERROR(VLOOKUP(LOG_RESEAU[[#This Row],[Cell_ID]],Registre_Maintenance!A:F,6,FALSE),"Non trouvé")</f>
        <v>Huawei</v>
      </c>
      <c r="J1106" s="6" t="str">
        <f t="shared" si="51"/>
        <v>OK</v>
      </c>
      <c r="K1106" s="6">
        <f t="shared" si="52"/>
        <v>2</v>
      </c>
      <c r="L1106" s="6">
        <f t="shared" si="53"/>
        <v>169</v>
      </c>
    </row>
    <row r="1107" spans="1:12" ht="15.75" x14ac:dyDescent="0.25">
      <c r="A1107" s="6" t="s">
        <v>1140</v>
      </c>
      <c r="B1107" s="7">
        <v>45202.780555555553</v>
      </c>
      <c r="C1107" s="6">
        <v>53</v>
      </c>
      <c r="D1107" s="6" t="s">
        <v>792</v>
      </c>
      <c r="E1107" s="8" t="str">
        <f>IFERROR(VLOOKUP(LOG_RESEAU[[#This Row],[Cell_ID]],Registre_Maintenance!A:B,2,FALSE),"Non trouvé")</f>
        <v>Maniema</v>
      </c>
      <c r="F1107" s="8">
        <f>IFERROR(VLOOKUP(LOG_RESEAU[[#This Row],[Cell_ID]],Registre_Maintenance!A:C,3,FALSE),"Non trouvé")</f>
        <v>-2.3743210000000001</v>
      </c>
      <c r="G1107" s="8">
        <f>IFERROR(VLOOKUP(LOG_RESEAU[[#This Row],[Cell_ID]],Registre_Maintenance!A:D,4,FALSE),"Non trouvé")</f>
        <v>22.399491000000001</v>
      </c>
      <c r="H1107" s="6" t="str">
        <f>IFERROR(VLOOKUP(LOG_RESEAU[[#This Row],[Cell_ID]],Registre_Maintenance!A:E,5,FALSE),"Non trouvé")</f>
        <v>5G</v>
      </c>
      <c r="I1107" s="6" t="str">
        <f>IFERROR(VLOOKUP(LOG_RESEAU[[#This Row],[Cell_ID]],Registre_Maintenance!A:F,6,FALSE),"Non trouvé")</f>
        <v>Ericsson</v>
      </c>
      <c r="J1107" s="6" t="str">
        <f t="shared" si="51"/>
        <v>OK</v>
      </c>
      <c r="K1107" s="6">
        <f t="shared" si="52"/>
        <v>3</v>
      </c>
      <c r="L1107" s="6">
        <f t="shared" si="53"/>
        <v>227</v>
      </c>
    </row>
    <row r="1108" spans="1:12" ht="15.75" x14ac:dyDescent="0.25">
      <c r="A1108" s="6" t="s">
        <v>1140</v>
      </c>
      <c r="B1108" s="7">
        <v>45216.26666666667</v>
      </c>
      <c r="C1108" s="6">
        <v>90</v>
      </c>
      <c r="D1108" s="6" t="s">
        <v>792</v>
      </c>
      <c r="E1108" s="8" t="str">
        <f>IFERROR(VLOOKUP(LOG_RESEAU[[#This Row],[Cell_ID]],Registre_Maintenance!A:B,2,FALSE),"Non trouvé")</f>
        <v>Maniema</v>
      </c>
      <c r="F1108" s="8">
        <f>IFERROR(VLOOKUP(LOG_RESEAU[[#This Row],[Cell_ID]],Registre_Maintenance!A:C,3,FALSE),"Non trouvé")</f>
        <v>-2.3743210000000001</v>
      </c>
      <c r="G1108" s="8">
        <f>IFERROR(VLOOKUP(LOG_RESEAU[[#This Row],[Cell_ID]],Registre_Maintenance!A:D,4,FALSE),"Non trouvé")</f>
        <v>22.399491000000001</v>
      </c>
      <c r="H1108" s="6" t="str">
        <f>IFERROR(VLOOKUP(LOG_RESEAU[[#This Row],[Cell_ID]],Registre_Maintenance!A:E,5,FALSE),"Non trouvé")</f>
        <v>5G</v>
      </c>
      <c r="I1108" s="6" t="str">
        <f>IFERROR(VLOOKUP(LOG_RESEAU[[#This Row],[Cell_ID]],Registre_Maintenance!A:F,6,FALSE),"Non trouvé")</f>
        <v>Ericsson</v>
      </c>
      <c r="J1108" s="6" t="str">
        <f t="shared" si="51"/>
        <v>OK</v>
      </c>
      <c r="K1108" s="6">
        <f t="shared" si="52"/>
        <v>3</v>
      </c>
      <c r="L1108" s="6">
        <f t="shared" si="53"/>
        <v>227</v>
      </c>
    </row>
    <row r="1109" spans="1:12" ht="15.75" x14ac:dyDescent="0.25">
      <c r="A1109" s="6" t="s">
        <v>1140</v>
      </c>
      <c r="B1109" s="7">
        <v>45217.775694444441</v>
      </c>
      <c r="C1109" s="6">
        <v>84</v>
      </c>
      <c r="D1109" s="6" t="s">
        <v>794</v>
      </c>
      <c r="E1109" s="8" t="str">
        <f>IFERROR(VLOOKUP(LOG_RESEAU[[#This Row],[Cell_ID]],Registre_Maintenance!A:B,2,FALSE),"Non trouvé")</f>
        <v>Maniema</v>
      </c>
      <c r="F1109" s="8">
        <f>IFERROR(VLOOKUP(LOG_RESEAU[[#This Row],[Cell_ID]],Registre_Maintenance!A:C,3,FALSE),"Non trouvé")</f>
        <v>-2.3743210000000001</v>
      </c>
      <c r="G1109" s="8">
        <f>IFERROR(VLOOKUP(LOG_RESEAU[[#This Row],[Cell_ID]],Registre_Maintenance!A:D,4,FALSE),"Non trouvé")</f>
        <v>22.399491000000001</v>
      </c>
      <c r="H1109" s="6" t="str">
        <f>IFERROR(VLOOKUP(LOG_RESEAU[[#This Row],[Cell_ID]],Registre_Maintenance!A:E,5,FALSE),"Non trouvé")</f>
        <v>5G</v>
      </c>
      <c r="I1109" s="6" t="str">
        <f>IFERROR(VLOOKUP(LOG_RESEAU[[#This Row],[Cell_ID]],Registre_Maintenance!A:F,6,FALSE),"Non trouvé")</f>
        <v>Ericsson</v>
      </c>
      <c r="J1109" s="6" t="str">
        <f t="shared" si="51"/>
        <v>OK</v>
      </c>
      <c r="K1109" s="6">
        <f t="shared" si="52"/>
        <v>3</v>
      </c>
      <c r="L1109" s="6">
        <f t="shared" si="53"/>
        <v>227</v>
      </c>
    </row>
    <row r="1110" spans="1:12" ht="15.75" x14ac:dyDescent="0.25">
      <c r="A1110" s="6" t="s">
        <v>1105</v>
      </c>
      <c r="B1110" s="7">
        <v>45226.013194444437</v>
      </c>
      <c r="C1110" s="6">
        <v>107</v>
      </c>
      <c r="D1110" s="6" t="s">
        <v>800</v>
      </c>
      <c r="E1110" s="8" t="str">
        <f>IFERROR(VLOOKUP(LOG_RESEAU[[#This Row],[Cell_ID]],Registre_Maintenance!A:B,2,FALSE),"Non trouvé")</f>
        <v>Non trouvé</v>
      </c>
      <c r="F1110" s="8" t="str">
        <f>IFERROR(VLOOKUP(LOG_RESEAU[[#This Row],[Cell_ID]],Registre_Maintenance!A:C,3,FALSE),"Non trouvé")</f>
        <v>Non trouvé</v>
      </c>
      <c r="G1110" s="8" t="str">
        <f>IFERROR(VLOOKUP(LOG_RESEAU[[#This Row],[Cell_ID]],Registre_Maintenance!A:D,4,FALSE),"Non trouvé")</f>
        <v>Non trouvé</v>
      </c>
      <c r="H1110" s="6" t="str">
        <f>IFERROR(VLOOKUP(LOG_RESEAU[[#This Row],[Cell_ID]],Registre_Maintenance!A:E,5,FALSE),"Non trouvé")</f>
        <v>Non trouvé</v>
      </c>
      <c r="I1110" s="6" t="str">
        <f>IFERROR(VLOOKUP(LOG_RESEAU[[#This Row],[Cell_ID]],Registre_Maintenance!A:F,6,FALSE),"Non trouvé")</f>
        <v>Non trouvé</v>
      </c>
      <c r="J1110" s="6" t="str">
        <f t="shared" si="51"/>
        <v>Antenne inconnue</v>
      </c>
      <c r="K1110" s="6">
        <f t="shared" si="52"/>
        <v>4</v>
      </c>
      <c r="L1110" s="6">
        <f t="shared" si="53"/>
        <v>329</v>
      </c>
    </row>
    <row r="1111" spans="1:12" ht="15.75" x14ac:dyDescent="0.25">
      <c r="A1111" s="6" t="s">
        <v>1105</v>
      </c>
      <c r="B1111" s="7">
        <v>45217.414583333331</v>
      </c>
      <c r="C1111" s="6">
        <v>74</v>
      </c>
      <c r="D1111" s="6" t="s">
        <v>792</v>
      </c>
      <c r="E1111" s="8" t="str">
        <f>IFERROR(VLOOKUP(LOG_RESEAU[[#This Row],[Cell_ID]],Registre_Maintenance!A:B,2,FALSE),"Non trouvé")</f>
        <v>Non trouvé</v>
      </c>
      <c r="F1111" s="8" t="str">
        <f>IFERROR(VLOOKUP(LOG_RESEAU[[#This Row],[Cell_ID]],Registre_Maintenance!A:C,3,FALSE),"Non trouvé")</f>
        <v>Non trouvé</v>
      </c>
      <c r="G1111" s="8" t="str">
        <f>IFERROR(VLOOKUP(LOG_RESEAU[[#This Row],[Cell_ID]],Registre_Maintenance!A:D,4,FALSE),"Non trouvé")</f>
        <v>Non trouvé</v>
      </c>
      <c r="H1111" s="6" t="str">
        <f>IFERROR(VLOOKUP(LOG_RESEAU[[#This Row],[Cell_ID]],Registre_Maintenance!A:E,5,FALSE),"Non trouvé")</f>
        <v>Non trouvé</v>
      </c>
      <c r="I1111" s="6" t="str">
        <f>IFERROR(VLOOKUP(LOG_RESEAU[[#This Row],[Cell_ID]],Registre_Maintenance!A:F,6,FALSE),"Non trouvé")</f>
        <v>Non trouvé</v>
      </c>
      <c r="J1111" s="6" t="str">
        <f t="shared" si="51"/>
        <v>Antenne inconnue</v>
      </c>
      <c r="K1111" s="6">
        <f t="shared" si="52"/>
        <v>4</v>
      </c>
      <c r="L1111" s="6">
        <f t="shared" si="53"/>
        <v>329</v>
      </c>
    </row>
    <row r="1112" spans="1:12" ht="15.75" x14ac:dyDescent="0.25">
      <c r="A1112" s="6" t="s">
        <v>1105</v>
      </c>
      <c r="B1112" s="7">
        <v>45211.123611111107</v>
      </c>
      <c r="C1112" s="6">
        <v>87</v>
      </c>
      <c r="D1112" s="6" t="s">
        <v>794</v>
      </c>
      <c r="E1112" s="8" t="str">
        <f>IFERROR(VLOOKUP(LOG_RESEAU[[#This Row],[Cell_ID]],Registre_Maintenance!A:B,2,FALSE),"Non trouvé")</f>
        <v>Non trouvé</v>
      </c>
      <c r="F1112" s="8" t="str">
        <f>IFERROR(VLOOKUP(LOG_RESEAU[[#This Row],[Cell_ID]],Registre_Maintenance!A:C,3,FALSE),"Non trouvé")</f>
        <v>Non trouvé</v>
      </c>
      <c r="G1112" s="8" t="str">
        <f>IFERROR(VLOOKUP(LOG_RESEAU[[#This Row],[Cell_ID]],Registre_Maintenance!A:D,4,FALSE),"Non trouvé")</f>
        <v>Non trouvé</v>
      </c>
      <c r="H1112" s="6" t="str">
        <f>IFERROR(VLOOKUP(LOG_RESEAU[[#This Row],[Cell_ID]],Registre_Maintenance!A:E,5,FALSE),"Non trouvé")</f>
        <v>Non trouvé</v>
      </c>
      <c r="I1112" s="6" t="str">
        <f>IFERROR(VLOOKUP(LOG_RESEAU[[#This Row],[Cell_ID]],Registre_Maintenance!A:F,6,FALSE),"Non trouvé")</f>
        <v>Non trouvé</v>
      </c>
      <c r="J1112" s="6" t="str">
        <f t="shared" si="51"/>
        <v>Antenne inconnue</v>
      </c>
      <c r="K1112" s="6">
        <f t="shared" si="52"/>
        <v>4</v>
      </c>
      <c r="L1112" s="6">
        <f t="shared" si="53"/>
        <v>329</v>
      </c>
    </row>
    <row r="1113" spans="1:12" ht="15.75" x14ac:dyDescent="0.25">
      <c r="A1113" s="6" t="s">
        <v>1105</v>
      </c>
      <c r="B1113" s="7">
        <v>45211.495833333327</v>
      </c>
      <c r="C1113" s="6">
        <v>61</v>
      </c>
      <c r="D1113" s="6" t="s">
        <v>800</v>
      </c>
      <c r="E1113" s="8" t="str">
        <f>IFERROR(VLOOKUP(LOG_RESEAU[[#This Row],[Cell_ID]],Registre_Maintenance!A:B,2,FALSE),"Non trouvé")</f>
        <v>Non trouvé</v>
      </c>
      <c r="F1113" s="8" t="str">
        <f>IFERROR(VLOOKUP(LOG_RESEAU[[#This Row],[Cell_ID]],Registre_Maintenance!A:C,3,FALSE),"Non trouvé")</f>
        <v>Non trouvé</v>
      </c>
      <c r="G1113" s="8" t="str">
        <f>IFERROR(VLOOKUP(LOG_RESEAU[[#This Row],[Cell_ID]],Registre_Maintenance!A:D,4,FALSE),"Non trouvé")</f>
        <v>Non trouvé</v>
      </c>
      <c r="H1113" s="6" t="str">
        <f>IFERROR(VLOOKUP(LOG_RESEAU[[#This Row],[Cell_ID]],Registre_Maintenance!A:E,5,FALSE),"Non trouvé")</f>
        <v>Non trouvé</v>
      </c>
      <c r="I1113" s="6" t="str">
        <f>IFERROR(VLOOKUP(LOG_RESEAU[[#This Row],[Cell_ID]],Registre_Maintenance!A:F,6,FALSE),"Non trouvé")</f>
        <v>Non trouvé</v>
      </c>
      <c r="J1113" s="6" t="str">
        <f t="shared" si="51"/>
        <v>Antenne inconnue</v>
      </c>
      <c r="K1113" s="6">
        <f t="shared" si="52"/>
        <v>4</v>
      </c>
      <c r="L1113" s="6">
        <f t="shared" si="53"/>
        <v>329</v>
      </c>
    </row>
    <row r="1114" spans="1:12" ht="15.75" x14ac:dyDescent="0.25">
      <c r="A1114" s="6" t="s">
        <v>1296</v>
      </c>
      <c r="B1114" s="7">
        <v>45228.086111111108</v>
      </c>
      <c r="C1114" s="6">
        <v>43</v>
      </c>
      <c r="D1114" s="6" t="s">
        <v>792</v>
      </c>
      <c r="E1114" s="8" t="str">
        <f>IFERROR(VLOOKUP(LOG_RESEAU[[#This Row],[Cell_ID]],Registre_Maintenance!A:B,2,FALSE),"Non trouvé")</f>
        <v>Sankuru</v>
      </c>
      <c r="F1114" s="8">
        <f>IFERROR(VLOOKUP(LOG_RESEAU[[#This Row],[Cell_ID]],Registre_Maintenance!A:C,3,FALSE),"Non trouvé")</f>
        <v>-6.4883290000000002</v>
      </c>
      <c r="G1114" s="8">
        <f>IFERROR(VLOOKUP(LOG_RESEAU[[#This Row],[Cell_ID]],Registre_Maintenance!A:D,4,FALSE),"Non trouvé")</f>
        <v>25.103404000000001</v>
      </c>
      <c r="H1114" s="6" t="str">
        <f>IFERROR(VLOOKUP(LOG_RESEAU[[#This Row],[Cell_ID]],Registre_Maintenance!A:E,5,FALSE),"Non trouvé")</f>
        <v>5G</v>
      </c>
      <c r="I1114" s="6" t="str">
        <f>IFERROR(VLOOKUP(LOG_RESEAU[[#This Row],[Cell_ID]],Registre_Maintenance!A:F,6,FALSE),"Non trouvé")</f>
        <v>ZTE</v>
      </c>
      <c r="J1114" s="6" t="str">
        <f t="shared" si="51"/>
        <v>OK</v>
      </c>
      <c r="K1114" s="6">
        <f t="shared" si="52"/>
        <v>1</v>
      </c>
      <c r="L1114" s="6">
        <f t="shared" si="53"/>
        <v>43</v>
      </c>
    </row>
    <row r="1115" spans="1:12" ht="15.75" x14ac:dyDescent="0.25">
      <c r="A1115" s="6" t="s">
        <v>1261</v>
      </c>
      <c r="B1115" s="7">
        <v>45230.863888888889</v>
      </c>
      <c r="C1115" s="6">
        <v>57</v>
      </c>
      <c r="D1115" s="6" t="s">
        <v>794</v>
      </c>
      <c r="E1115" s="8" t="str">
        <f>IFERROR(VLOOKUP(LOG_RESEAU[[#This Row],[Cell_ID]],Registre_Maintenance!A:B,2,FALSE),"Non trouvé")</f>
        <v>Sud-Kivu</v>
      </c>
      <c r="F1115" s="8">
        <f>IFERROR(VLOOKUP(LOG_RESEAU[[#This Row],[Cell_ID]],Registre_Maintenance!A:C,3,FALSE),"Non trouvé")</f>
        <v>-4.1694589999999998</v>
      </c>
      <c r="G1115" s="8">
        <f>IFERROR(VLOOKUP(LOG_RESEAU[[#This Row],[Cell_ID]],Registre_Maintenance!A:D,4,FALSE),"Non trouvé")</f>
        <v>23.376487000000001</v>
      </c>
      <c r="H1115" s="6" t="str">
        <f>IFERROR(VLOOKUP(LOG_RESEAU[[#This Row],[Cell_ID]],Registre_Maintenance!A:E,5,FALSE),"Non trouvé")</f>
        <v>3G</v>
      </c>
      <c r="I1115" s="6" t="str">
        <f>IFERROR(VLOOKUP(LOG_RESEAU[[#This Row],[Cell_ID]],Registre_Maintenance!A:F,6,FALSE),"Non trouvé")</f>
        <v>Nokia</v>
      </c>
      <c r="J1115" s="6" t="str">
        <f t="shared" si="51"/>
        <v>OK</v>
      </c>
      <c r="K1115" s="6">
        <f t="shared" si="52"/>
        <v>2</v>
      </c>
      <c r="L1115" s="6">
        <f t="shared" si="53"/>
        <v>177</v>
      </c>
    </row>
    <row r="1116" spans="1:12" ht="15.75" x14ac:dyDescent="0.25">
      <c r="A1116" s="6" t="s">
        <v>1261</v>
      </c>
      <c r="B1116" s="7">
        <v>45217.02847222222</v>
      </c>
      <c r="C1116" s="6">
        <v>120</v>
      </c>
      <c r="D1116" s="6" t="s">
        <v>792</v>
      </c>
      <c r="E1116" s="8" t="str">
        <f>IFERROR(VLOOKUP(LOG_RESEAU[[#This Row],[Cell_ID]],Registre_Maintenance!A:B,2,FALSE),"Non trouvé")</f>
        <v>Sud-Kivu</v>
      </c>
      <c r="F1116" s="8">
        <f>IFERROR(VLOOKUP(LOG_RESEAU[[#This Row],[Cell_ID]],Registre_Maintenance!A:C,3,FALSE),"Non trouvé")</f>
        <v>-4.1694589999999998</v>
      </c>
      <c r="G1116" s="8">
        <f>IFERROR(VLOOKUP(LOG_RESEAU[[#This Row],[Cell_ID]],Registre_Maintenance!A:D,4,FALSE),"Non trouvé")</f>
        <v>23.376487000000001</v>
      </c>
      <c r="H1116" s="6" t="str">
        <f>IFERROR(VLOOKUP(LOG_RESEAU[[#This Row],[Cell_ID]],Registre_Maintenance!A:E,5,FALSE),"Non trouvé")</f>
        <v>3G</v>
      </c>
      <c r="I1116" s="6" t="str">
        <f>IFERROR(VLOOKUP(LOG_RESEAU[[#This Row],[Cell_ID]],Registre_Maintenance!A:F,6,FALSE),"Non trouvé")</f>
        <v>Nokia</v>
      </c>
      <c r="J1116" s="6" t="str">
        <f t="shared" si="51"/>
        <v>OK</v>
      </c>
      <c r="K1116" s="6">
        <f t="shared" si="52"/>
        <v>2</v>
      </c>
      <c r="L1116" s="6">
        <f t="shared" si="53"/>
        <v>177</v>
      </c>
    </row>
    <row r="1117" spans="1:12" ht="15.75" x14ac:dyDescent="0.25">
      <c r="A1117" s="6" t="s">
        <v>1054</v>
      </c>
      <c r="B1117" s="7">
        <v>45214.960416666669</v>
      </c>
      <c r="C1117" s="6">
        <v>38</v>
      </c>
      <c r="D1117" s="6" t="s">
        <v>794</v>
      </c>
      <c r="E1117" s="8" t="str">
        <f>IFERROR(VLOOKUP(LOG_RESEAU[[#This Row],[Cell_ID]],Registre_Maintenance!A:B,2,FALSE),"Non trouvé")</f>
        <v>Lualaba</v>
      </c>
      <c r="F1117" s="8">
        <f>IFERROR(VLOOKUP(LOG_RESEAU[[#This Row],[Cell_ID]],Registre_Maintenance!A:C,3,FALSE),"Non trouvé")</f>
        <v>-11.710407999999999</v>
      </c>
      <c r="G1117" s="8">
        <f>IFERROR(VLOOKUP(LOG_RESEAU[[#This Row],[Cell_ID]],Registre_Maintenance!A:D,4,FALSE),"Non trouvé")</f>
        <v>23.741330999999999</v>
      </c>
      <c r="H1117" s="6" t="str">
        <f>IFERROR(VLOOKUP(LOG_RESEAU[[#This Row],[Cell_ID]],Registre_Maintenance!A:E,5,FALSE),"Non trouvé")</f>
        <v>3G</v>
      </c>
      <c r="I1117" s="6" t="str">
        <f>IFERROR(VLOOKUP(LOG_RESEAU[[#This Row],[Cell_ID]],Registre_Maintenance!A:F,6,FALSE),"Non trouvé")</f>
        <v>Huawei</v>
      </c>
      <c r="J1117" s="6" t="str">
        <f t="shared" si="51"/>
        <v>OK</v>
      </c>
      <c r="K1117" s="6">
        <f t="shared" si="52"/>
        <v>1</v>
      </c>
      <c r="L1117" s="6">
        <f t="shared" si="53"/>
        <v>38</v>
      </c>
    </row>
    <row r="1118" spans="1:12" ht="15.75" x14ac:dyDescent="0.25">
      <c r="A1118" s="6" t="s">
        <v>1152</v>
      </c>
      <c r="B1118" s="7">
        <v>45215.597916666673</v>
      </c>
      <c r="C1118" s="6">
        <v>7</v>
      </c>
      <c r="D1118" s="6" t="s">
        <v>792</v>
      </c>
      <c r="E1118" s="8" t="str">
        <f>IFERROR(VLOOKUP(LOG_RESEAU[[#This Row],[Cell_ID]],Registre_Maintenance!A:B,2,FALSE),"Non trouvé")</f>
        <v>Non trouvé</v>
      </c>
      <c r="F1118" s="8" t="str">
        <f>IFERROR(VLOOKUP(LOG_RESEAU[[#This Row],[Cell_ID]],Registre_Maintenance!A:C,3,FALSE),"Non trouvé")</f>
        <v>Non trouvé</v>
      </c>
      <c r="G1118" s="8" t="str">
        <f>IFERROR(VLOOKUP(LOG_RESEAU[[#This Row],[Cell_ID]],Registre_Maintenance!A:D,4,FALSE),"Non trouvé")</f>
        <v>Non trouvé</v>
      </c>
      <c r="H1118" s="6" t="str">
        <f>IFERROR(VLOOKUP(LOG_RESEAU[[#This Row],[Cell_ID]],Registre_Maintenance!A:E,5,FALSE),"Non trouvé")</f>
        <v>Non trouvé</v>
      </c>
      <c r="I1118" s="6" t="str">
        <f>IFERROR(VLOOKUP(LOG_RESEAU[[#This Row],[Cell_ID]],Registre_Maintenance!A:F,6,FALSE),"Non trouvé")</f>
        <v>Non trouvé</v>
      </c>
      <c r="J1118" s="6" t="str">
        <f t="shared" si="51"/>
        <v>Antenne inconnue</v>
      </c>
      <c r="K1118" s="6">
        <f t="shared" si="52"/>
        <v>4</v>
      </c>
      <c r="L1118" s="6">
        <f t="shared" si="53"/>
        <v>162</v>
      </c>
    </row>
    <row r="1119" spans="1:12" ht="15.75" x14ac:dyDescent="0.25">
      <c r="A1119" s="6" t="s">
        <v>1152</v>
      </c>
      <c r="B1119" s="7">
        <v>45212.315972222219</v>
      </c>
      <c r="C1119" s="6">
        <v>112</v>
      </c>
      <c r="D1119" s="6" t="s">
        <v>794</v>
      </c>
      <c r="E1119" s="8" t="str">
        <f>IFERROR(VLOOKUP(LOG_RESEAU[[#This Row],[Cell_ID]],Registre_Maintenance!A:B,2,FALSE),"Non trouvé")</f>
        <v>Non trouvé</v>
      </c>
      <c r="F1119" s="8" t="str">
        <f>IFERROR(VLOOKUP(LOG_RESEAU[[#This Row],[Cell_ID]],Registre_Maintenance!A:C,3,FALSE),"Non trouvé")</f>
        <v>Non trouvé</v>
      </c>
      <c r="G1119" s="8" t="str">
        <f>IFERROR(VLOOKUP(LOG_RESEAU[[#This Row],[Cell_ID]],Registre_Maintenance!A:D,4,FALSE),"Non trouvé")</f>
        <v>Non trouvé</v>
      </c>
      <c r="H1119" s="6" t="str">
        <f>IFERROR(VLOOKUP(LOG_RESEAU[[#This Row],[Cell_ID]],Registre_Maintenance!A:E,5,FALSE),"Non trouvé")</f>
        <v>Non trouvé</v>
      </c>
      <c r="I1119" s="6" t="str">
        <f>IFERROR(VLOOKUP(LOG_RESEAU[[#This Row],[Cell_ID]],Registre_Maintenance!A:F,6,FALSE),"Non trouvé")</f>
        <v>Non trouvé</v>
      </c>
      <c r="J1119" s="6" t="str">
        <f t="shared" si="51"/>
        <v>Antenne inconnue</v>
      </c>
      <c r="K1119" s="6">
        <f t="shared" si="52"/>
        <v>4</v>
      </c>
      <c r="L1119" s="6">
        <f t="shared" si="53"/>
        <v>162</v>
      </c>
    </row>
    <row r="1120" spans="1:12" ht="15.75" x14ac:dyDescent="0.25">
      <c r="A1120" s="6" t="s">
        <v>1152</v>
      </c>
      <c r="B1120" s="7">
        <v>45220.651388888888</v>
      </c>
      <c r="C1120" s="6">
        <v>36</v>
      </c>
      <c r="D1120" s="6" t="s">
        <v>794</v>
      </c>
      <c r="E1120" s="8" t="str">
        <f>IFERROR(VLOOKUP(LOG_RESEAU[[#This Row],[Cell_ID]],Registre_Maintenance!A:B,2,FALSE),"Non trouvé")</f>
        <v>Non trouvé</v>
      </c>
      <c r="F1120" s="8" t="str">
        <f>IFERROR(VLOOKUP(LOG_RESEAU[[#This Row],[Cell_ID]],Registre_Maintenance!A:C,3,FALSE),"Non trouvé")</f>
        <v>Non trouvé</v>
      </c>
      <c r="G1120" s="8" t="str">
        <f>IFERROR(VLOOKUP(LOG_RESEAU[[#This Row],[Cell_ID]],Registre_Maintenance!A:D,4,FALSE),"Non trouvé")</f>
        <v>Non trouvé</v>
      </c>
      <c r="H1120" s="6" t="str">
        <f>IFERROR(VLOOKUP(LOG_RESEAU[[#This Row],[Cell_ID]],Registre_Maintenance!A:E,5,FALSE),"Non trouvé")</f>
        <v>Non trouvé</v>
      </c>
      <c r="I1120" s="6" t="str">
        <f>IFERROR(VLOOKUP(LOG_RESEAU[[#This Row],[Cell_ID]],Registre_Maintenance!A:F,6,FALSE),"Non trouvé")</f>
        <v>Non trouvé</v>
      </c>
      <c r="J1120" s="6" t="str">
        <f t="shared" si="51"/>
        <v>Antenne inconnue</v>
      </c>
      <c r="K1120" s="6">
        <f t="shared" si="52"/>
        <v>4</v>
      </c>
      <c r="L1120" s="6">
        <f t="shared" si="53"/>
        <v>162</v>
      </c>
    </row>
    <row r="1121" spans="1:12" ht="15.75" x14ac:dyDescent="0.25">
      <c r="A1121" s="6" t="s">
        <v>1152</v>
      </c>
      <c r="B1121" s="7">
        <v>45203.89166666667</v>
      </c>
      <c r="C1121" s="6">
        <v>7</v>
      </c>
      <c r="D1121" s="6" t="s">
        <v>800</v>
      </c>
      <c r="E1121" s="8" t="str">
        <f>IFERROR(VLOOKUP(LOG_RESEAU[[#This Row],[Cell_ID]],Registre_Maintenance!A:B,2,FALSE),"Non trouvé")</f>
        <v>Non trouvé</v>
      </c>
      <c r="F1121" s="8" t="str">
        <f>IFERROR(VLOOKUP(LOG_RESEAU[[#This Row],[Cell_ID]],Registre_Maintenance!A:C,3,FALSE),"Non trouvé")</f>
        <v>Non trouvé</v>
      </c>
      <c r="G1121" s="8" t="str">
        <f>IFERROR(VLOOKUP(LOG_RESEAU[[#This Row],[Cell_ID]],Registre_Maintenance!A:D,4,FALSE),"Non trouvé")</f>
        <v>Non trouvé</v>
      </c>
      <c r="H1121" s="6" t="str">
        <f>IFERROR(VLOOKUP(LOG_RESEAU[[#This Row],[Cell_ID]],Registre_Maintenance!A:E,5,FALSE),"Non trouvé")</f>
        <v>Non trouvé</v>
      </c>
      <c r="I1121" s="6" t="str">
        <f>IFERROR(VLOOKUP(LOG_RESEAU[[#This Row],[Cell_ID]],Registre_Maintenance!A:F,6,FALSE),"Non trouvé")</f>
        <v>Non trouvé</v>
      </c>
      <c r="J1121" s="6" t="str">
        <f t="shared" si="51"/>
        <v>Antenne inconnue</v>
      </c>
      <c r="K1121" s="6">
        <f t="shared" si="52"/>
        <v>4</v>
      </c>
      <c r="L1121" s="6">
        <f t="shared" si="53"/>
        <v>162</v>
      </c>
    </row>
    <row r="1122" spans="1:12" ht="15.75" x14ac:dyDescent="0.25">
      <c r="A1122" s="6" t="s">
        <v>1528</v>
      </c>
      <c r="B1122" s="7">
        <v>45207.350694444453</v>
      </c>
      <c r="C1122" s="6">
        <v>75</v>
      </c>
      <c r="D1122" s="6" t="s">
        <v>792</v>
      </c>
      <c r="E1122" s="8" t="str">
        <f>IFERROR(VLOOKUP(LOG_RESEAU[[#This Row],[Cell_ID]],Registre_Maintenance!A:B,2,FALSE),"Non trouvé")</f>
        <v>Non trouvé</v>
      </c>
      <c r="F1122" s="8" t="str">
        <f>IFERROR(VLOOKUP(LOG_RESEAU[[#This Row],[Cell_ID]],Registre_Maintenance!A:C,3,FALSE),"Non trouvé")</f>
        <v>Non trouvé</v>
      </c>
      <c r="G1122" s="8" t="str">
        <f>IFERROR(VLOOKUP(LOG_RESEAU[[#This Row],[Cell_ID]],Registre_Maintenance!A:D,4,FALSE),"Non trouvé")</f>
        <v>Non trouvé</v>
      </c>
      <c r="H1122" s="6" t="str">
        <f>IFERROR(VLOOKUP(LOG_RESEAU[[#This Row],[Cell_ID]],Registre_Maintenance!A:E,5,FALSE),"Non trouvé")</f>
        <v>Non trouvé</v>
      </c>
      <c r="I1122" s="6" t="str">
        <f>IFERROR(VLOOKUP(LOG_RESEAU[[#This Row],[Cell_ID]],Registre_Maintenance!A:F,6,FALSE),"Non trouvé")</f>
        <v>Non trouvé</v>
      </c>
      <c r="J1122" s="6" t="str">
        <f t="shared" si="51"/>
        <v>Antenne inconnue</v>
      </c>
      <c r="K1122" s="6">
        <f t="shared" si="52"/>
        <v>1</v>
      </c>
      <c r="L1122" s="6">
        <f t="shared" si="53"/>
        <v>75</v>
      </c>
    </row>
    <row r="1123" spans="1:12" ht="15.75" x14ac:dyDescent="0.25">
      <c r="A1123" s="6" t="s">
        <v>1206</v>
      </c>
      <c r="B1123" s="7">
        <v>45221.039583333331</v>
      </c>
      <c r="C1123" s="6">
        <v>33</v>
      </c>
      <c r="D1123" s="6" t="s">
        <v>800</v>
      </c>
      <c r="E1123" s="8" t="str">
        <f>IFERROR(VLOOKUP(LOG_RESEAU[[#This Row],[Cell_ID]],Registre_Maintenance!A:B,2,FALSE),"Non trouvé")</f>
        <v>Kinshasa</v>
      </c>
      <c r="F1123" s="8">
        <f>IFERROR(VLOOKUP(LOG_RESEAU[[#This Row],[Cell_ID]],Registre_Maintenance!A:C,3,FALSE),"Non trouvé")</f>
        <v>0.48965500000000001</v>
      </c>
      <c r="G1123" s="8">
        <f>IFERROR(VLOOKUP(LOG_RESEAU[[#This Row],[Cell_ID]],Registre_Maintenance!A:D,4,FALSE),"Non trouvé")</f>
        <v>26.176860000000001</v>
      </c>
      <c r="H1123" s="6" t="str">
        <f>IFERROR(VLOOKUP(LOG_RESEAU[[#This Row],[Cell_ID]],Registre_Maintenance!A:E,5,FALSE),"Non trouvé")</f>
        <v>4G</v>
      </c>
      <c r="I1123" s="6" t="str">
        <f>IFERROR(VLOOKUP(LOG_RESEAU[[#This Row],[Cell_ID]],Registre_Maintenance!A:F,6,FALSE),"Non trouvé")</f>
        <v>Huawei</v>
      </c>
      <c r="J1123" s="6" t="str">
        <f t="shared" si="51"/>
        <v>OK</v>
      </c>
      <c r="K1123" s="6">
        <f t="shared" si="52"/>
        <v>1</v>
      </c>
      <c r="L1123" s="6">
        <f t="shared" si="53"/>
        <v>33</v>
      </c>
    </row>
    <row r="1124" spans="1:12" ht="15.75" x14ac:dyDescent="0.25">
      <c r="A1124" s="6" t="s">
        <v>1103</v>
      </c>
      <c r="B1124" s="7">
        <v>45205.816666666673</v>
      </c>
      <c r="C1124" s="6">
        <v>33</v>
      </c>
      <c r="D1124" s="6" t="s">
        <v>792</v>
      </c>
      <c r="E1124" s="8" t="str">
        <f>IFERROR(VLOOKUP(LOG_RESEAU[[#This Row],[Cell_ID]],Registre_Maintenance!A:B,2,FALSE),"Non trouvé")</f>
        <v>Non trouvé</v>
      </c>
      <c r="F1124" s="8" t="str">
        <f>IFERROR(VLOOKUP(LOG_RESEAU[[#This Row],[Cell_ID]],Registre_Maintenance!A:C,3,FALSE),"Non trouvé")</f>
        <v>Non trouvé</v>
      </c>
      <c r="G1124" s="8" t="str">
        <f>IFERROR(VLOOKUP(LOG_RESEAU[[#This Row],[Cell_ID]],Registre_Maintenance!A:D,4,FALSE),"Non trouvé")</f>
        <v>Non trouvé</v>
      </c>
      <c r="H1124" s="6" t="str">
        <f>IFERROR(VLOOKUP(LOG_RESEAU[[#This Row],[Cell_ID]],Registre_Maintenance!A:E,5,FALSE),"Non trouvé")</f>
        <v>Non trouvé</v>
      </c>
      <c r="I1124" s="6" t="str">
        <f>IFERROR(VLOOKUP(LOG_RESEAU[[#This Row],[Cell_ID]],Registre_Maintenance!A:F,6,FALSE),"Non trouvé")</f>
        <v>Non trouvé</v>
      </c>
      <c r="J1124" s="6" t="str">
        <f t="shared" si="51"/>
        <v>Antenne inconnue</v>
      </c>
      <c r="K1124" s="6">
        <f t="shared" si="52"/>
        <v>1</v>
      </c>
      <c r="L1124" s="6">
        <f t="shared" si="53"/>
        <v>33</v>
      </c>
    </row>
    <row r="1125" spans="1:12" ht="15.75" x14ac:dyDescent="0.25">
      <c r="A1125" s="6" t="s">
        <v>1448</v>
      </c>
      <c r="B1125" s="7">
        <v>45200.466666666667</v>
      </c>
      <c r="C1125" s="6">
        <v>31</v>
      </c>
      <c r="D1125" s="6" t="s">
        <v>800</v>
      </c>
      <c r="E1125" s="8" t="str">
        <f>IFERROR(VLOOKUP(LOG_RESEAU[[#This Row],[Cell_ID]],Registre_Maintenance!A:B,2,FALSE),"Non trouvé")</f>
        <v>Lomami</v>
      </c>
      <c r="F1125" s="8">
        <f>IFERROR(VLOOKUP(LOG_RESEAU[[#This Row],[Cell_ID]],Registre_Maintenance!A:C,3,FALSE),"Non trouvé")</f>
        <v>-9.5619429999999994</v>
      </c>
      <c r="G1125" s="8">
        <f>IFERROR(VLOOKUP(LOG_RESEAU[[#This Row],[Cell_ID]],Registre_Maintenance!A:D,4,FALSE),"Non trouvé")</f>
        <v>21.445726000000001</v>
      </c>
      <c r="H1125" s="6" t="str">
        <f>IFERROR(VLOOKUP(LOG_RESEAU[[#This Row],[Cell_ID]],Registre_Maintenance!A:E,5,FALSE),"Non trouvé")</f>
        <v>4G</v>
      </c>
      <c r="I1125" s="6" t="str">
        <f>IFERROR(VLOOKUP(LOG_RESEAU[[#This Row],[Cell_ID]],Registre_Maintenance!A:F,6,FALSE),"Non trouvé")</f>
        <v>Nokia</v>
      </c>
      <c r="J1125" s="6" t="str">
        <f t="shared" si="51"/>
        <v>OK</v>
      </c>
      <c r="K1125" s="6">
        <f t="shared" si="52"/>
        <v>2</v>
      </c>
      <c r="L1125" s="6">
        <f t="shared" si="53"/>
        <v>126</v>
      </c>
    </row>
    <row r="1126" spans="1:12" ht="15.75" x14ac:dyDescent="0.25">
      <c r="A1126" s="6" t="s">
        <v>1448</v>
      </c>
      <c r="B1126" s="7">
        <v>45201.293055555558</v>
      </c>
      <c r="C1126" s="6">
        <v>95</v>
      </c>
      <c r="D1126" s="6" t="s">
        <v>792</v>
      </c>
      <c r="E1126" s="8" t="str">
        <f>IFERROR(VLOOKUP(LOG_RESEAU[[#This Row],[Cell_ID]],Registre_Maintenance!A:B,2,FALSE),"Non trouvé")</f>
        <v>Lomami</v>
      </c>
      <c r="F1126" s="8">
        <f>IFERROR(VLOOKUP(LOG_RESEAU[[#This Row],[Cell_ID]],Registre_Maintenance!A:C,3,FALSE),"Non trouvé")</f>
        <v>-9.5619429999999994</v>
      </c>
      <c r="G1126" s="8">
        <f>IFERROR(VLOOKUP(LOG_RESEAU[[#This Row],[Cell_ID]],Registre_Maintenance!A:D,4,FALSE),"Non trouvé")</f>
        <v>21.445726000000001</v>
      </c>
      <c r="H1126" s="6" t="str">
        <f>IFERROR(VLOOKUP(LOG_RESEAU[[#This Row],[Cell_ID]],Registre_Maintenance!A:E,5,FALSE),"Non trouvé")</f>
        <v>4G</v>
      </c>
      <c r="I1126" s="6" t="str">
        <f>IFERROR(VLOOKUP(LOG_RESEAU[[#This Row],[Cell_ID]],Registre_Maintenance!A:F,6,FALSE),"Non trouvé")</f>
        <v>Nokia</v>
      </c>
      <c r="J1126" s="6" t="str">
        <f t="shared" si="51"/>
        <v>OK</v>
      </c>
      <c r="K1126" s="6">
        <f t="shared" si="52"/>
        <v>2</v>
      </c>
      <c r="L1126" s="6">
        <f t="shared" si="53"/>
        <v>126</v>
      </c>
    </row>
    <row r="1127" spans="1:12" ht="15.75" x14ac:dyDescent="0.25">
      <c r="A1127" s="6" t="s">
        <v>1064</v>
      </c>
      <c r="B1127" s="7">
        <v>45200.511111111111</v>
      </c>
      <c r="C1127" s="6">
        <v>108</v>
      </c>
      <c r="D1127" s="6" t="s">
        <v>792</v>
      </c>
      <c r="E1127" s="8" t="str">
        <f>IFERROR(VLOOKUP(LOG_RESEAU[[#This Row],[Cell_ID]],Registre_Maintenance!A:B,2,FALSE),"Non trouvé")</f>
        <v>Non trouvé</v>
      </c>
      <c r="F1127" s="8" t="str">
        <f>IFERROR(VLOOKUP(LOG_RESEAU[[#This Row],[Cell_ID]],Registre_Maintenance!A:C,3,FALSE),"Non trouvé")</f>
        <v>Non trouvé</v>
      </c>
      <c r="G1127" s="8" t="str">
        <f>IFERROR(VLOOKUP(LOG_RESEAU[[#This Row],[Cell_ID]],Registre_Maintenance!A:D,4,FALSE),"Non trouvé")</f>
        <v>Non trouvé</v>
      </c>
      <c r="H1127" s="6" t="str">
        <f>IFERROR(VLOOKUP(LOG_RESEAU[[#This Row],[Cell_ID]],Registre_Maintenance!A:E,5,FALSE),"Non trouvé")</f>
        <v>Non trouvé</v>
      </c>
      <c r="I1127" s="6" t="str">
        <f>IFERROR(VLOOKUP(LOG_RESEAU[[#This Row],[Cell_ID]],Registre_Maintenance!A:F,6,FALSE),"Non trouvé")</f>
        <v>Non trouvé</v>
      </c>
      <c r="J1127" s="6" t="str">
        <f t="shared" si="51"/>
        <v>Antenne inconnue</v>
      </c>
      <c r="K1127" s="6">
        <f t="shared" si="52"/>
        <v>1</v>
      </c>
      <c r="L1127" s="6">
        <f t="shared" si="53"/>
        <v>108</v>
      </c>
    </row>
    <row r="1128" spans="1:12" ht="15.75" x14ac:dyDescent="0.25">
      <c r="A1128" s="6" t="s">
        <v>1019</v>
      </c>
      <c r="B1128" s="7">
        <v>45202.259722222218</v>
      </c>
      <c r="C1128" s="6">
        <v>79</v>
      </c>
      <c r="D1128" s="6" t="s">
        <v>794</v>
      </c>
      <c r="E1128" s="8" t="str">
        <f>IFERROR(VLOOKUP(LOG_RESEAU[[#This Row],[Cell_ID]],Registre_Maintenance!A:B,2,FALSE),"Non trouvé")</f>
        <v>Kasai-Central</v>
      </c>
      <c r="F1128" s="8">
        <f>IFERROR(VLOOKUP(LOG_RESEAU[[#This Row],[Cell_ID]],Registre_Maintenance!A:C,3,FALSE),"Non trouvé")</f>
        <v>-1.648264</v>
      </c>
      <c r="G1128" s="8">
        <f>IFERROR(VLOOKUP(LOG_RESEAU[[#This Row],[Cell_ID]],Registre_Maintenance!A:D,4,FALSE),"Non trouvé")</f>
        <v>28.866143999999998</v>
      </c>
      <c r="H1128" s="6" t="str">
        <f>IFERROR(VLOOKUP(LOG_RESEAU[[#This Row],[Cell_ID]],Registre_Maintenance!A:E,5,FALSE),"Non trouvé")</f>
        <v>5G</v>
      </c>
      <c r="I1128" s="6" t="str">
        <f>IFERROR(VLOOKUP(LOG_RESEAU[[#This Row],[Cell_ID]],Registre_Maintenance!A:F,6,FALSE),"Non trouvé")</f>
        <v>Ericsson</v>
      </c>
      <c r="J1128" s="6" t="str">
        <f t="shared" si="51"/>
        <v>OK</v>
      </c>
      <c r="K1128" s="6">
        <f t="shared" si="52"/>
        <v>2</v>
      </c>
      <c r="L1128" s="6">
        <f t="shared" si="53"/>
        <v>87</v>
      </c>
    </row>
    <row r="1129" spans="1:12" ht="15.75" x14ac:dyDescent="0.25">
      <c r="A1129" s="6" t="s">
        <v>1019</v>
      </c>
      <c r="B1129" s="7">
        <v>45221.180555555547</v>
      </c>
      <c r="C1129" s="6">
        <v>8</v>
      </c>
      <c r="D1129" s="6" t="s">
        <v>794</v>
      </c>
      <c r="E1129" s="8" t="str">
        <f>IFERROR(VLOOKUP(LOG_RESEAU[[#This Row],[Cell_ID]],Registre_Maintenance!A:B,2,FALSE),"Non trouvé")</f>
        <v>Kasai-Central</v>
      </c>
      <c r="F1129" s="8">
        <f>IFERROR(VLOOKUP(LOG_RESEAU[[#This Row],[Cell_ID]],Registre_Maintenance!A:C,3,FALSE),"Non trouvé")</f>
        <v>-1.648264</v>
      </c>
      <c r="G1129" s="8">
        <f>IFERROR(VLOOKUP(LOG_RESEAU[[#This Row],[Cell_ID]],Registre_Maintenance!A:D,4,FALSE),"Non trouvé")</f>
        <v>28.866143999999998</v>
      </c>
      <c r="H1129" s="6" t="str">
        <f>IFERROR(VLOOKUP(LOG_RESEAU[[#This Row],[Cell_ID]],Registre_Maintenance!A:E,5,FALSE),"Non trouvé")</f>
        <v>5G</v>
      </c>
      <c r="I1129" s="6" t="str">
        <f>IFERROR(VLOOKUP(LOG_RESEAU[[#This Row],[Cell_ID]],Registre_Maintenance!A:F,6,FALSE),"Non trouvé")</f>
        <v>Ericsson</v>
      </c>
      <c r="J1129" s="6" t="str">
        <f t="shared" si="51"/>
        <v>OK</v>
      </c>
      <c r="K1129" s="6">
        <f t="shared" si="52"/>
        <v>2</v>
      </c>
      <c r="L1129" s="6">
        <f t="shared" si="53"/>
        <v>87</v>
      </c>
    </row>
    <row r="1130" spans="1:12" ht="15.75" x14ac:dyDescent="0.25">
      <c r="A1130" s="6" t="s">
        <v>1052</v>
      </c>
      <c r="B1130" s="7">
        <v>45213.254166666673</v>
      </c>
      <c r="C1130" s="6">
        <v>73</v>
      </c>
      <c r="D1130" s="6" t="s">
        <v>792</v>
      </c>
      <c r="E1130" s="8" t="str">
        <f>IFERROR(VLOOKUP(LOG_RESEAU[[#This Row],[Cell_ID]],Registre_Maintenance!A:B,2,FALSE),"Non trouvé")</f>
        <v>Tshuapa</v>
      </c>
      <c r="F1130" s="8">
        <f>IFERROR(VLOOKUP(LOG_RESEAU[[#This Row],[Cell_ID]],Registre_Maintenance!A:C,3,FALSE),"Non trouvé")</f>
        <v>-5.1030600000000002</v>
      </c>
      <c r="G1130" s="8">
        <f>IFERROR(VLOOKUP(LOG_RESEAU[[#This Row],[Cell_ID]],Registre_Maintenance!A:D,4,FALSE),"Non trouvé")</f>
        <v>22.849231</v>
      </c>
      <c r="H1130" s="6" t="str">
        <f>IFERROR(VLOOKUP(LOG_RESEAU[[#This Row],[Cell_ID]],Registre_Maintenance!A:E,5,FALSE),"Non trouvé")</f>
        <v>5G</v>
      </c>
      <c r="I1130" s="6" t="str">
        <f>IFERROR(VLOOKUP(LOG_RESEAU[[#This Row],[Cell_ID]],Registre_Maintenance!A:F,6,FALSE),"Non trouvé")</f>
        <v>ZTE</v>
      </c>
      <c r="J1130" s="6" t="str">
        <f t="shared" si="51"/>
        <v>OK</v>
      </c>
      <c r="K1130" s="6">
        <f t="shared" si="52"/>
        <v>2</v>
      </c>
      <c r="L1130" s="6">
        <f t="shared" si="53"/>
        <v>127</v>
      </c>
    </row>
    <row r="1131" spans="1:12" ht="15.75" x14ac:dyDescent="0.25">
      <c r="A1131" s="6" t="s">
        <v>1052</v>
      </c>
      <c r="B1131" s="7">
        <v>45226.17083333333</v>
      </c>
      <c r="C1131" s="6">
        <v>54</v>
      </c>
      <c r="D1131" s="6" t="s">
        <v>794</v>
      </c>
      <c r="E1131" s="8" t="str">
        <f>IFERROR(VLOOKUP(LOG_RESEAU[[#This Row],[Cell_ID]],Registre_Maintenance!A:B,2,FALSE),"Non trouvé")</f>
        <v>Tshuapa</v>
      </c>
      <c r="F1131" s="8">
        <f>IFERROR(VLOOKUP(LOG_RESEAU[[#This Row],[Cell_ID]],Registre_Maintenance!A:C,3,FALSE),"Non trouvé")</f>
        <v>-5.1030600000000002</v>
      </c>
      <c r="G1131" s="8">
        <f>IFERROR(VLOOKUP(LOG_RESEAU[[#This Row],[Cell_ID]],Registre_Maintenance!A:D,4,FALSE),"Non trouvé")</f>
        <v>22.849231</v>
      </c>
      <c r="H1131" s="6" t="str">
        <f>IFERROR(VLOOKUP(LOG_RESEAU[[#This Row],[Cell_ID]],Registre_Maintenance!A:E,5,FALSE),"Non trouvé")</f>
        <v>5G</v>
      </c>
      <c r="I1131" s="6" t="str">
        <f>IFERROR(VLOOKUP(LOG_RESEAU[[#This Row],[Cell_ID]],Registre_Maintenance!A:F,6,FALSE),"Non trouvé")</f>
        <v>ZTE</v>
      </c>
      <c r="J1131" s="6" t="str">
        <f t="shared" si="51"/>
        <v>OK</v>
      </c>
      <c r="K1131" s="6">
        <f t="shared" si="52"/>
        <v>2</v>
      </c>
      <c r="L1131" s="6">
        <f t="shared" si="53"/>
        <v>127</v>
      </c>
    </row>
    <row r="1132" spans="1:12" ht="15.75" x14ac:dyDescent="0.25">
      <c r="A1132" s="6" t="s">
        <v>1171</v>
      </c>
      <c r="B1132" s="7">
        <v>45225.859027777777</v>
      </c>
      <c r="C1132" s="6">
        <v>90</v>
      </c>
      <c r="D1132" s="6" t="s">
        <v>800</v>
      </c>
      <c r="E1132" s="8" t="str">
        <f>IFERROR(VLOOKUP(LOG_RESEAU[[#This Row],[Cell_ID]],Registre_Maintenance!A:B,2,FALSE),"Non trouvé")</f>
        <v>Non trouvé</v>
      </c>
      <c r="F1132" s="8" t="str">
        <f>IFERROR(VLOOKUP(LOG_RESEAU[[#This Row],[Cell_ID]],Registre_Maintenance!A:C,3,FALSE),"Non trouvé")</f>
        <v>Non trouvé</v>
      </c>
      <c r="G1132" s="8" t="str">
        <f>IFERROR(VLOOKUP(LOG_RESEAU[[#This Row],[Cell_ID]],Registre_Maintenance!A:D,4,FALSE),"Non trouvé")</f>
        <v>Non trouvé</v>
      </c>
      <c r="H1132" s="6" t="str">
        <f>IFERROR(VLOOKUP(LOG_RESEAU[[#This Row],[Cell_ID]],Registre_Maintenance!A:E,5,FALSE),"Non trouvé")</f>
        <v>Non trouvé</v>
      </c>
      <c r="I1132" s="6" t="str">
        <f>IFERROR(VLOOKUP(LOG_RESEAU[[#This Row],[Cell_ID]],Registre_Maintenance!A:F,6,FALSE),"Non trouvé")</f>
        <v>Non trouvé</v>
      </c>
      <c r="J1132" s="6" t="str">
        <f t="shared" si="51"/>
        <v>Antenne inconnue</v>
      </c>
      <c r="K1132" s="6">
        <f t="shared" si="52"/>
        <v>3</v>
      </c>
      <c r="L1132" s="6">
        <f t="shared" si="53"/>
        <v>221</v>
      </c>
    </row>
    <row r="1133" spans="1:12" ht="15.75" x14ac:dyDescent="0.25">
      <c r="A1133" s="6" t="s">
        <v>1171</v>
      </c>
      <c r="B1133" s="7">
        <v>45210.890277777777</v>
      </c>
      <c r="C1133" s="6">
        <v>118</v>
      </c>
      <c r="D1133" s="6" t="s">
        <v>794</v>
      </c>
      <c r="E1133" s="8" t="str">
        <f>IFERROR(VLOOKUP(LOG_RESEAU[[#This Row],[Cell_ID]],Registre_Maintenance!A:B,2,FALSE),"Non trouvé")</f>
        <v>Non trouvé</v>
      </c>
      <c r="F1133" s="8" t="str">
        <f>IFERROR(VLOOKUP(LOG_RESEAU[[#This Row],[Cell_ID]],Registre_Maintenance!A:C,3,FALSE),"Non trouvé")</f>
        <v>Non trouvé</v>
      </c>
      <c r="G1133" s="8" t="str">
        <f>IFERROR(VLOOKUP(LOG_RESEAU[[#This Row],[Cell_ID]],Registre_Maintenance!A:D,4,FALSE),"Non trouvé")</f>
        <v>Non trouvé</v>
      </c>
      <c r="H1133" s="6" t="str">
        <f>IFERROR(VLOOKUP(LOG_RESEAU[[#This Row],[Cell_ID]],Registre_Maintenance!A:E,5,FALSE),"Non trouvé")</f>
        <v>Non trouvé</v>
      </c>
      <c r="I1133" s="6" t="str">
        <f>IFERROR(VLOOKUP(LOG_RESEAU[[#This Row],[Cell_ID]],Registre_Maintenance!A:F,6,FALSE),"Non trouvé")</f>
        <v>Non trouvé</v>
      </c>
      <c r="J1133" s="6" t="str">
        <f t="shared" si="51"/>
        <v>Antenne inconnue</v>
      </c>
      <c r="K1133" s="6">
        <f t="shared" si="52"/>
        <v>3</v>
      </c>
      <c r="L1133" s="6">
        <f t="shared" si="53"/>
        <v>221</v>
      </c>
    </row>
    <row r="1134" spans="1:12" ht="15.75" x14ac:dyDescent="0.25">
      <c r="A1134" s="6" t="s">
        <v>1171</v>
      </c>
      <c r="B1134" s="7">
        <v>45211.386111111111</v>
      </c>
      <c r="C1134" s="6">
        <v>13</v>
      </c>
      <c r="D1134" s="6" t="s">
        <v>800</v>
      </c>
      <c r="E1134" s="8" t="str">
        <f>IFERROR(VLOOKUP(LOG_RESEAU[[#This Row],[Cell_ID]],Registre_Maintenance!A:B,2,FALSE),"Non trouvé")</f>
        <v>Non trouvé</v>
      </c>
      <c r="F1134" s="8" t="str">
        <f>IFERROR(VLOOKUP(LOG_RESEAU[[#This Row],[Cell_ID]],Registre_Maintenance!A:C,3,FALSE),"Non trouvé")</f>
        <v>Non trouvé</v>
      </c>
      <c r="G1134" s="8" t="str">
        <f>IFERROR(VLOOKUP(LOG_RESEAU[[#This Row],[Cell_ID]],Registre_Maintenance!A:D,4,FALSE),"Non trouvé")</f>
        <v>Non trouvé</v>
      </c>
      <c r="H1134" s="6" t="str">
        <f>IFERROR(VLOOKUP(LOG_RESEAU[[#This Row],[Cell_ID]],Registre_Maintenance!A:E,5,FALSE),"Non trouvé")</f>
        <v>Non trouvé</v>
      </c>
      <c r="I1134" s="6" t="str">
        <f>IFERROR(VLOOKUP(LOG_RESEAU[[#This Row],[Cell_ID]],Registre_Maintenance!A:F,6,FALSE),"Non trouvé")</f>
        <v>Non trouvé</v>
      </c>
      <c r="J1134" s="6" t="str">
        <f t="shared" si="51"/>
        <v>Antenne inconnue</v>
      </c>
      <c r="K1134" s="6">
        <f t="shared" si="52"/>
        <v>3</v>
      </c>
      <c r="L1134" s="6">
        <f t="shared" si="53"/>
        <v>221</v>
      </c>
    </row>
    <row r="1135" spans="1:12" ht="15.75" x14ac:dyDescent="0.25">
      <c r="A1135" s="6" t="s">
        <v>1402</v>
      </c>
      <c r="B1135" s="7">
        <v>45205.96875</v>
      </c>
      <c r="C1135" s="6">
        <v>84</v>
      </c>
      <c r="D1135" s="6" t="s">
        <v>800</v>
      </c>
      <c r="E1135" s="8" t="str">
        <f>IFERROR(VLOOKUP(LOG_RESEAU[[#This Row],[Cell_ID]],Registre_Maintenance!A:B,2,FALSE),"Non trouvé")</f>
        <v>Non trouvé</v>
      </c>
      <c r="F1135" s="8" t="str">
        <f>IFERROR(VLOOKUP(LOG_RESEAU[[#This Row],[Cell_ID]],Registre_Maintenance!A:C,3,FALSE),"Non trouvé")</f>
        <v>Non trouvé</v>
      </c>
      <c r="G1135" s="8" t="str">
        <f>IFERROR(VLOOKUP(LOG_RESEAU[[#This Row],[Cell_ID]],Registre_Maintenance!A:D,4,FALSE),"Non trouvé")</f>
        <v>Non trouvé</v>
      </c>
      <c r="H1135" s="6" t="str">
        <f>IFERROR(VLOOKUP(LOG_RESEAU[[#This Row],[Cell_ID]],Registre_Maintenance!A:E,5,FALSE),"Non trouvé")</f>
        <v>Non trouvé</v>
      </c>
      <c r="I1135" s="6" t="str">
        <f>IFERROR(VLOOKUP(LOG_RESEAU[[#This Row],[Cell_ID]],Registre_Maintenance!A:F,6,FALSE),"Non trouvé")</f>
        <v>Non trouvé</v>
      </c>
      <c r="J1135" s="6" t="str">
        <f t="shared" si="51"/>
        <v>Antenne inconnue</v>
      </c>
      <c r="K1135" s="6">
        <f t="shared" si="52"/>
        <v>1</v>
      </c>
      <c r="L1135" s="6">
        <f t="shared" si="53"/>
        <v>84</v>
      </c>
    </row>
    <row r="1136" spans="1:12" ht="15.75" x14ac:dyDescent="0.25">
      <c r="A1136" s="6" t="s">
        <v>1464</v>
      </c>
      <c r="B1136" s="7">
        <v>45226.224999999999</v>
      </c>
      <c r="C1136" s="6">
        <v>11</v>
      </c>
      <c r="D1136" s="6" t="s">
        <v>800</v>
      </c>
      <c r="E1136" s="8" t="str">
        <f>IFERROR(VLOOKUP(LOG_RESEAU[[#This Row],[Cell_ID]],Registre_Maintenance!A:B,2,FALSE),"Non trouvé")</f>
        <v>Sankuru</v>
      </c>
      <c r="F1136" s="8">
        <f>IFERROR(VLOOKUP(LOG_RESEAU[[#This Row],[Cell_ID]],Registre_Maintenance!A:C,3,FALSE),"Non trouvé")</f>
        <v>-0.157111</v>
      </c>
      <c r="G1136" s="8">
        <f>IFERROR(VLOOKUP(LOG_RESEAU[[#This Row],[Cell_ID]],Registre_Maintenance!A:D,4,FALSE),"Non trouvé")</f>
        <v>25.415125</v>
      </c>
      <c r="H1136" s="6" t="str">
        <f>IFERROR(VLOOKUP(LOG_RESEAU[[#This Row],[Cell_ID]],Registre_Maintenance!A:E,5,FALSE),"Non trouvé")</f>
        <v>4G</v>
      </c>
      <c r="I1136" s="6" t="str">
        <f>IFERROR(VLOOKUP(LOG_RESEAU[[#This Row],[Cell_ID]],Registre_Maintenance!A:F,6,FALSE),"Non trouvé")</f>
        <v>Ericsson</v>
      </c>
      <c r="J1136" s="6" t="str">
        <f t="shared" si="51"/>
        <v>OK</v>
      </c>
      <c r="K1136" s="6">
        <f t="shared" si="52"/>
        <v>1</v>
      </c>
      <c r="L1136" s="6">
        <f t="shared" si="53"/>
        <v>11</v>
      </c>
    </row>
    <row r="1137" spans="1:12" ht="15.75" x14ac:dyDescent="0.25">
      <c r="A1137" s="6" t="s">
        <v>1503</v>
      </c>
      <c r="B1137" s="7">
        <v>45230.64166666667</v>
      </c>
      <c r="C1137" s="6">
        <v>106</v>
      </c>
      <c r="D1137" s="6" t="s">
        <v>794</v>
      </c>
      <c r="E1137" s="8" t="str">
        <f>IFERROR(VLOOKUP(LOG_RESEAU[[#This Row],[Cell_ID]],Registre_Maintenance!A:B,2,FALSE),"Non trouvé")</f>
        <v>Nord-Ubangi</v>
      </c>
      <c r="F1137" s="8">
        <f>IFERROR(VLOOKUP(LOG_RESEAU[[#This Row],[Cell_ID]],Registre_Maintenance!A:C,3,FALSE),"Non trouvé")</f>
        <v>-6.8149179999999996</v>
      </c>
      <c r="G1137" s="8">
        <f>IFERROR(VLOOKUP(LOG_RESEAU[[#This Row],[Cell_ID]],Registre_Maintenance!A:D,4,FALSE),"Non trouvé")</f>
        <v>23.258102000000001</v>
      </c>
      <c r="H1137" s="6" t="str">
        <f>IFERROR(VLOOKUP(LOG_RESEAU[[#This Row],[Cell_ID]],Registre_Maintenance!A:E,5,FALSE),"Non trouvé")</f>
        <v>5G</v>
      </c>
      <c r="I1137" s="6" t="str">
        <f>IFERROR(VLOOKUP(LOG_RESEAU[[#This Row],[Cell_ID]],Registre_Maintenance!A:F,6,FALSE),"Non trouvé")</f>
        <v>Huawei</v>
      </c>
      <c r="J1137" s="6" t="str">
        <f t="shared" si="51"/>
        <v>OK</v>
      </c>
      <c r="K1137" s="6">
        <f t="shared" si="52"/>
        <v>1</v>
      </c>
      <c r="L1137" s="6">
        <f t="shared" si="53"/>
        <v>106</v>
      </c>
    </row>
    <row r="1138" spans="1:12" ht="15.75" x14ac:dyDescent="0.25">
      <c r="A1138" s="6" t="s">
        <v>1205</v>
      </c>
      <c r="B1138" s="7">
        <v>45229.756249999999</v>
      </c>
      <c r="C1138" s="6">
        <v>82</v>
      </c>
      <c r="D1138" s="6" t="s">
        <v>792</v>
      </c>
      <c r="E1138" s="8" t="str">
        <f>IFERROR(VLOOKUP(LOG_RESEAU[[#This Row],[Cell_ID]],Registre_Maintenance!A:B,2,FALSE),"Non trouvé")</f>
        <v>Non trouvé</v>
      </c>
      <c r="F1138" s="8" t="str">
        <f>IFERROR(VLOOKUP(LOG_RESEAU[[#This Row],[Cell_ID]],Registre_Maintenance!A:C,3,FALSE),"Non trouvé")</f>
        <v>Non trouvé</v>
      </c>
      <c r="G1138" s="8" t="str">
        <f>IFERROR(VLOOKUP(LOG_RESEAU[[#This Row],[Cell_ID]],Registre_Maintenance!A:D,4,FALSE),"Non trouvé")</f>
        <v>Non trouvé</v>
      </c>
      <c r="H1138" s="6" t="str">
        <f>IFERROR(VLOOKUP(LOG_RESEAU[[#This Row],[Cell_ID]],Registre_Maintenance!A:E,5,FALSE),"Non trouvé")</f>
        <v>Non trouvé</v>
      </c>
      <c r="I1138" s="6" t="str">
        <f>IFERROR(VLOOKUP(LOG_RESEAU[[#This Row],[Cell_ID]],Registre_Maintenance!A:F,6,FALSE),"Non trouvé")</f>
        <v>Non trouvé</v>
      </c>
      <c r="J1138" s="6" t="str">
        <f t="shared" si="51"/>
        <v>Antenne inconnue</v>
      </c>
      <c r="K1138" s="6">
        <f t="shared" si="52"/>
        <v>1</v>
      </c>
      <c r="L1138" s="6">
        <f t="shared" si="53"/>
        <v>82</v>
      </c>
    </row>
    <row r="1139" spans="1:12" ht="15.75" x14ac:dyDescent="0.25">
      <c r="A1139" s="6" t="s">
        <v>1113</v>
      </c>
      <c r="B1139" s="7">
        <v>45226.321527777778</v>
      </c>
      <c r="C1139" s="6">
        <v>22</v>
      </c>
      <c r="D1139" s="6" t="s">
        <v>792</v>
      </c>
      <c r="E1139" s="8" t="str">
        <f>IFERROR(VLOOKUP(LOG_RESEAU[[#This Row],[Cell_ID]],Registre_Maintenance!A:B,2,FALSE),"Non trouvé")</f>
        <v>Nord-Kivu</v>
      </c>
      <c r="F1139" s="8">
        <f>IFERROR(VLOOKUP(LOG_RESEAU[[#This Row],[Cell_ID]],Registre_Maintenance!A:C,3,FALSE),"Non trouvé")</f>
        <v>-10.25074</v>
      </c>
      <c r="G1139" s="8">
        <f>IFERROR(VLOOKUP(LOG_RESEAU[[#This Row],[Cell_ID]],Registre_Maintenance!A:D,4,FALSE),"Non trouvé")</f>
        <v>26.099086</v>
      </c>
      <c r="H1139" s="6" t="str">
        <f>IFERROR(VLOOKUP(LOG_RESEAU[[#This Row],[Cell_ID]],Registre_Maintenance!A:E,5,FALSE),"Non trouvé")</f>
        <v>4G</v>
      </c>
      <c r="I1139" s="6" t="str">
        <f>IFERROR(VLOOKUP(LOG_RESEAU[[#This Row],[Cell_ID]],Registre_Maintenance!A:F,6,FALSE),"Non trouvé")</f>
        <v>Huawei</v>
      </c>
      <c r="J1139" s="6" t="str">
        <f t="shared" si="51"/>
        <v>OK</v>
      </c>
      <c r="K1139" s="6">
        <f t="shared" si="52"/>
        <v>5</v>
      </c>
      <c r="L1139" s="6">
        <f t="shared" si="53"/>
        <v>237</v>
      </c>
    </row>
    <row r="1140" spans="1:12" ht="15.75" x14ac:dyDescent="0.25">
      <c r="A1140" s="6" t="s">
        <v>1113</v>
      </c>
      <c r="B1140" s="7">
        <v>45201.511805555558</v>
      </c>
      <c r="C1140" s="6">
        <v>62</v>
      </c>
      <c r="D1140" s="6" t="s">
        <v>800</v>
      </c>
      <c r="E1140" s="8" t="str">
        <f>IFERROR(VLOOKUP(LOG_RESEAU[[#This Row],[Cell_ID]],Registre_Maintenance!A:B,2,FALSE),"Non trouvé")</f>
        <v>Nord-Kivu</v>
      </c>
      <c r="F1140" s="8">
        <f>IFERROR(VLOOKUP(LOG_RESEAU[[#This Row],[Cell_ID]],Registre_Maintenance!A:C,3,FALSE),"Non trouvé")</f>
        <v>-10.25074</v>
      </c>
      <c r="G1140" s="8">
        <f>IFERROR(VLOOKUP(LOG_RESEAU[[#This Row],[Cell_ID]],Registre_Maintenance!A:D,4,FALSE),"Non trouvé")</f>
        <v>26.099086</v>
      </c>
      <c r="H1140" s="6" t="str">
        <f>IFERROR(VLOOKUP(LOG_RESEAU[[#This Row],[Cell_ID]],Registre_Maintenance!A:E,5,FALSE),"Non trouvé")</f>
        <v>4G</v>
      </c>
      <c r="I1140" s="6" t="str">
        <f>IFERROR(VLOOKUP(LOG_RESEAU[[#This Row],[Cell_ID]],Registre_Maintenance!A:F,6,FALSE),"Non trouvé")</f>
        <v>Huawei</v>
      </c>
      <c r="J1140" s="6" t="str">
        <f t="shared" si="51"/>
        <v>OK</v>
      </c>
      <c r="K1140" s="6">
        <f t="shared" si="52"/>
        <v>5</v>
      </c>
      <c r="L1140" s="6">
        <f t="shared" si="53"/>
        <v>237</v>
      </c>
    </row>
    <row r="1141" spans="1:12" ht="15.75" x14ac:dyDescent="0.25">
      <c r="A1141" s="6" t="s">
        <v>1113</v>
      </c>
      <c r="B1141" s="7">
        <v>45213.237500000003</v>
      </c>
      <c r="C1141" s="6">
        <v>68</v>
      </c>
      <c r="D1141" s="6" t="s">
        <v>792</v>
      </c>
      <c r="E1141" s="8" t="str">
        <f>IFERROR(VLOOKUP(LOG_RESEAU[[#This Row],[Cell_ID]],Registre_Maintenance!A:B,2,FALSE),"Non trouvé")</f>
        <v>Nord-Kivu</v>
      </c>
      <c r="F1141" s="8">
        <f>IFERROR(VLOOKUP(LOG_RESEAU[[#This Row],[Cell_ID]],Registre_Maintenance!A:C,3,FALSE),"Non trouvé")</f>
        <v>-10.25074</v>
      </c>
      <c r="G1141" s="8">
        <f>IFERROR(VLOOKUP(LOG_RESEAU[[#This Row],[Cell_ID]],Registre_Maintenance!A:D,4,FALSE),"Non trouvé")</f>
        <v>26.099086</v>
      </c>
      <c r="H1141" s="6" t="str">
        <f>IFERROR(VLOOKUP(LOG_RESEAU[[#This Row],[Cell_ID]],Registre_Maintenance!A:E,5,FALSE),"Non trouvé")</f>
        <v>4G</v>
      </c>
      <c r="I1141" s="6" t="str">
        <f>IFERROR(VLOOKUP(LOG_RESEAU[[#This Row],[Cell_ID]],Registre_Maintenance!A:F,6,FALSE),"Non trouvé")</f>
        <v>Huawei</v>
      </c>
      <c r="J1141" s="6" t="str">
        <f t="shared" si="51"/>
        <v>OK</v>
      </c>
      <c r="K1141" s="6">
        <f t="shared" si="52"/>
        <v>5</v>
      </c>
      <c r="L1141" s="6">
        <f t="shared" si="53"/>
        <v>237</v>
      </c>
    </row>
    <row r="1142" spans="1:12" ht="15.75" x14ac:dyDescent="0.25">
      <c r="A1142" s="6" t="s">
        <v>1113</v>
      </c>
      <c r="B1142" s="7">
        <v>45227.92291666667</v>
      </c>
      <c r="C1142" s="6">
        <v>26</v>
      </c>
      <c r="D1142" s="6" t="s">
        <v>792</v>
      </c>
      <c r="E1142" s="8" t="str">
        <f>IFERROR(VLOOKUP(LOG_RESEAU[[#This Row],[Cell_ID]],Registre_Maintenance!A:B,2,FALSE),"Non trouvé")</f>
        <v>Nord-Kivu</v>
      </c>
      <c r="F1142" s="8">
        <f>IFERROR(VLOOKUP(LOG_RESEAU[[#This Row],[Cell_ID]],Registre_Maintenance!A:C,3,FALSE),"Non trouvé")</f>
        <v>-10.25074</v>
      </c>
      <c r="G1142" s="8">
        <f>IFERROR(VLOOKUP(LOG_RESEAU[[#This Row],[Cell_ID]],Registre_Maintenance!A:D,4,FALSE),"Non trouvé")</f>
        <v>26.099086</v>
      </c>
      <c r="H1142" s="6" t="str">
        <f>IFERROR(VLOOKUP(LOG_RESEAU[[#This Row],[Cell_ID]],Registre_Maintenance!A:E,5,FALSE),"Non trouvé")</f>
        <v>4G</v>
      </c>
      <c r="I1142" s="6" t="str">
        <f>IFERROR(VLOOKUP(LOG_RESEAU[[#This Row],[Cell_ID]],Registre_Maintenance!A:F,6,FALSE),"Non trouvé")</f>
        <v>Huawei</v>
      </c>
      <c r="J1142" s="6" t="str">
        <f t="shared" si="51"/>
        <v>OK</v>
      </c>
      <c r="K1142" s="6">
        <f t="shared" si="52"/>
        <v>5</v>
      </c>
      <c r="L1142" s="6">
        <f t="shared" si="53"/>
        <v>237</v>
      </c>
    </row>
    <row r="1143" spans="1:12" ht="15.75" x14ac:dyDescent="0.25">
      <c r="A1143" s="6" t="s">
        <v>1113</v>
      </c>
      <c r="B1143" s="7">
        <v>45207.599305555559</v>
      </c>
      <c r="C1143" s="6">
        <v>59</v>
      </c>
      <c r="D1143" s="6" t="s">
        <v>794</v>
      </c>
      <c r="E1143" s="8" t="str">
        <f>IFERROR(VLOOKUP(LOG_RESEAU[[#This Row],[Cell_ID]],Registre_Maintenance!A:B,2,FALSE),"Non trouvé")</f>
        <v>Nord-Kivu</v>
      </c>
      <c r="F1143" s="8">
        <f>IFERROR(VLOOKUP(LOG_RESEAU[[#This Row],[Cell_ID]],Registre_Maintenance!A:C,3,FALSE),"Non trouvé")</f>
        <v>-10.25074</v>
      </c>
      <c r="G1143" s="8">
        <f>IFERROR(VLOOKUP(LOG_RESEAU[[#This Row],[Cell_ID]],Registre_Maintenance!A:D,4,FALSE),"Non trouvé")</f>
        <v>26.099086</v>
      </c>
      <c r="H1143" s="6" t="str">
        <f>IFERROR(VLOOKUP(LOG_RESEAU[[#This Row],[Cell_ID]],Registre_Maintenance!A:E,5,FALSE),"Non trouvé")</f>
        <v>4G</v>
      </c>
      <c r="I1143" s="6" t="str">
        <f>IFERROR(VLOOKUP(LOG_RESEAU[[#This Row],[Cell_ID]],Registre_Maintenance!A:F,6,FALSE),"Non trouvé")</f>
        <v>Huawei</v>
      </c>
      <c r="J1143" s="6" t="str">
        <f t="shared" si="51"/>
        <v>OK</v>
      </c>
      <c r="K1143" s="6">
        <f t="shared" si="52"/>
        <v>5</v>
      </c>
      <c r="L1143" s="6">
        <f t="shared" si="53"/>
        <v>237</v>
      </c>
    </row>
    <row r="1144" spans="1:12" ht="15.75" x14ac:dyDescent="0.25">
      <c r="A1144" s="6" t="s">
        <v>1121</v>
      </c>
      <c r="B1144" s="7">
        <v>45200.525694444441</v>
      </c>
      <c r="C1144" s="6">
        <v>88</v>
      </c>
      <c r="D1144" s="6" t="s">
        <v>792</v>
      </c>
      <c r="E1144" s="8" t="str">
        <f>IFERROR(VLOOKUP(LOG_RESEAU[[#This Row],[Cell_ID]],Registre_Maintenance!A:B,2,FALSE),"Non trouvé")</f>
        <v>Kinshasa</v>
      </c>
      <c r="F1144" s="8">
        <f>IFERROR(VLOOKUP(LOG_RESEAU[[#This Row],[Cell_ID]],Registre_Maintenance!A:C,3,FALSE),"Non trouvé")</f>
        <v>-1.6097570000000001</v>
      </c>
      <c r="G1144" s="8">
        <f>IFERROR(VLOOKUP(LOG_RESEAU[[#This Row],[Cell_ID]],Registre_Maintenance!A:D,4,FALSE),"Non trouvé")</f>
        <v>30.661662</v>
      </c>
      <c r="H1144" s="6" t="str">
        <f>IFERROR(VLOOKUP(LOG_RESEAU[[#This Row],[Cell_ID]],Registre_Maintenance!A:E,5,FALSE),"Non trouvé")</f>
        <v>4G</v>
      </c>
      <c r="I1144" s="6" t="str">
        <f>IFERROR(VLOOKUP(LOG_RESEAU[[#This Row],[Cell_ID]],Registre_Maintenance!A:F,6,FALSE),"Non trouvé")</f>
        <v>Ericsson</v>
      </c>
      <c r="J1144" s="6" t="str">
        <f t="shared" si="51"/>
        <v>OK</v>
      </c>
      <c r="K1144" s="6">
        <f t="shared" si="52"/>
        <v>2</v>
      </c>
      <c r="L1144" s="6">
        <f t="shared" si="53"/>
        <v>141</v>
      </c>
    </row>
    <row r="1145" spans="1:12" ht="15.75" x14ac:dyDescent="0.25">
      <c r="A1145" s="6" t="s">
        <v>1121</v>
      </c>
      <c r="B1145" s="7">
        <v>45217.173611111109</v>
      </c>
      <c r="C1145" s="6">
        <v>53</v>
      </c>
      <c r="D1145" s="6" t="s">
        <v>800</v>
      </c>
      <c r="E1145" s="8" t="str">
        <f>IFERROR(VLOOKUP(LOG_RESEAU[[#This Row],[Cell_ID]],Registre_Maintenance!A:B,2,FALSE),"Non trouvé")</f>
        <v>Kinshasa</v>
      </c>
      <c r="F1145" s="8">
        <f>IFERROR(VLOOKUP(LOG_RESEAU[[#This Row],[Cell_ID]],Registre_Maintenance!A:C,3,FALSE),"Non trouvé")</f>
        <v>-1.6097570000000001</v>
      </c>
      <c r="G1145" s="8">
        <f>IFERROR(VLOOKUP(LOG_RESEAU[[#This Row],[Cell_ID]],Registre_Maintenance!A:D,4,FALSE),"Non trouvé")</f>
        <v>30.661662</v>
      </c>
      <c r="H1145" s="6" t="str">
        <f>IFERROR(VLOOKUP(LOG_RESEAU[[#This Row],[Cell_ID]],Registre_Maintenance!A:E,5,FALSE),"Non trouvé")</f>
        <v>4G</v>
      </c>
      <c r="I1145" s="6" t="str">
        <f>IFERROR(VLOOKUP(LOG_RESEAU[[#This Row],[Cell_ID]],Registre_Maintenance!A:F,6,FALSE),"Non trouvé")</f>
        <v>Ericsson</v>
      </c>
      <c r="J1145" s="6" t="str">
        <f t="shared" si="51"/>
        <v>OK</v>
      </c>
      <c r="K1145" s="6">
        <f t="shared" si="52"/>
        <v>2</v>
      </c>
      <c r="L1145" s="6">
        <f t="shared" si="53"/>
        <v>141</v>
      </c>
    </row>
    <row r="1146" spans="1:12" ht="15.75" x14ac:dyDescent="0.25">
      <c r="A1146" s="6" t="s">
        <v>1060</v>
      </c>
      <c r="B1146" s="7">
        <v>45225.712500000001</v>
      </c>
      <c r="C1146" s="6">
        <v>25</v>
      </c>
      <c r="D1146" s="6" t="s">
        <v>794</v>
      </c>
      <c r="E1146" s="8" t="str">
        <f>IFERROR(VLOOKUP(LOG_RESEAU[[#This Row],[Cell_ID]],Registre_Maintenance!A:B,2,FALSE),"Non trouvé")</f>
        <v>Haut-Katanga</v>
      </c>
      <c r="F1146" s="8">
        <f>IFERROR(VLOOKUP(LOG_RESEAU[[#This Row],[Cell_ID]],Registre_Maintenance!A:C,3,FALSE),"Non trouvé")</f>
        <v>-5.5445120000000001</v>
      </c>
      <c r="G1146" s="8">
        <f>IFERROR(VLOOKUP(LOG_RESEAU[[#This Row],[Cell_ID]],Registre_Maintenance!A:D,4,FALSE),"Non trouvé")</f>
        <v>27.547335</v>
      </c>
      <c r="H1146" s="6" t="str">
        <f>IFERROR(VLOOKUP(LOG_RESEAU[[#This Row],[Cell_ID]],Registre_Maintenance!A:E,5,FALSE),"Non trouvé")</f>
        <v>4G</v>
      </c>
      <c r="I1146" s="6" t="str">
        <f>IFERROR(VLOOKUP(LOG_RESEAU[[#This Row],[Cell_ID]],Registre_Maintenance!A:F,6,FALSE),"Non trouvé")</f>
        <v>Ericsson</v>
      </c>
      <c r="J1146" s="6" t="str">
        <f t="shared" si="51"/>
        <v>OK</v>
      </c>
      <c r="K1146" s="6">
        <f t="shared" si="52"/>
        <v>4</v>
      </c>
      <c r="L1146" s="6">
        <f t="shared" si="53"/>
        <v>222</v>
      </c>
    </row>
    <row r="1147" spans="1:12" ht="15.75" x14ac:dyDescent="0.25">
      <c r="A1147" s="6" t="s">
        <v>1060</v>
      </c>
      <c r="B1147" s="7">
        <v>45220.436805555553</v>
      </c>
      <c r="C1147" s="6">
        <v>64</v>
      </c>
      <c r="D1147" s="6" t="s">
        <v>800</v>
      </c>
      <c r="E1147" s="8" t="str">
        <f>IFERROR(VLOOKUP(LOG_RESEAU[[#This Row],[Cell_ID]],Registre_Maintenance!A:B,2,FALSE),"Non trouvé")</f>
        <v>Haut-Katanga</v>
      </c>
      <c r="F1147" s="8">
        <f>IFERROR(VLOOKUP(LOG_RESEAU[[#This Row],[Cell_ID]],Registre_Maintenance!A:C,3,FALSE),"Non trouvé")</f>
        <v>-5.5445120000000001</v>
      </c>
      <c r="G1147" s="8">
        <f>IFERROR(VLOOKUP(LOG_RESEAU[[#This Row],[Cell_ID]],Registre_Maintenance!A:D,4,FALSE),"Non trouvé")</f>
        <v>27.547335</v>
      </c>
      <c r="H1147" s="6" t="str">
        <f>IFERROR(VLOOKUP(LOG_RESEAU[[#This Row],[Cell_ID]],Registre_Maintenance!A:E,5,FALSE),"Non trouvé")</f>
        <v>4G</v>
      </c>
      <c r="I1147" s="6" t="str">
        <f>IFERROR(VLOOKUP(LOG_RESEAU[[#This Row],[Cell_ID]],Registre_Maintenance!A:F,6,FALSE),"Non trouvé")</f>
        <v>Ericsson</v>
      </c>
      <c r="J1147" s="6" t="str">
        <f t="shared" si="51"/>
        <v>OK</v>
      </c>
      <c r="K1147" s="6">
        <f t="shared" si="52"/>
        <v>4</v>
      </c>
      <c r="L1147" s="6">
        <f t="shared" si="53"/>
        <v>222</v>
      </c>
    </row>
    <row r="1148" spans="1:12" ht="15.75" x14ac:dyDescent="0.25">
      <c r="A1148" s="6" t="s">
        <v>1060</v>
      </c>
      <c r="B1148" s="7">
        <v>45209.938888888893</v>
      </c>
      <c r="C1148" s="6">
        <v>37</v>
      </c>
      <c r="D1148" s="6" t="s">
        <v>800</v>
      </c>
      <c r="E1148" s="8" t="str">
        <f>IFERROR(VLOOKUP(LOG_RESEAU[[#This Row],[Cell_ID]],Registre_Maintenance!A:B,2,FALSE),"Non trouvé")</f>
        <v>Haut-Katanga</v>
      </c>
      <c r="F1148" s="8">
        <f>IFERROR(VLOOKUP(LOG_RESEAU[[#This Row],[Cell_ID]],Registre_Maintenance!A:C,3,FALSE),"Non trouvé")</f>
        <v>-5.5445120000000001</v>
      </c>
      <c r="G1148" s="8">
        <f>IFERROR(VLOOKUP(LOG_RESEAU[[#This Row],[Cell_ID]],Registre_Maintenance!A:D,4,FALSE),"Non trouvé")</f>
        <v>27.547335</v>
      </c>
      <c r="H1148" s="6" t="str">
        <f>IFERROR(VLOOKUP(LOG_RESEAU[[#This Row],[Cell_ID]],Registre_Maintenance!A:E,5,FALSE),"Non trouvé")</f>
        <v>4G</v>
      </c>
      <c r="I1148" s="6" t="str">
        <f>IFERROR(VLOOKUP(LOG_RESEAU[[#This Row],[Cell_ID]],Registre_Maintenance!A:F,6,FALSE),"Non trouvé")</f>
        <v>Ericsson</v>
      </c>
      <c r="J1148" s="6" t="str">
        <f t="shared" si="51"/>
        <v>OK</v>
      </c>
      <c r="K1148" s="6">
        <f t="shared" si="52"/>
        <v>4</v>
      </c>
      <c r="L1148" s="6">
        <f t="shared" si="53"/>
        <v>222</v>
      </c>
    </row>
    <row r="1149" spans="1:12" ht="15.75" x14ac:dyDescent="0.25">
      <c r="A1149" s="6" t="s">
        <v>1060</v>
      </c>
      <c r="B1149" s="7">
        <v>45206.286805555559</v>
      </c>
      <c r="C1149" s="6">
        <v>96</v>
      </c>
      <c r="D1149" s="6" t="s">
        <v>800</v>
      </c>
      <c r="E1149" s="8" t="str">
        <f>IFERROR(VLOOKUP(LOG_RESEAU[[#This Row],[Cell_ID]],Registre_Maintenance!A:B,2,FALSE),"Non trouvé")</f>
        <v>Haut-Katanga</v>
      </c>
      <c r="F1149" s="8">
        <f>IFERROR(VLOOKUP(LOG_RESEAU[[#This Row],[Cell_ID]],Registre_Maintenance!A:C,3,FALSE),"Non trouvé")</f>
        <v>-5.5445120000000001</v>
      </c>
      <c r="G1149" s="8">
        <f>IFERROR(VLOOKUP(LOG_RESEAU[[#This Row],[Cell_ID]],Registre_Maintenance!A:D,4,FALSE),"Non trouvé")</f>
        <v>27.547335</v>
      </c>
      <c r="H1149" s="6" t="str">
        <f>IFERROR(VLOOKUP(LOG_RESEAU[[#This Row],[Cell_ID]],Registre_Maintenance!A:E,5,FALSE),"Non trouvé")</f>
        <v>4G</v>
      </c>
      <c r="I1149" s="6" t="str">
        <f>IFERROR(VLOOKUP(LOG_RESEAU[[#This Row],[Cell_ID]],Registre_Maintenance!A:F,6,FALSE),"Non trouvé")</f>
        <v>Ericsson</v>
      </c>
      <c r="J1149" s="6" t="str">
        <f t="shared" si="51"/>
        <v>OK</v>
      </c>
      <c r="K1149" s="6">
        <f t="shared" si="52"/>
        <v>4</v>
      </c>
      <c r="L1149" s="6">
        <f t="shared" si="53"/>
        <v>222</v>
      </c>
    </row>
    <row r="1150" spans="1:12" ht="15.75" x14ac:dyDescent="0.25">
      <c r="A1150" s="6" t="s">
        <v>1527</v>
      </c>
      <c r="B1150" s="7" t="s">
        <v>1526</v>
      </c>
      <c r="C1150" s="6">
        <v>11</v>
      </c>
      <c r="D1150" s="6" t="s">
        <v>794</v>
      </c>
      <c r="E1150" s="8" t="str">
        <f>IFERROR(VLOOKUP(LOG_RESEAU[[#This Row],[Cell_ID]],Registre_Maintenance!A:B,2,FALSE),"Non trouvé")</f>
        <v>Non trouvé</v>
      </c>
      <c r="F1150" s="8" t="str">
        <f>IFERROR(VLOOKUP(LOG_RESEAU[[#This Row],[Cell_ID]],Registre_Maintenance!A:C,3,FALSE),"Non trouvé")</f>
        <v>Non trouvé</v>
      </c>
      <c r="G1150" s="8" t="str">
        <f>IFERROR(VLOOKUP(LOG_RESEAU[[#This Row],[Cell_ID]],Registre_Maintenance!A:D,4,FALSE),"Non trouvé")</f>
        <v>Non trouvé</v>
      </c>
      <c r="H1150" s="6" t="str">
        <f>IFERROR(VLOOKUP(LOG_RESEAU[[#This Row],[Cell_ID]],Registre_Maintenance!A:E,5,FALSE),"Non trouvé")</f>
        <v>Non trouvé</v>
      </c>
      <c r="I1150" s="6" t="str">
        <f>IFERROR(VLOOKUP(LOG_RESEAU[[#This Row],[Cell_ID]],Registre_Maintenance!A:F,6,FALSE),"Non trouvé")</f>
        <v>Non trouvé</v>
      </c>
      <c r="J1150" s="6" t="str">
        <f t="shared" si="51"/>
        <v>Antenne inconnue</v>
      </c>
      <c r="K1150" s="6">
        <f t="shared" si="52"/>
        <v>1</v>
      </c>
      <c r="L1150" s="6">
        <f t="shared" si="53"/>
        <v>11</v>
      </c>
    </row>
    <row r="1151" spans="1:12" ht="15.75" x14ac:dyDescent="0.25">
      <c r="A1151" s="6" t="s">
        <v>1117</v>
      </c>
      <c r="B1151" s="7">
        <v>45200.51458333333</v>
      </c>
      <c r="C1151" s="6">
        <v>24</v>
      </c>
      <c r="D1151" s="6" t="s">
        <v>792</v>
      </c>
      <c r="E1151" s="8" t="str">
        <f>IFERROR(VLOOKUP(LOG_RESEAU[[#This Row],[Cell_ID]],Registre_Maintenance!A:B,2,FALSE),"Non trouvé")</f>
        <v>Tshuapa</v>
      </c>
      <c r="F1151" s="8">
        <f>IFERROR(VLOOKUP(LOG_RESEAU[[#This Row],[Cell_ID]],Registre_Maintenance!A:C,3,FALSE),"Non trouvé")</f>
        <v>-11.622688999999999</v>
      </c>
      <c r="G1151" s="8">
        <f>IFERROR(VLOOKUP(LOG_RESEAU[[#This Row],[Cell_ID]],Registre_Maintenance!A:D,4,FALSE),"Non trouvé")</f>
        <v>18.483874</v>
      </c>
      <c r="H1151" s="6" t="str">
        <f>IFERROR(VLOOKUP(LOG_RESEAU[[#This Row],[Cell_ID]],Registre_Maintenance!A:E,5,FALSE),"Non trouvé")</f>
        <v>5G</v>
      </c>
      <c r="I1151" s="6" t="str">
        <f>IFERROR(VLOOKUP(LOG_RESEAU[[#This Row],[Cell_ID]],Registre_Maintenance!A:F,6,FALSE),"Non trouvé")</f>
        <v>ZTE</v>
      </c>
      <c r="J1151" s="6" t="str">
        <f t="shared" si="51"/>
        <v>OK</v>
      </c>
      <c r="K1151" s="6">
        <f t="shared" si="52"/>
        <v>2</v>
      </c>
      <c r="L1151" s="6">
        <f t="shared" si="53"/>
        <v>104</v>
      </c>
    </row>
    <row r="1152" spans="1:12" ht="15.75" x14ac:dyDescent="0.25">
      <c r="A1152" s="6" t="s">
        <v>1117</v>
      </c>
      <c r="B1152" s="7">
        <v>45216.701388888891</v>
      </c>
      <c r="C1152" s="6">
        <v>80</v>
      </c>
      <c r="D1152" s="6" t="s">
        <v>794</v>
      </c>
      <c r="E1152" s="8" t="str">
        <f>IFERROR(VLOOKUP(LOG_RESEAU[[#This Row],[Cell_ID]],Registre_Maintenance!A:B,2,FALSE),"Non trouvé")</f>
        <v>Tshuapa</v>
      </c>
      <c r="F1152" s="8">
        <f>IFERROR(VLOOKUP(LOG_RESEAU[[#This Row],[Cell_ID]],Registre_Maintenance!A:C,3,FALSE),"Non trouvé")</f>
        <v>-11.622688999999999</v>
      </c>
      <c r="G1152" s="8">
        <f>IFERROR(VLOOKUP(LOG_RESEAU[[#This Row],[Cell_ID]],Registre_Maintenance!A:D,4,FALSE),"Non trouvé")</f>
        <v>18.483874</v>
      </c>
      <c r="H1152" s="6" t="str">
        <f>IFERROR(VLOOKUP(LOG_RESEAU[[#This Row],[Cell_ID]],Registre_Maintenance!A:E,5,FALSE),"Non trouvé")</f>
        <v>5G</v>
      </c>
      <c r="I1152" s="6" t="str">
        <f>IFERROR(VLOOKUP(LOG_RESEAU[[#This Row],[Cell_ID]],Registre_Maintenance!A:F,6,FALSE),"Non trouvé")</f>
        <v>ZTE</v>
      </c>
      <c r="J1152" s="6" t="str">
        <f t="shared" si="51"/>
        <v>OK</v>
      </c>
      <c r="K1152" s="6">
        <f t="shared" si="52"/>
        <v>2</v>
      </c>
      <c r="L1152" s="6">
        <f t="shared" si="53"/>
        <v>104</v>
      </c>
    </row>
    <row r="1153" spans="1:12" ht="15.75" x14ac:dyDescent="0.25">
      <c r="A1153" s="6" t="s">
        <v>1376</v>
      </c>
      <c r="B1153" s="7">
        <v>45202.699305555558</v>
      </c>
      <c r="C1153" s="6">
        <v>63</v>
      </c>
      <c r="D1153" s="6" t="s">
        <v>800</v>
      </c>
      <c r="E1153" s="8" t="str">
        <f>IFERROR(VLOOKUP(LOG_RESEAU[[#This Row],[Cell_ID]],Registre_Maintenance!A:B,2,FALSE),"Non trouvé")</f>
        <v>Tshopo</v>
      </c>
      <c r="F1153" s="8">
        <f>IFERROR(VLOOKUP(LOG_RESEAU[[#This Row],[Cell_ID]],Registre_Maintenance!A:C,3,FALSE),"Non trouvé")</f>
        <v>1.400674</v>
      </c>
      <c r="G1153" s="8">
        <f>IFERROR(VLOOKUP(LOG_RESEAU[[#This Row],[Cell_ID]],Registre_Maintenance!A:D,4,FALSE),"Non trouvé")</f>
        <v>13.503126999999999</v>
      </c>
      <c r="H1153" s="6" t="str">
        <f>IFERROR(VLOOKUP(LOG_RESEAU[[#This Row],[Cell_ID]],Registre_Maintenance!A:E,5,FALSE),"Non trouvé")</f>
        <v>5G</v>
      </c>
      <c r="I1153" s="6" t="str">
        <f>IFERROR(VLOOKUP(LOG_RESEAU[[#This Row],[Cell_ID]],Registre_Maintenance!A:F,6,FALSE),"Non trouvé")</f>
        <v>ZTE</v>
      </c>
      <c r="J1153" s="6" t="str">
        <f t="shared" si="51"/>
        <v>OK</v>
      </c>
      <c r="K1153" s="6">
        <f t="shared" si="52"/>
        <v>1</v>
      </c>
      <c r="L1153" s="6">
        <f t="shared" si="53"/>
        <v>63</v>
      </c>
    </row>
    <row r="1154" spans="1:12" ht="15.75" x14ac:dyDescent="0.25">
      <c r="A1154" s="6" t="s">
        <v>1253</v>
      </c>
      <c r="B1154" s="7">
        <v>45222.602777777778</v>
      </c>
      <c r="C1154" s="6">
        <v>53</v>
      </c>
      <c r="D1154" s="6" t="s">
        <v>800</v>
      </c>
      <c r="E1154" s="8" t="str">
        <f>IFERROR(VLOOKUP(LOG_RESEAU[[#This Row],[Cell_ID]],Registre_Maintenance!A:B,2,FALSE),"Non trouvé")</f>
        <v>Non trouvé</v>
      </c>
      <c r="F1154" s="8" t="str">
        <f>IFERROR(VLOOKUP(LOG_RESEAU[[#This Row],[Cell_ID]],Registre_Maintenance!A:C,3,FALSE),"Non trouvé")</f>
        <v>Non trouvé</v>
      </c>
      <c r="G1154" s="8" t="str">
        <f>IFERROR(VLOOKUP(LOG_RESEAU[[#This Row],[Cell_ID]],Registre_Maintenance!A:D,4,FALSE),"Non trouvé")</f>
        <v>Non trouvé</v>
      </c>
      <c r="H1154" s="6" t="str">
        <f>IFERROR(VLOOKUP(LOG_RESEAU[[#This Row],[Cell_ID]],Registre_Maintenance!A:E,5,FALSE),"Non trouvé")</f>
        <v>Non trouvé</v>
      </c>
      <c r="I1154" s="6" t="str">
        <f>IFERROR(VLOOKUP(LOG_RESEAU[[#This Row],[Cell_ID]],Registre_Maintenance!A:F,6,FALSE),"Non trouvé")</f>
        <v>Non trouvé</v>
      </c>
      <c r="J1154" s="6" t="str">
        <f t="shared" ref="J1154:J1217" si="54">IF(ISERROR(SEARCH("Non trouvé",F1154)),"OK","Antenne inconnue")</f>
        <v>Antenne inconnue</v>
      </c>
      <c r="K1154" s="6">
        <f t="shared" ref="K1154:K1217" si="55">COUNTIF(A:A,A1154)</f>
        <v>1</v>
      </c>
      <c r="L1154" s="6">
        <f t="shared" ref="L1154:L1217" si="56">SUMIF(A:A,A1154,C:C)</f>
        <v>53</v>
      </c>
    </row>
    <row r="1155" spans="1:12" ht="15.75" x14ac:dyDescent="0.25">
      <c r="A1155" s="6" t="s">
        <v>1489</v>
      </c>
      <c r="B1155" s="7">
        <v>45223.568055555559</v>
      </c>
      <c r="C1155" s="6">
        <v>21</v>
      </c>
      <c r="D1155" s="6" t="s">
        <v>794</v>
      </c>
      <c r="E1155" s="8" t="str">
        <f>IFERROR(VLOOKUP(LOG_RESEAU[[#This Row],[Cell_ID]],Registre_Maintenance!A:B,2,FALSE),"Non trouvé")</f>
        <v>Non trouvé</v>
      </c>
      <c r="F1155" s="8" t="str">
        <f>IFERROR(VLOOKUP(LOG_RESEAU[[#This Row],[Cell_ID]],Registre_Maintenance!A:C,3,FALSE),"Non trouvé")</f>
        <v>Non trouvé</v>
      </c>
      <c r="G1155" s="8" t="str">
        <f>IFERROR(VLOOKUP(LOG_RESEAU[[#This Row],[Cell_ID]],Registre_Maintenance!A:D,4,FALSE),"Non trouvé")</f>
        <v>Non trouvé</v>
      </c>
      <c r="H1155" s="6" t="str">
        <f>IFERROR(VLOOKUP(LOG_RESEAU[[#This Row],[Cell_ID]],Registre_Maintenance!A:E,5,FALSE),"Non trouvé")</f>
        <v>Non trouvé</v>
      </c>
      <c r="I1155" s="6" t="str">
        <f>IFERROR(VLOOKUP(LOG_RESEAU[[#This Row],[Cell_ID]],Registre_Maintenance!A:F,6,FALSE),"Non trouvé")</f>
        <v>Non trouvé</v>
      </c>
      <c r="J1155" s="6" t="str">
        <f t="shared" si="54"/>
        <v>Antenne inconnue</v>
      </c>
      <c r="K1155" s="6">
        <f t="shared" si="55"/>
        <v>2</v>
      </c>
      <c r="L1155" s="6">
        <f t="shared" si="56"/>
        <v>39</v>
      </c>
    </row>
    <row r="1156" spans="1:12" ht="15.75" x14ac:dyDescent="0.25">
      <c r="A1156" s="6" t="s">
        <v>1489</v>
      </c>
      <c r="B1156" s="7">
        <v>45223.693055555559</v>
      </c>
      <c r="C1156" s="6">
        <v>18</v>
      </c>
      <c r="D1156" s="6" t="s">
        <v>800</v>
      </c>
      <c r="E1156" s="8" t="str">
        <f>IFERROR(VLOOKUP(LOG_RESEAU[[#This Row],[Cell_ID]],Registre_Maintenance!A:B,2,FALSE),"Non trouvé")</f>
        <v>Non trouvé</v>
      </c>
      <c r="F1156" s="8" t="str">
        <f>IFERROR(VLOOKUP(LOG_RESEAU[[#This Row],[Cell_ID]],Registre_Maintenance!A:C,3,FALSE),"Non trouvé")</f>
        <v>Non trouvé</v>
      </c>
      <c r="G1156" s="8" t="str">
        <f>IFERROR(VLOOKUP(LOG_RESEAU[[#This Row],[Cell_ID]],Registre_Maintenance!A:D,4,FALSE),"Non trouvé")</f>
        <v>Non trouvé</v>
      </c>
      <c r="H1156" s="6" t="str">
        <f>IFERROR(VLOOKUP(LOG_RESEAU[[#This Row],[Cell_ID]],Registre_Maintenance!A:E,5,FALSE),"Non trouvé")</f>
        <v>Non trouvé</v>
      </c>
      <c r="I1156" s="6" t="str">
        <f>IFERROR(VLOOKUP(LOG_RESEAU[[#This Row],[Cell_ID]],Registre_Maintenance!A:F,6,FALSE),"Non trouvé")</f>
        <v>Non trouvé</v>
      </c>
      <c r="J1156" s="6" t="str">
        <f t="shared" si="54"/>
        <v>Antenne inconnue</v>
      </c>
      <c r="K1156" s="6">
        <f t="shared" si="55"/>
        <v>2</v>
      </c>
      <c r="L1156" s="6">
        <f t="shared" si="56"/>
        <v>39</v>
      </c>
    </row>
    <row r="1157" spans="1:12" ht="15.75" x14ac:dyDescent="0.25">
      <c r="A1157" s="6" t="s">
        <v>1270</v>
      </c>
      <c r="B1157" s="7">
        <v>45202.412499999999</v>
      </c>
      <c r="C1157" s="6">
        <v>35</v>
      </c>
      <c r="D1157" s="6" t="s">
        <v>794</v>
      </c>
      <c r="E1157" s="8" t="str">
        <f>IFERROR(VLOOKUP(LOG_RESEAU[[#This Row],[Cell_ID]],Registre_Maintenance!A:B,2,FALSE),"Non trouvé")</f>
        <v>Bas-Uele</v>
      </c>
      <c r="F1157" s="8">
        <f>IFERROR(VLOOKUP(LOG_RESEAU[[#This Row],[Cell_ID]],Registre_Maintenance!A:C,3,FALSE),"Non trouvé")</f>
        <v>-6.4197189999999997</v>
      </c>
      <c r="G1157" s="8">
        <f>IFERROR(VLOOKUP(LOG_RESEAU[[#This Row],[Cell_ID]],Registre_Maintenance!A:D,4,FALSE),"Non trouvé")</f>
        <v>22.287264</v>
      </c>
      <c r="H1157" s="6" t="str">
        <f>IFERROR(VLOOKUP(LOG_RESEAU[[#This Row],[Cell_ID]],Registre_Maintenance!A:E,5,FALSE),"Non trouvé")</f>
        <v>3G</v>
      </c>
      <c r="I1157" s="6" t="str">
        <f>IFERROR(VLOOKUP(LOG_RESEAU[[#This Row],[Cell_ID]],Registre_Maintenance!A:F,6,FALSE),"Non trouvé")</f>
        <v>Ericsson</v>
      </c>
      <c r="J1157" s="6" t="str">
        <f t="shared" si="54"/>
        <v>OK</v>
      </c>
      <c r="K1157" s="6">
        <f t="shared" si="55"/>
        <v>3</v>
      </c>
      <c r="L1157" s="6">
        <f t="shared" si="56"/>
        <v>159</v>
      </c>
    </row>
    <row r="1158" spans="1:12" ht="15.75" x14ac:dyDescent="0.25">
      <c r="A1158" s="6" t="s">
        <v>1270</v>
      </c>
      <c r="B1158" s="7">
        <v>45216.970138888893</v>
      </c>
      <c r="C1158" s="6">
        <v>13</v>
      </c>
      <c r="D1158" s="6" t="s">
        <v>792</v>
      </c>
      <c r="E1158" s="8" t="str">
        <f>IFERROR(VLOOKUP(LOG_RESEAU[[#This Row],[Cell_ID]],Registre_Maintenance!A:B,2,FALSE),"Non trouvé")</f>
        <v>Bas-Uele</v>
      </c>
      <c r="F1158" s="8">
        <f>IFERROR(VLOOKUP(LOG_RESEAU[[#This Row],[Cell_ID]],Registre_Maintenance!A:C,3,FALSE),"Non trouvé")</f>
        <v>-6.4197189999999997</v>
      </c>
      <c r="G1158" s="8">
        <f>IFERROR(VLOOKUP(LOG_RESEAU[[#This Row],[Cell_ID]],Registre_Maintenance!A:D,4,FALSE),"Non trouvé")</f>
        <v>22.287264</v>
      </c>
      <c r="H1158" s="6" t="str">
        <f>IFERROR(VLOOKUP(LOG_RESEAU[[#This Row],[Cell_ID]],Registre_Maintenance!A:E,5,FALSE),"Non trouvé")</f>
        <v>3G</v>
      </c>
      <c r="I1158" s="6" t="str">
        <f>IFERROR(VLOOKUP(LOG_RESEAU[[#This Row],[Cell_ID]],Registre_Maintenance!A:F,6,FALSE),"Non trouvé")</f>
        <v>Ericsson</v>
      </c>
      <c r="J1158" s="6" t="str">
        <f t="shared" si="54"/>
        <v>OK</v>
      </c>
      <c r="K1158" s="6">
        <f t="shared" si="55"/>
        <v>3</v>
      </c>
      <c r="L1158" s="6">
        <f t="shared" si="56"/>
        <v>159</v>
      </c>
    </row>
    <row r="1159" spans="1:12" ht="15.75" x14ac:dyDescent="0.25">
      <c r="A1159" s="6" t="s">
        <v>1270</v>
      </c>
      <c r="B1159" s="7">
        <v>45209.913888888892</v>
      </c>
      <c r="C1159" s="6">
        <v>111</v>
      </c>
      <c r="D1159" s="6" t="s">
        <v>792</v>
      </c>
      <c r="E1159" s="8" t="str">
        <f>IFERROR(VLOOKUP(LOG_RESEAU[[#This Row],[Cell_ID]],Registre_Maintenance!A:B,2,FALSE),"Non trouvé")</f>
        <v>Bas-Uele</v>
      </c>
      <c r="F1159" s="8">
        <f>IFERROR(VLOOKUP(LOG_RESEAU[[#This Row],[Cell_ID]],Registre_Maintenance!A:C,3,FALSE),"Non trouvé")</f>
        <v>-6.4197189999999997</v>
      </c>
      <c r="G1159" s="8">
        <f>IFERROR(VLOOKUP(LOG_RESEAU[[#This Row],[Cell_ID]],Registre_Maintenance!A:D,4,FALSE),"Non trouvé")</f>
        <v>22.287264</v>
      </c>
      <c r="H1159" s="6" t="str">
        <f>IFERROR(VLOOKUP(LOG_RESEAU[[#This Row],[Cell_ID]],Registre_Maintenance!A:E,5,FALSE),"Non trouvé")</f>
        <v>3G</v>
      </c>
      <c r="I1159" s="6" t="str">
        <f>IFERROR(VLOOKUP(LOG_RESEAU[[#This Row],[Cell_ID]],Registre_Maintenance!A:F,6,FALSE),"Non trouvé")</f>
        <v>Ericsson</v>
      </c>
      <c r="J1159" s="6" t="str">
        <f t="shared" si="54"/>
        <v>OK</v>
      </c>
      <c r="K1159" s="6">
        <f t="shared" si="55"/>
        <v>3</v>
      </c>
      <c r="L1159" s="6">
        <f t="shared" si="56"/>
        <v>159</v>
      </c>
    </row>
    <row r="1160" spans="1:12" ht="15.75" x14ac:dyDescent="0.25">
      <c r="A1160" s="6" t="s">
        <v>1116</v>
      </c>
      <c r="B1160" s="7">
        <v>45219.103472222218</v>
      </c>
      <c r="C1160" s="6">
        <v>72</v>
      </c>
      <c r="D1160" s="6" t="s">
        <v>800</v>
      </c>
      <c r="E1160" s="8" t="str">
        <f>IFERROR(VLOOKUP(LOG_RESEAU[[#This Row],[Cell_ID]],Registre_Maintenance!A:B,2,FALSE),"Non trouvé")</f>
        <v>Lomami</v>
      </c>
      <c r="F1160" s="8">
        <f>IFERROR(VLOOKUP(LOG_RESEAU[[#This Row],[Cell_ID]],Registre_Maintenance!A:C,3,FALSE),"Non trouvé")</f>
        <v>-5.7035130000000001</v>
      </c>
      <c r="G1160" s="8">
        <f>IFERROR(VLOOKUP(LOG_RESEAU[[#This Row],[Cell_ID]],Registre_Maintenance!A:D,4,FALSE),"Non trouvé")</f>
        <v>14.331479</v>
      </c>
      <c r="H1160" s="6" t="str">
        <f>IFERROR(VLOOKUP(LOG_RESEAU[[#This Row],[Cell_ID]],Registre_Maintenance!A:E,5,FALSE),"Non trouvé")</f>
        <v>5G</v>
      </c>
      <c r="I1160" s="6" t="str">
        <f>IFERROR(VLOOKUP(LOG_RESEAU[[#This Row],[Cell_ID]],Registre_Maintenance!A:F,6,FALSE),"Non trouvé")</f>
        <v>Nokia</v>
      </c>
      <c r="J1160" s="6" t="str">
        <f t="shared" si="54"/>
        <v>OK</v>
      </c>
      <c r="K1160" s="6">
        <f t="shared" si="55"/>
        <v>2</v>
      </c>
      <c r="L1160" s="6">
        <f t="shared" si="56"/>
        <v>111</v>
      </c>
    </row>
    <row r="1161" spans="1:12" ht="15.75" x14ac:dyDescent="0.25">
      <c r="A1161" s="6" t="s">
        <v>1116</v>
      </c>
      <c r="B1161" s="7">
        <v>45230.228472222218</v>
      </c>
      <c r="C1161" s="6">
        <v>39</v>
      </c>
      <c r="D1161" s="6" t="s">
        <v>792</v>
      </c>
      <c r="E1161" s="8" t="str">
        <f>IFERROR(VLOOKUP(LOG_RESEAU[[#This Row],[Cell_ID]],Registre_Maintenance!A:B,2,FALSE),"Non trouvé")</f>
        <v>Lomami</v>
      </c>
      <c r="F1161" s="8">
        <f>IFERROR(VLOOKUP(LOG_RESEAU[[#This Row],[Cell_ID]],Registre_Maintenance!A:C,3,FALSE),"Non trouvé")</f>
        <v>-5.7035130000000001</v>
      </c>
      <c r="G1161" s="8">
        <f>IFERROR(VLOOKUP(LOG_RESEAU[[#This Row],[Cell_ID]],Registre_Maintenance!A:D,4,FALSE),"Non trouvé")</f>
        <v>14.331479</v>
      </c>
      <c r="H1161" s="6" t="str">
        <f>IFERROR(VLOOKUP(LOG_RESEAU[[#This Row],[Cell_ID]],Registre_Maintenance!A:E,5,FALSE),"Non trouvé")</f>
        <v>5G</v>
      </c>
      <c r="I1161" s="6" t="str">
        <f>IFERROR(VLOOKUP(LOG_RESEAU[[#This Row],[Cell_ID]],Registre_Maintenance!A:F,6,FALSE),"Non trouvé")</f>
        <v>Nokia</v>
      </c>
      <c r="J1161" s="6" t="str">
        <f t="shared" si="54"/>
        <v>OK</v>
      </c>
      <c r="K1161" s="6">
        <f t="shared" si="55"/>
        <v>2</v>
      </c>
      <c r="L1161" s="6">
        <f t="shared" si="56"/>
        <v>111</v>
      </c>
    </row>
    <row r="1162" spans="1:12" ht="15.75" x14ac:dyDescent="0.25">
      <c r="A1162" s="6" t="s">
        <v>1356</v>
      </c>
      <c r="B1162" s="7">
        <v>45201.726388888892</v>
      </c>
      <c r="C1162" s="6">
        <v>97</v>
      </c>
      <c r="D1162" s="6" t="s">
        <v>800</v>
      </c>
      <c r="E1162" s="8" t="str">
        <f>IFERROR(VLOOKUP(LOG_RESEAU[[#This Row],[Cell_ID]],Registre_Maintenance!A:B,2,FALSE),"Non trouvé")</f>
        <v>Kasai-Oriental</v>
      </c>
      <c r="F1162" s="8">
        <f>IFERROR(VLOOKUP(LOG_RESEAU[[#This Row],[Cell_ID]],Registre_Maintenance!A:C,3,FALSE),"Non trouvé")</f>
        <v>-4.3639070000000002</v>
      </c>
      <c r="G1162" s="8">
        <f>IFERROR(VLOOKUP(LOG_RESEAU[[#This Row],[Cell_ID]],Registre_Maintenance!A:D,4,FALSE),"Non trouvé")</f>
        <v>16.283307000000001</v>
      </c>
      <c r="H1162" s="6" t="str">
        <f>IFERROR(VLOOKUP(LOG_RESEAU[[#This Row],[Cell_ID]],Registre_Maintenance!A:E,5,FALSE),"Non trouvé")</f>
        <v>5G</v>
      </c>
      <c r="I1162" s="6" t="str">
        <f>IFERROR(VLOOKUP(LOG_RESEAU[[#This Row],[Cell_ID]],Registre_Maintenance!A:F,6,FALSE),"Non trouvé")</f>
        <v>Huawei</v>
      </c>
      <c r="J1162" s="6" t="str">
        <f t="shared" si="54"/>
        <v>OK</v>
      </c>
      <c r="K1162" s="6">
        <f t="shared" si="55"/>
        <v>1</v>
      </c>
      <c r="L1162" s="6">
        <f t="shared" si="56"/>
        <v>97</v>
      </c>
    </row>
    <row r="1163" spans="1:12" hidden="1" x14ac:dyDescent="0.25">
      <c r="A1163" s="2"/>
      <c r="B1163" s="2">
        <v>45230.401388888888</v>
      </c>
      <c r="C1163" s="2">
        <v>22</v>
      </c>
      <c r="D1163" s="2" t="s">
        <v>794</v>
      </c>
      <c r="E1163" s="3" t="str">
        <f>IFERROR(VLOOKUP(LOG_RESEAU[[#This Row],[Cell_ID]],Registre_Maintenance!A:B,2,FALSE),"Non trouvé")</f>
        <v>Non trouvé</v>
      </c>
      <c r="F1163" s="3" t="str">
        <f>IFERROR(VLOOKUP(LOG_RESEAU[[#This Row],[Cell_ID]],Registre_Maintenance!A:C,3,FALSE),"Non trouvé")</f>
        <v>Non trouvé</v>
      </c>
      <c r="G1163" s="3" t="str">
        <f>IFERROR(VLOOKUP(LOG_RESEAU[[#This Row],[Cell_ID]],Registre_Maintenance!A:D,4,FALSE),"Non trouvé")</f>
        <v>Non trouvé</v>
      </c>
      <c r="H1163" s="2" t="str">
        <f>IFERROR(VLOOKUP(LOG_RESEAU[[#This Row],[Cell_ID]],Registre_Maintenance!A:E,5,FALSE),"Non trouvé")</f>
        <v>Non trouvé</v>
      </c>
      <c r="I1163" s="2" t="str">
        <f>IFERROR(VLOOKUP(LOG_RESEAU[[#This Row],[Cell_ID]],Registre_Maintenance!A:F,6,FALSE),"Non trouvé")</f>
        <v>Non trouvé</v>
      </c>
      <c r="J1163" s="2" t="str">
        <f t="shared" si="54"/>
        <v>Antenne inconnue</v>
      </c>
      <c r="K1163" s="2">
        <f t="shared" si="55"/>
        <v>0</v>
      </c>
      <c r="L1163" s="2">
        <f t="shared" si="56"/>
        <v>0</v>
      </c>
    </row>
    <row r="1164" spans="1:12" ht="15.75" x14ac:dyDescent="0.25">
      <c r="A1164" s="6" t="s">
        <v>1174</v>
      </c>
      <c r="B1164" s="7">
        <v>45208.169444444437</v>
      </c>
      <c r="C1164" s="6">
        <v>47</v>
      </c>
      <c r="D1164" s="6" t="s">
        <v>794</v>
      </c>
      <c r="E1164" s="8" t="str">
        <f>IFERROR(VLOOKUP(LOG_RESEAU[[#This Row],[Cell_ID]],Registre_Maintenance!A:B,2,FALSE),"Non trouvé")</f>
        <v>Kasai</v>
      </c>
      <c r="F1164" s="8">
        <f>IFERROR(VLOOKUP(LOG_RESEAU[[#This Row],[Cell_ID]],Registre_Maintenance!A:C,3,FALSE),"Non trouvé")</f>
        <v>-4.351254</v>
      </c>
      <c r="G1164" s="8">
        <f>IFERROR(VLOOKUP(LOG_RESEAU[[#This Row],[Cell_ID]],Registre_Maintenance!A:D,4,FALSE),"Non trouvé")</f>
        <v>30.097408999999999</v>
      </c>
      <c r="H1164" s="6" t="str">
        <f>IFERROR(VLOOKUP(LOG_RESEAU[[#This Row],[Cell_ID]],Registre_Maintenance!A:E,5,FALSE),"Non trouvé")</f>
        <v>5G</v>
      </c>
      <c r="I1164" s="6" t="str">
        <f>IFERROR(VLOOKUP(LOG_RESEAU[[#This Row],[Cell_ID]],Registre_Maintenance!A:F,6,FALSE),"Non trouvé")</f>
        <v>Nokia</v>
      </c>
      <c r="J1164" s="6" t="str">
        <f t="shared" si="54"/>
        <v>OK</v>
      </c>
      <c r="K1164" s="6">
        <f t="shared" si="55"/>
        <v>2</v>
      </c>
      <c r="L1164" s="6">
        <f t="shared" si="56"/>
        <v>157</v>
      </c>
    </row>
    <row r="1165" spans="1:12" ht="15.75" x14ac:dyDescent="0.25">
      <c r="A1165" s="6" t="s">
        <v>1174</v>
      </c>
      <c r="B1165" s="7">
        <v>45210.895833333343</v>
      </c>
      <c r="C1165" s="6">
        <v>110</v>
      </c>
      <c r="D1165" s="6" t="s">
        <v>792</v>
      </c>
      <c r="E1165" s="8" t="str">
        <f>IFERROR(VLOOKUP(LOG_RESEAU[[#This Row],[Cell_ID]],Registre_Maintenance!A:B,2,FALSE),"Non trouvé")</f>
        <v>Kasai</v>
      </c>
      <c r="F1165" s="8">
        <f>IFERROR(VLOOKUP(LOG_RESEAU[[#This Row],[Cell_ID]],Registre_Maintenance!A:C,3,FALSE),"Non trouvé")</f>
        <v>-4.351254</v>
      </c>
      <c r="G1165" s="8">
        <f>IFERROR(VLOOKUP(LOG_RESEAU[[#This Row],[Cell_ID]],Registre_Maintenance!A:D,4,FALSE),"Non trouvé")</f>
        <v>30.097408999999999</v>
      </c>
      <c r="H1165" s="6" t="str">
        <f>IFERROR(VLOOKUP(LOG_RESEAU[[#This Row],[Cell_ID]],Registre_Maintenance!A:E,5,FALSE),"Non trouvé")</f>
        <v>5G</v>
      </c>
      <c r="I1165" s="6" t="str">
        <f>IFERROR(VLOOKUP(LOG_RESEAU[[#This Row],[Cell_ID]],Registre_Maintenance!A:F,6,FALSE),"Non trouvé")</f>
        <v>Nokia</v>
      </c>
      <c r="J1165" s="6" t="str">
        <f t="shared" si="54"/>
        <v>OK</v>
      </c>
      <c r="K1165" s="6">
        <f t="shared" si="55"/>
        <v>2</v>
      </c>
      <c r="L1165" s="6">
        <f t="shared" si="56"/>
        <v>157</v>
      </c>
    </row>
    <row r="1166" spans="1:12" ht="15.75" x14ac:dyDescent="0.25">
      <c r="A1166" s="6" t="s">
        <v>1395</v>
      </c>
      <c r="B1166" s="7">
        <v>45216.181944444441</v>
      </c>
      <c r="C1166" s="6">
        <v>86</v>
      </c>
      <c r="D1166" s="6" t="s">
        <v>800</v>
      </c>
      <c r="E1166" s="8" t="str">
        <f>IFERROR(VLOOKUP(LOG_RESEAU[[#This Row],[Cell_ID]],Registre_Maintenance!A:B,2,FALSE),"Non trouvé")</f>
        <v>Non trouvé</v>
      </c>
      <c r="F1166" s="8" t="str">
        <f>IFERROR(VLOOKUP(LOG_RESEAU[[#This Row],[Cell_ID]],Registre_Maintenance!A:C,3,FALSE),"Non trouvé")</f>
        <v>Non trouvé</v>
      </c>
      <c r="G1166" s="8" t="str">
        <f>IFERROR(VLOOKUP(LOG_RESEAU[[#This Row],[Cell_ID]],Registre_Maintenance!A:D,4,FALSE),"Non trouvé")</f>
        <v>Non trouvé</v>
      </c>
      <c r="H1166" s="6" t="str">
        <f>IFERROR(VLOOKUP(LOG_RESEAU[[#This Row],[Cell_ID]],Registre_Maintenance!A:E,5,FALSE),"Non trouvé")</f>
        <v>Non trouvé</v>
      </c>
      <c r="I1166" s="6" t="str">
        <f>IFERROR(VLOOKUP(LOG_RESEAU[[#This Row],[Cell_ID]],Registre_Maintenance!A:F,6,FALSE),"Non trouvé")</f>
        <v>Non trouvé</v>
      </c>
      <c r="J1166" s="6" t="str">
        <f t="shared" si="54"/>
        <v>Antenne inconnue</v>
      </c>
      <c r="K1166" s="6">
        <f t="shared" si="55"/>
        <v>1</v>
      </c>
      <c r="L1166" s="6">
        <f t="shared" si="56"/>
        <v>86</v>
      </c>
    </row>
    <row r="1167" spans="1:12" ht="15.75" x14ac:dyDescent="0.25">
      <c r="A1167" s="6" t="s">
        <v>1291</v>
      </c>
      <c r="B1167" s="7">
        <v>45207.133333333331</v>
      </c>
      <c r="C1167" s="6">
        <v>66</v>
      </c>
      <c r="D1167" s="6" t="s">
        <v>800</v>
      </c>
      <c r="E1167" s="8" t="str">
        <f>IFERROR(VLOOKUP(LOG_RESEAU[[#This Row],[Cell_ID]],Registre_Maintenance!A:B,2,FALSE),"Non trouvé")</f>
        <v>Kasai-Oriental</v>
      </c>
      <c r="F1167" s="8">
        <f>IFERROR(VLOOKUP(LOG_RESEAU[[#This Row],[Cell_ID]],Registre_Maintenance!A:C,3,FALSE),"Non trouvé")</f>
        <v>-5.4073029999999997</v>
      </c>
      <c r="G1167" s="8">
        <f>IFERROR(VLOOKUP(LOG_RESEAU[[#This Row],[Cell_ID]],Registre_Maintenance!A:D,4,FALSE),"Non trouvé")</f>
        <v>29.762294000000001</v>
      </c>
      <c r="H1167" s="6" t="str">
        <f>IFERROR(VLOOKUP(LOG_RESEAU[[#This Row],[Cell_ID]],Registre_Maintenance!A:E,5,FALSE),"Non trouvé")</f>
        <v>3G</v>
      </c>
      <c r="I1167" s="6" t="str">
        <f>IFERROR(VLOOKUP(LOG_RESEAU[[#This Row],[Cell_ID]],Registre_Maintenance!A:F,6,FALSE),"Non trouvé")</f>
        <v>Ericsson</v>
      </c>
      <c r="J1167" s="6" t="str">
        <f t="shared" si="54"/>
        <v>OK</v>
      </c>
      <c r="K1167" s="6">
        <f t="shared" si="55"/>
        <v>2</v>
      </c>
      <c r="L1167" s="6">
        <f t="shared" si="56"/>
        <v>97</v>
      </c>
    </row>
    <row r="1168" spans="1:12" ht="15.75" x14ac:dyDescent="0.25">
      <c r="A1168" s="6" t="s">
        <v>1291</v>
      </c>
      <c r="B1168" s="7">
        <v>45214.850694444453</v>
      </c>
      <c r="C1168" s="6">
        <v>31</v>
      </c>
      <c r="D1168" s="6" t="s">
        <v>792</v>
      </c>
      <c r="E1168" s="8" t="str">
        <f>IFERROR(VLOOKUP(LOG_RESEAU[[#This Row],[Cell_ID]],Registre_Maintenance!A:B,2,FALSE),"Non trouvé")</f>
        <v>Kasai-Oriental</v>
      </c>
      <c r="F1168" s="8">
        <f>IFERROR(VLOOKUP(LOG_RESEAU[[#This Row],[Cell_ID]],Registre_Maintenance!A:C,3,FALSE),"Non trouvé")</f>
        <v>-5.4073029999999997</v>
      </c>
      <c r="G1168" s="8">
        <f>IFERROR(VLOOKUP(LOG_RESEAU[[#This Row],[Cell_ID]],Registre_Maintenance!A:D,4,FALSE),"Non trouvé")</f>
        <v>29.762294000000001</v>
      </c>
      <c r="H1168" s="6" t="str">
        <f>IFERROR(VLOOKUP(LOG_RESEAU[[#This Row],[Cell_ID]],Registre_Maintenance!A:E,5,FALSE),"Non trouvé")</f>
        <v>3G</v>
      </c>
      <c r="I1168" s="6" t="str">
        <f>IFERROR(VLOOKUP(LOG_RESEAU[[#This Row],[Cell_ID]],Registre_Maintenance!A:F,6,FALSE),"Non trouvé")</f>
        <v>Ericsson</v>
      </c>
      <c r="J1168" s="6" t="str">
        <f t="shared" si="54"/>
        <v>OK</v>
      </c>
      <c r="K1168" s="6">
        <f t="shared" si="55"/>
        <v>2</v>
      </c>
      <c r="L1168" s="6">
        <f t="shared" si="56"/>
        <v>97</v>
      </c>
    </row>
    <row r="1169" spans="1:12" ht="15.75" x14ac:dyDescent="0.25">
      <c r="A1169" s="6" t="s">
        <v>1388</v>
      </c>
      <c r="B1169" s="7">
        <v>45211.711805555547</v>
      </c>
      <c r="C1169" s="6">
        <v>82</v>
      </c>
      <c r="D1169" s="6" t="s">
        <v>800</v>
      </c>
      <c r="E1169" s="8" t="str">
        <f>IFERROR(VLOOKUP(LOG_RESEAU[[#This Row],[Cell_ID]],Registre_Maintenance!A:B,2,FALSE),"Non trouvé")</f>
        <v>Non trouvé</v>
      </c>
      <c r="F1169" s="8" t="str">
        <f>IFERROR(VLOOKUP(LOG_RESEAU[[#This Row],[Cell_ID]],Registre_Maintenance!A:C,3,FALSE),"Non trouvé")</f>
        <v>Non trouvé</v>
      </c>
      <c r="G1169" s="8" t="str">
        <f>IFERROR(VLOOKUP(LOG_RESEAU[[#This Row],[Cell_ID]],Registre_Maintenance!A:D,4,FALSE),"Non trouvé")</f>
        <v>Non trouvé</v>
      </c>
      <c r="H1169" s="6" t="str">
        <f>IFERROR(VLOOKUP(LOG_RESEAU[[#This Row],[Cell_ID]],Registre_Maintenance!A:E,5,FALSE),"Non trouvé")</f>
        <v>Non trouvé</v>
      </c>
      <c r="I1169" s="6" t="str">
        <f>IFERROR(VLOOKUP(LOG_RESEAU[[#This Row],[Cell_ID]],Registre_Maintenance!A:F,6,FALSE),"Non trouvé")</f>
        <v>Non trouvé</v>
      </c>
      <c r="J1169" s="6" t="str">
        <f t="shared" si="54"/>
        <v>Antenne inconnue</v>
      </c>
      <c r="K1169" s="6">
        <f t="shared" si="55"/>
        <v>2</v>
      </c>
      <c r="L1169" s="6">
        <f t="shared" si="56"/>
        <v>100</v>
      </c>
    </row>
    <row r="1170" spans="1:12" ht="15.75" x14ac:dyDescent="0.25">
      <c r="A1170" s="6" t="s">
        <v>1388</v>
      </c>
      <c r="B1170" s="7">
        <v>45202.728472222218</v>
      </c>
      <c r="C1170" s="6">
        <v>18</v>
      </c>
      <c r="D1170" s="6" t="s">
        <v>794</v>
      </c>
      <c r="E1170" s="8" t="str">
        <f>IFERROR(VLOOKUP(LOG_RESEAU[[#This Row],[Cell_ID]],Registre_Maintenance!A:B,2,FALSE),"Non trouvé")</f>
        <v>Non trouvé</v>
      </c>
      <c r="F1170" s="8" t="str">
        <f>IFERROR(VLOOKUP(LOG_RESEAU[[#This Row],[Cell_ID]],Registre_Maintenance!A:C,3,FALSE),"Non trouvé")</f>
        <v>Non trouvé</v>
      </c>
      <c r="G1170" s="8" t="str">
        <f>IFERROR(VLOOKUP(LOG_RESEAU[[#This Row],[Cell_ID]],Registre_Maintenance!A:D,4,FALSE),"Non trouvé")</f>
        <v>Non trouvé</v>
      </c>
      <c r="H1170" s="6" t="str">
        <f>IFERROR(VLOOKUP(LOG_RESEAU[[#This Row],[Cell_ID]],Registre_Maintenance!A:E,5,FALSE),"Non trouvé")</f>
        <v>Non trouvé</v>
      </c>
      <c r="I1170" s="6" t="str">
        <f>IFERROR(VLOOKUP(LOG_RESEAU[[#This Row],[Cell_ID]],Registre_Maintenance!A:F,6,FALSE),"Non trouvé")</f>
        <v>Non trouvé</v>
      </c>
      <c r="J1170" s="6" t="str">
        <f t="shared" si="54"/>
        <v>Antenne inconnue</v>
      </c>
      <c r="K1170" s="6">
        <f t="shared" si="55"/>
        <v>2</v>
      </c>
      <c r="L1170" s="6">
        <f t="shared" si="56"/>
        <v>100</v>
      </c>
    </row>
    <row r="1171" spans="1:12" ht="15.75" x14ac:dyDescent="0.25">
      <c r="A1171" s="6" t="s">
        <v>1136</v>
      </c>
      <c r="B1171" s="7">
        <v>45203.750694444447</v>
      </c>
      <c r="C1171" s="6">
        <v>64</v>
      </c>
      <c r="D1171" s="6" t="s">
        <v>792</v>
      </c>
      <c r="E1171" s="8" t="str">
        <f>IFERROR(VLOOKUP(LOG_RESEAU[[#This Row],[Cell_ID]],Registre_Maintenance!A:B,2,FALSE),"Non trouvé")</f>
        <v>Maniema</v>
      </c>
      <c r="F1171" s="8">
        <f>IFERROR(VLOOKUP(LOG_RESEAU[[#This Row],[Cell_ID]],Registre_Maintenance!A:C,3,FALSE),"Non trouvé")</f>
        <v>-4.6818410000000004</v>
      </c>
      <c r="G1171" s="8">
        <f>IFERROR(VLOOKUP(LOG_RESEAU[[#This Row],[Cell_ID]],Registre_Maintenance!A:D,4,FALSE),"Non trouvé")</f>
        <v>17.541618</v>
      </c>
      <c r="H1171" s="6" t="str">
        <f>IFERROR(VLOOKUP(LOG_RESEAU[[#This Row],[Cell_ID]],Registre_Maintenance!A:E,5,FALSE),"Non trouvé")</f>
        <v>4G</v>
      </c>
      <c r="I1171" s="6" t="str">
        <f>IFERROR(VLOOKUP(LOG_RESEAU[[#This Row],[Cell_ID]],Registre_Maintenance!A:F,6,FALSE),"Non trouvé")</f>
        <v>Ericsson</v>
      </c>
      <c r="J1171" s="6" t="str">
        <f t="shared" si="54"/>
        <v>OK</v>
      </c>
      <c r="K1171" s="6">
        <f t="shared" si="55"/>
        <v>2</v>
      </c>
      <c r="L1171" s="6">
        <f t="shared" si="56"/>
        <v>107</v>
      </c>
    </row>
    <row r="1172" spans="1:12" ht="15.75" x14ac:dyDescent="0.25">
      <c r="A1172" s="6" t="s">
        <v>1136</v>
      </c>
      <c r="B1172" s="7">
        <v>45224.201388888891</v>
      </c>
      <c r="C1172" s="6">
        <v>43</v>
      </c>
      <c r="D1172" s="6" t="s">
        <v>792</v>
      </c>
      <c r="E1172" s="8" t="str">
        <f>IFERROR(VLOOKUP(LOG_RESEAU[[#This Row],[Cell_ID]],Registre_Maintenance!A:B,2,FALSE),"Non trouvé")</f>
        <v>Maniema</v>
      </c>
      <c r="F1172" s="8">
        <f>IFERROR(VLOOKUP(LOG_RESEAU[[#This Row],[Cell_ID]],Registre_Maintenance!A:C,3,FALSE),"Non trouvé")</f>
        <v>-4.6818410000000004</v>
      </c>
      <c r="G1172" s="8">
        <f>IFERROR(VLOOKUP(LOG_RESEAU[[#This Row],[Cell_ID]],Registre_Maintenance!A:D,4,FALSE),"Non trouvé")</f>
        <v>17.541618</v>
      </c>
      <c r="H1172" s="6" t="str">
        <f>IFERROR(VLOOKUP(LOG_RESEAU[[#This Row],[Cell_ID]],Registre_Maintenance!A:E,5,FALSE),"Non trouvé")</f>
        <v>4G</v>
      </c>
      <c r="I1172" s="6" t="str">
        <f>IFERROR(VLOOKUP(LOG_RESEAU[[#This Row],[Cell_ID]],Registre_Maintenance!A:F,6,FALSE),"Non trouvé")</f>
        <v>Ericsson</v>
      </c>
      <c r="J1172" s="6" t="str">
        <f t="shared" si="54"/>
        <v>OK</v>
      </c>
      <c r="K1172" s="6">
        <f t="shared" si="55"/>
        <v>2</v>
      </c>
      <c r="L1172" s="6">
        <f t="shared" si="56"/>
        <v>107</v>
      </c>
    </row>
    <row r="1173" spans="1:12" ht="15.75" x14ac:dyDescent="0.25">
      <c r="A1173" s="6" t="s">
        <v>1194</v>
      </c>
      <c r="B1173" s="7">
        <v>45202.319444444453</v>
      </c>
      <c r="C1173" s="6">
        <v>115</v>
      </c>
      <c r="D1173" s="6" t="s">
        <v>800</v>
      </c>
      <c r="E1173" s="8" t="str">
        <f>IFERROR(VLOOKUP(LOG_RESEAU[[#This Row],[Cell_ID]],Registre_Maintenance!A:B,2,FALSE),"Non trouvé")</f>
        <v>Non trouvé</v>
      </c>
      <c r="F1173" s="8" t="str">
        <f>IFERROR(VLOOKUP(LOG_RESEAU[[#This Row],[Cell_ID]],Registre_Maintenance!A:C,3,FALSE),"Non trouvé")</f>
        <v>Non trouvé</v>
      </c>
      <c r="G1173" s="8" t="str">
        <f>IFERROR(VLOOKUP(LOG_RESEAU[[#This Row],[Cell_ID]],Registre_Maintenance!A:D,4,FALSE),"Non trouvé")</f>
        <v>Non trouvé</v>
      </c>
      <c r="H1173" s="6" t="str">
        <f>IFERROR(VLOOKUP(LOG_RESEAU[[#This Row],[Cell_ID]],Registre_Maintenance!A:E,5,FALSE),"Non trouvé")</f>
        <v>Non trouvé</v>
      </c>
      <c r="I1173" s="6" t="str">
        <f>IFERROR(VLOOKUP(LOG_RESEAU[[#This Row],[Cell_ID]],Registre_Maintenance!A:F,6,FALSE),"Non trouvé")</f>
        <v>Non trouvé</v>
      </c>
      <c r="J1173" s="6" t="str">
        <f t="shared" si="54"/>
        <v>Antenne inconnue</v>
      </c>
      <c r="K1173" s="6">
        <f t="shared" si="55"/>
        <v>2</v>
      </c>
      <c r="L1173" s="6">
        <f t="shared" si="56"/>
        <v>176</v>
      </c>
    </row>
    <row r="1174" spans="1:12" ht="15.75" x14ac:dyDescent="0.25">
      <c r="A1174" s="6" t="s">
        <v>1194</v>
      </c>
      <c r="B1174" s="7">
        <v>45203.227777777778</v>
      </c>
      <c r="C1174" s="6">
        <v>61</v>
      </c>
      <c r="D1174" s="6" t="s">
        <v>800</v>
      </c>
      <c r="E1174" s="8" t="str">
        <f>IFERROR(VLOOKUP(LOG_RESEAU[[#This Row],[Cell_ID]],Registre_Maintenance!A:B,2,FALSE),"Non trouvé")</f>
        <v>Non trouvé</v>
      </c>
      <c r="F1174" s="8" t="str">
        <f>IFERROR(VLOOKUP(LOG_RESEAU[[#This Row],[Cell_ID]],Registre_Maintenance!A:C,3,FALSE),"Non trouvé")</f>
        <v>Non trouvé</v>
      </c>
      <c r="G1174" s="8" t="str">
        <f>IFERROR(VLOOKUP(LOG_RESEAU[[#This Row],[Cell_ID]],Registre_Maintenance!A:D,4,FALSE),"Non trouvé")</f>
        <v>Non trouvé</v>
      </c>
      <c r="H1174" s="6" t="str">
        <f>IFERROR(VLOOKUP(LOG_RESEAU[[#This Row],[Cell_ID]],Registre_Maintenance!A:E,5,FALSE),"Non trouvé")</f>
        <v>Non trouvé</v>
      </c>
      <c r="I1174" s="6" t="str">
        <f>IFERROR(VLOOKUP(LOG_RESEAU[[#This Row],[Cell_ID]],Registre_Maintenance!A:F,6,FALSE),"Non trouvé")</f>
        <v>Non trouvé</v>
      </c>
      <c r="J1174" s="6" t="str">
        <f t="shared" si="54"/>
        <v>Antenne inconnue</v>
      </c>
      <c r="K1174" s="6">
        <f t="shared" si="55"/>
        <v>2</v>
      </c>
      <c r="L1174" s="6">
        <f t="shared" si="56"/>
        <v>176</v>
      </c>
    </row>
    <row r="1175" spans="1:12" ht="15.75" x14ac:dyDescent="0.25">
      <c r="A1175" s="6" t="s">
        <v>1410</v>
      </c>
      <c r="B1175" s="7">
        <v>45214.799305555563</v>
      </c>
      <c r="C1175" s="6">
        <v>67</v>
      </c>
      <c r="D1175" s="6" t="s">
        <v>794</v>
      </c>
      <c r="E1175" s="8" t="str">
        <f>IFERROR(VLOOKUP(LOG_RESEAU[[#This Row],[Cell_ID]],Registre_Maintenance!A:B,2,FALSE),"Non trouvé")</f>
        <v>Non trouvé</v>
      </c>
      <c r="F1175" s="8" t="str">
        <f>IFERROR(VLOOKUP(LOG_RESEAU[[#This Row],[Cell_ID]],Registre_Maintenance!A:C,3,FALSE),"Non trouvé")</f>
        <v>Non trouvé</v>
      </c>
      <c r="G1175" s="8" t="str">
        <f>IFERROR(VLOOKUP(LOG_RESEAU[[#This Row],[Cell_ID]],Registre_Maintenance!A:D,4,FALSE),"Non trouvé")</f>
        <v>Non trouvé</v>
      </c>
      <c r="H1175" s="6" t="str">
        <f>IFERROR(VLOOKUP(LOG_RESEAU[[#This Row],[Cell_ID]],Registre_Maintenance!A:E,5,FALSE),"Non trouvé")</f>
        <v>Non trouvé</v>
      </c>
      <c r="I1175" s="6" t="str">
        <f>IFERROR(VLOOKUP(LOG_RESEAU[[#This Row],[Cell_ID]],Registre_Maintenance!A:F,6,FALSE),"Non trouvé")</f>
        <v>Non trouvé</v>
      </c>
      <c r="J1175" s="6" t="str">
        <f t="shared" si="54"/>
        <v>Antenne inconnue</v>
      </c>
      <c r="K1175" s="6">
        <f t="shared" si="55"/>
        <v>1</v>
      </c>
      <c r="L1175" s="6">
        <f t="shared" si="56"/>
        <v>67</v>
      </c>
    </row>
    <row r="1176" spans="1:12" ht="15.75" x14ac:dyDescent="0.25">
      <c r="A1176" s="6" t="s">
        <v>1027</v>
      </c>
      <c r="B1176" s="7">
        <v>45210.128472222219</v>
      </c>
      <c r="C1176" s="6">
        <v>115</v>
      </c>
      <c r="D1176" s="6" t="s">
        <v>794</v>
      </c>
      <c r="E1176" s="8" t="str">
        <f>IFERROR(VLOOKUP(LOG_RESEAU[[#This Row],[Cell_ID]],Registre_Maintenance!A:B,2,FALSE),"Non trouvé")</f>
        <v>Non trouvé</v>
      </c>
      <c r="F1176" s="8" t="str">
        <f>IFERROR(VLOOKUP(LOG_RESEAU[[#This Row],[Cell_ID]],Registre_Maintenance!A:C,3,FALSE),"Non trouvé")</f>
        <v>Non trouvé</v>
      </c>
      <c r="G1176" s="8" t="str">
        <f>IFERROR(VLOOKUP(LOG_RESEAU[[#This Row],[Cell_ID]],Registre_Maintenance!A:D,4,FALSE),"Non trouvé")</f>
        <v>Non trouvé</v>
      </c>
      <c r="H1176" s="6" t="str">
        <f>IFERROR(VLOOKUP(LOG_RESEAU[[#This Row],[Cell_ID]],Registre_Maintenance!A:E,5,FALSE),"Non trouvé")</f>
        <v>Non trouvé</v>
      </c>
      <c r="I1176" s="6" t="str">
        <f>IFERROR(VLOOKUP(LOG_RESEAU[[#This Row],[Cell_ID]],Registre_Maintenance!A:F,6,FALSE),"Non trouvé")</f>
        <v>Non trouvé</v>
      </c>
      <c r="J1176" s="6" t="str">
        <f t="shared" si="54"/>
        <v>Antenne inconnue</v>
      </c>
      <c r="K1176" s="6">
        <f t="shared" si="55"/>
        <v>4</v>
      </c>
      <c r="L1176" s="6">
        <f t="shared" si="56"/>
        <v>381</v>
      </c>
    </row>
    <row r="1177" spans="1:12" ht="15.75" x14ac:dyDescent="0.25">
      <c r="A1177" s="6" t="s">
        <v>1027</v>
      </c>
      <c r="B1177" s="7">
        <v>45219.301388888889</v>
      </c>
      <c r="C1177" s="6">
        <v>65</v>
      </c>
      <c r="D1177" s="6" t="s">
        <v>794</v>
      </c>
      <c r="E1177" s="8" t="str">
        <f>IFERROR(VLOOKUP(LOG_RESEAU[[#This Row],[Cell_ID]],Registre_Maintenance!A:B,2,FALSE),"Non trouvé")</f>
        <v>Non trouvé</v>
      </c>
      <c r="F1177" s="8" t="str">
        <f>IFERROR(VLOOKUP(LOG_RESEAU[[#This Row],[Cell_ID]],Registre_Maintenance!A:C,3,FALSE),"Non trouvé")</f>
        <v>Non trouvé</v>
      </c>
      <c r="G1177" s="8" t="str">
        <f>IFERROR(VLOOKUP(LOG_RESEAU[[#This Row],[Cell_ID]],Registre_Maintenance!A:D,4,FALSE),"Non trouvé")</f>
        <v>Non trouvé</v>
      </c>
      <c r="H1177" s="6" t="str">
        <f>IFERROR(VLOOKUP(LOG_RESEAU[[#This Row],[Cell_ID]],Registre_Maintenance!A:E,5,FALSE),"Non trouvé")</f>
        <v>Non trouvé</v>
      </c>
      <c r="I1177" s="6" t="str">
        <f>IFERROR(VLOOKUP(LOG_RESEAU[[#This Row],[Cell_ID]],Registre_Maintenance!A:F,6,FALSE),"Non trouvé")</f>
        <v>Non trouvé</v>
      </c>
      <c r="J1177" s="6" t="str">
        <f t="shared" si="54"/>
        <v>Antenne inconnue</v>
      </c>
      <c r="K1177" s="6">
        <f t="shared" si="55"/>
        <v>4</v>
      </c>
      <c r="L1177" s="6">
        <f t="shared" si="56"/>
        <v>381</v>
      </c>
    </row>
    <row r="1178" spans="1:12" ht="15.75" x14ac:dyDescent="0.25">
      <c r="A1178" s="6" t="s">
        <v>1027</v>
      </c>
      <c r="B1178" s="7">
        <v>45220.091666666667</v>
      </c>
      <c r="C1178" s="6">
        <v>87</v>
      </c>
      <c r="D1178" s="6" t="s">
        <v>800</v>
      </c>
      <c r="E1178" s="8" t="str">
        <f>IFERROR(VLOOKUP(LOG_RESEAU[[#This Row],[Cell_ID]],Registre_Maintenance!A:B,2,FALSE),"Non trouvé")</f>
        <v>Non trouvé</v>
      </c>
      <c r="F1178" s="8" t="str">
        <f>IFERROR(VLOOKUP(LOG_RESEAU[[#This Row],[Cell_ID]],Registre_Maintenance!A:C,3,FALSE),"Non trouvé")</f>
        <v>Non trouvé</v>
      </c>
      <c r="G1178" s="8" t="str">
        <f>IFERROR(VLOOKUP(LOG_RESEAU[[#This Row],[Cell_ID]],Registre_Maintenance!A:D,4,FALSE),"Non trouvé")</f>
        <v>Non trouvé</v>
      </c>
      <c r="H1178" s="6" t="str">
        <f>IFERROR(VLOOKUP(LOG_RESEAU[[#This Row],[Cell_ID]],Registre_Maintenance!A:E,5,FALSE),"Non trouvé")</f>
        <v>Non trouvé</v>
      </c>
      <c r="I1178" s="6" t="str">
        <f>IFERROR(VLOOKUP(LOG_RESEAU[[#This Row],[Cell_ID]],Registre_Maintenance!A:F,6,FALSE),"Non trouvé")</f>
        <v>Non trouvé</v>
      </c>
      <c r="J1178" s="6" t="str">
        <f t="shared" si="54"/>
        <v>Antenne inconnue</v>
      </c>
      <c r="K1178" s="6">
        <f t="shared" si="55"/>
        <v>4</v>
      </c>
      <c r="L1178" s="6">
        <f t="shared" si="56"/>
        <v>381</v>
      </c>
    </row>
    <row r="1179" spans="1:12" ht="15.75" x14ac:dyDescent="0.25">
      <c r="A1179" s="6" t="s">
        <v>1027</v>
      </c>
      <c r="B1179" s="7">
        <v>45200.307638888888</v>
      </c>
      <c r="C1179" s="6">
        <v>114</v>
      </c>
      <c r="D1179" s="6" t="s">
        <v>800</v>
      </c>
      <c r="E1179" s="8" t="str">
        <f>IFERROR(VLOOKUP(LOG_RESEAU[[#This Row],[Cell_ID]],Registre_Maintenance!A:B,2,FALSE),"Non trouvé")</f>
        <v>Non trouvé</v>
      </c>
      <c r="F1179" s="8" t="str">
        <f>IFERROR(VLOOKUP(LOG_RESEAU[[#This Row],[Cell_ID]],Registre_Maintenance!A:C,3,FALSE),"Non trouvé")</f>
        <v>Non trouvé</v>
      </c>
      <c r="G1179" s="8" t="str">
        <f>IFERROR(VLOOKUP(LOG_RESEAU[[#This Row],[Cell_ID]],Registre_Maintenance!A:D,4,FALSE),"Non trouvé")</f>
        <v>Non trouvé</v>
      </c>
      <c r="H1179" s="6" t="str">
        <f>IFERROR(VLOOKUP(LOG_RESEAU[[#This Row],[Cell_ID]],Registre_Maintenance!A:E,5,FALSE),"Non trouvé")</f>
        <v>Non trouvé</v>
      </c>
      <c r="I1179" s="6" t="str">
        <f>IFERROR(VLOOKUP(LOG_RESEAU[[#This Row],[Cell_ID]],Registre_Maintenance!A:F,6,FALSE),"Non trouvé")</f>
        <v>Non trouvé</v>
      </c>
      <c r="J1179" s="6" t="str">
        <f t="shared" si="54"/>
        <v>Antenne inconnue</v>
      </c>
      <c r="K1179" s="6">
        <f t="shared" si="55"/>
        <v>4</v>
      </c>
      <c r="L1179" s="6">
        <f t="shared" si="56"/>
        <v>381</v>
      </c>
    </row>
    <row r="1180" spans="1:12" ht="15.75" x14ac:dyDescent="0.25">
      <c r="A1180" s="6" t="s">
        <v>1475</v>
      </c>
      <c r="B1180" s="7">
        <v>45202.443055555559</v>
      </c>
      <c r="C1180" s="6">
        <v>52</v>
      </c>
      <c r="D1180" s="6" t="s">
        <v>800</v>
      </c>
      <c r="E1180" s="8" t="str">
        <f>IFERROR(VLOOKUP(LOG_RESEAU[[#This Row],[Cell_ID]],Registre_Maintenance!A:B,2,FALSE),"Non trouvé")</f>
        <v>Non trouvé</v>
      </c>
      <c r="F1180" s="8" t="str">
        <f>IFERROR(VLOOKUP(LOG_RESEAU[[#This Row],[Cell_ID]],Registre_Maintenance!A:C,3,FALSE),"Non trouvé")</f>
        <v>Non trouvé</v>
      </c>
      <c r="G1180" s="8" t="str">
        <f>IFERROR(VLOOKUP(LOG_RESEAU[[#This Row],[Cell_ID]],Registre_Maintenance!A:D,4,FALSE),"Non trouvé")</f>
        <v>Non trouvé</v>
      </c>
      <c r="H1180" s="6" t="str">
        <f>IFERROR(VLOOKUP(LOG_RESEAU[[#This Row],[Cell_ID]],Registre_Maintenance!A:E,5,FALSE),"Non trouvé")</f>
        <v>Non trouvé</v>
      </c>
      <c r="I1180" s="6" t="str">
        <f>IFERROR(VLOOKUP(LOG_RESEAU[[#This Row],[Cell_ID]],Registre_Maintenance!A:F,6,FALSE),"Non trouvé")</f>
        <v>Non trouvé</v>
      </c>
      <c r="J1180" s="6" t="str">
        <f t="shared" si="54"/>
        <v>Antenne inconnue</v>
      </c>
      <c r="K1180" s="6">
        <f t="shared" si="55"/>
        <v>1</v>
      </c>
      <c r="L1180" s="6">
        <f t="shared" si="56"/>
        <v>52</v>
      </c>
    </row>
    <row r="1181" spans="1:12" ht="15.75" x14ac:dyDescent="0.25">
      <c r="A1181" s="6" t="s">
        <v>1370</v>
      </c>
      <c r="B1181" s="7">
        <v>45207.525000000001</v>
      </c>
      <c r="C1181" s="6">
        <v>83</v>
      </c>
      <c r="D1181" s="6" t="s">
        <v>794</v>
      </c>
      <c r="E1181" s="8" t="str">
        <f>IFERROR(VLOOKUP(LOG_RESEAU[[#This Row],[Cell_ID]],Registre_Maintenance!A:B,2,FALSE),"Non trouvé")</f>
        <v>Non trouvé</v>
      </c>
      <c r="F1181" s="8" t="str">
        <f>IFERROR(VLOOKUP(LOG_RESEAU[[#This Row],[Cell_ID]],Registre_Maintenance!A:C,3,FALSE),"Non trouvé")</f>
        <v>Non trouvé</v>
      </c>
      <c r="G1181" s="8" t="str">
        <f>IFERROR(VLOOKUP(LOG_RESEAU[[#This Row],[Cell_ID]],Registre_Maintenance!A:D,4,FALSE),"Non trouvé")</f>
        <v>Non trouvé</v>
      </c>
      <c r="H1181" s="6" t="str">
        <f>IFERROR(VLOOKUP(LOG_RESEAU[[#This Row],[Cell_ID]],Registre_Maintenance!A:E,5,FALSE),"Non trouvé")</f>
        <v>Non trouvé</v>
      </c>
      <c r="I1181" s="6" t="str">
        <f>IFERROR(VLOOKUP(LOG_RESEAU[[#This Row],[Cell_ID]],Registre_Maintenance!A:F,6,FALSE),"Non trouvé")</f>
        <v>Non trouvé</v>
      </c>
      <c r="J1181" s="6" t="str">
        <f t="shared" si="54"/>
        <v>Antenne inconnue</v>
      </c>
      <c r="K1181" s="6">
        <f t="shared" si="55"/>
        <v>1</v>
      </c>
      <c r="L1181" s="6">
        <f t="shared" si="56"/>
        <v>83</v>
      </c>
    </row>
    <row r="1182" spans="1:12" ht="15.75" x14ac:dyDescent="0.25">
      <c r="A1182" s="6" t="s">
        <v>1415</v>
      </c>
      <c r="B1182" s="7">
        <v>45230.577777777777</v>
      </c>
      <c r="C1182" s="6">
        <v>97</v>
      </c>
      <c r="D1182" s="6" t="s">
        <v>794</v>
      </c>
      <c r="E1182" s="8" t="str">
        <f>IFERROR(VLOOKUP(LOG_RESEAU[[#This Row],[Cell_ID]],Registre_Maintenance!A:B,2,FALSE),"Non trouvé")</f>
        <v>Non trouvé</v>
      </c>
      <c r="F1182" s="8" t="str">
        <f>IFERROR(VLOOKUP(LOG_RESEAU[[#This Row],[Cell_ID]],Registre_Maintenance!A:C,3,FALSE),"Non trouvé")</f>
        <v>Non trouvé</v>
      </c>
      <c r="G1182" s="8" t="str">
        <f>IFERROR(VLOOKUP(LOG_RESEAU[[#This Row],[Cell_ID]],Registre_Maintenance!A:D,4,FALSE),"Non trouvé")</f>
        <v>Non trouvé</v>
      </c>
      <c r="H1182" s="6" t="str">
        <f>IFERROR(VLOOKUP(LOG_RESEAU[[#This Row],[Cell_ID]],Registre_Maintenance!A:E,5,FALSE),"Non trouvé")</f>
        <v>Non trouvé</v>
      </c>
      <c r="I1182" s="6" t="str">
        <f>IFERROR(VLOOKUP(LOG_RESEAU[[#This Row],[Cell_ID]],Registre_Maintenance!A:F,6,FALSE),"Non trouvé")</f>
        <v>Non trouvé</v>
      </c>
      <c r="J1182" s="6" t="str">
        <f t="shared" si="54"/>
        <v>Antenne inconnue</v>
      </c>
      <c r="K1182" s="6">
        <f t="shared" si="55"/>
        <v>3</v>
      </c>
      <c r="L1182" s="6">
        <f t="shared" si="56"/>
        <v>267</v>
      </c>
    </row>
    <row r="1183" spans="1:12" ht="15.75" x14ac:dyDescent="0.25">
      <c r="A1183" s="6" t="s">
        <v>1415</v>
      </c>
      <c r="B1183" s="7">
        <v>45200.595138888893</v>
      </c>
      <c r="C1183" s="6">
        <v>69</v>
      </c>
      <c r="D1183" s="6" t="s">
        <v>792</v>
      </c>
      <c r="E1183" s="8" t="str">
        <f>IFERROR(VLOOKUP(LOG_RESEAU[[#This Row],[Cell_ID]],Registre_Maintenance!A:B,2,FALSE),"Non trouvé")</f>
        <v>Non trouvé</v>
      </c>
      <c r="F1183" s="8" t="str">
        <f>IFERROR(VLOOKUP(LOG_RESEAU[[#This Row],[Cell_ID]],Registre_Maintenance!A:C,3,FALSE),"Non trouvé")</f>
        <v>Non trouvé</v>
      </c>
      <c r="G1183" s="8" t="str">
        <f>IFERROR(VLOOKUP(LOG_RESEAU[[#This Row],[Cell_ID]],Registre_Maintenance!A:D,4,FALSE),"Non trouvé")</f>
        <v>Non trouvé</v>
      </c>
      <c r="H1183" s="6" t="str">
        <f>IFERROR(VLOOKUP(LOG_RESEAU[[#This Row],[Cell_ID]],Registre_Maintenance!A:E,5,FALSE),"Non trouvé")</f>
        <v>Non trouvé</v>
      </c>
      <c r="I1183" s="6" t="str">
        <f>IFERROR(VLOOKUP(LOG_RESEAU[[#This Row],[Cell_ID]],Registre_Maintenance!A:F,6,FALSE),"Non trouvé")</f>
        <v>Non trouvé</v>
      </c>
      <c r="J1183" s="6" t="str">
        <f t="shared" si="54"/>
        <v>Antenne inconnue</v>
      </c>
      <c r="K1183" s="6">
        <f t="shared" si="55"/>
        <v>3</v>
      </c>
      <c r="L1183" s="6">
        <f t="shared" si="56"/>
        <v>267</v>
      </c>
    </row>
    <row r="1184" spans="1:12" ht="15.75" x14ac:dyDescent="0.25">
      <c r="A1184" s="6" t="s">
        <v>1533</v>
      </c>
      <c r="B1184" s="7">
        <v>45228.720833333333</v>
      </c>
      <c r="C1184" s="6">
        <v>101</v>
      </c>
      <c r="D1184" s="6" t="s">
        <v>800</v>
      </c>
      <c r="E1184" s="8" t="str">
        <f>IFERROR(VLOOKUP(LOG_RESEAU[[#This Row],[Cell_ID]],Registre_Maintenance!A:B,2,FALSE),"Non trouvé")</f>
        <v>Non trouvé</v>
      </c>
      <c r="F1184" s="8" t="str">
        <f>IFERROR(VLOOKUP(LOG_RESEAU[[#This Row],[Cell_ID]],Registre_Maintenance!A:C,3,FALSE),"Non trouvé")</f>
        <v>Non trouvé</v>
      </c>
      <c r="G1184" s="8" t="str">
        <f>IFERROR(VLOOKUP(LOG_RESEAU[[#This Row],[Cell_ID]],Registre_Maintenance!A:D,4,FALSE),"Non trouvé")</f>
        <v>Non trouvé</v>
      </c>
      <c r="H1184" s="6" t="str">
        <f>IFERROR(VLOOKUP(LOG_RESEAU[[#This Row],[Cell_ID]],Registre_Maintenance!A:E,5,FALSE),"Non trouvé")</f>
        <v>Non trouvé</v>
      </c>
      <c r="I1184" s="6" t="str">
        <f>IFERROR(VLOOKUP(LOG_RESEAU[[#This Row],[Cell_ID]],Registre_Maintenance!A:F,6,FALSE),"Non trouvé")</f>
        <v>Non trouvé</v>
      </c>
      <c r="J1184" s="6" t="str">
        <f t="shared" si="54"/>
        <v>Antenne inconnue</v>
      </c>
      <c r="K1184" s="6">
        <f t="shared" si="55"/>
        <v>3</v>
      </c>
      <c r="L1184" s="6">
        <f t="shared" si="56"/>
        <v>267</v>
      </c>
    </row>
    <row r="1185" spans="1:12" ht="15.75" x14ac:dyDescent="0.25">
      <c r="A1185" s="6" t="s">
        <v>1393</v>
      </c>
      <c r="B1185" s="7">
        <v>45202.469444444447</v>
      </c>
      <c r="C1185" s="6">
        <v>78</v>
      </c>
      <c r="D1185" s="6" t="s">
        <v>794</v>
      </c>
      <c r="E1185" s="8" t="str">
        <f>IFERROR(VLOOKUP(LOG_RESEAU[[#This Row],[Cell_ID]],Registre_Maintenance!A:B,2,FALSE),"Non trouvé")</f>
        <v>Non trouvé</v>
      </c>
      <c r="F1185" s="8" t="str">
        <f>IFERROR(VLOOKUP(LOG_RESEAU[[#This Row],[Cell_ID]],Registre_Maintenance!A:C,3,FALSE),"Non trouvé")</f>
        <v>Non trouvé</v>
      </c>
      <c r="G1185" s="8" t="str">
        <f>IFERROR(VLOOKUP(LOG_RESEAU[[#This Row],[Cell_ID]],Registre_Maintenance!A:D,4,FALSE),"Non trouvé")</f>
        <v>Non trouvé</v>
      </c>
      <c r="H1185" s="6" t="str">
        <f>IFERROR(VLOOKUP(LOG_RESEAU[[#This Row],[Cell_ID]],Registre_Maintenance!A:E,5,FALSE),"Non trouvé")</f>
        <v>Non trouvé</v>
      </c>
      <c r="I1185" s="6" t="str">
        <f>IFERROR(VLOOKUP(LOG_RESEAU[[#This Row],[Cell_ID]],Registre_Maintenance!A:F,6,FALSE),"Non trouvé")</f>
        <v>Non trouvé</v>
      </c>
      <c r="J1185" s="6" t="str">
        <f t="shared" si="54"/>
        <v>Antenne inconnue</v>
      </c>
      <c r="K1185" s="6">
        <f t="shared" si="55"/>
        <v>1</v>
      </c>
      <c r="L1185" s="6">
        <f t="shared" si="56"/>
        <v>78</v>
      </c>
    </row>
    <row r="1186" spans="1:12" ht="15.75" x14ac:dyDescent="0.25">
      <c r="A1186" s="6" t="s">
        <v>1510</v>
      </c>
      <c r="B1186" s="7">
        <v>45213.770833333343</v>
      </c>
      <c r="C1186" s="6">
        <v>11</v>
      </c>
      <c r="D1186" s="6" t="s">
        <v>792</v>
      </c>
      <c r="E1186" s="8" t="str">
        <f>IFERROR(VLOOKUP(LOG_RESEAU[[#This Row],[Cell_ID]],Registre_Maintenance!A:B,2,FALSE),"Non trouvé")</f>
        <v>Non trouvé</v>
      </c>
      <c r="F1186" s="8" t="str">
        <f>IFERROR(VLOOKUP(LOG_RESEAU[[#This Row],[Cell_ID]],Registre_Maintenance!A:C,3,FALSE),"Non trouvé")</f>
        <v>Non trouvé</v>
      </c>
      <c r="G1186" s="8" t="str">
        <f>IFERROR(VLOOKUP(LOG_RESEAU[[#This Row],[Cell_ID]],Registre_Maintenance!A:D,4,FALSE),"Non trouvé")</f>
        <v>Non trouvé</v>
      </c>
      <c r="H1186" s="6" t="str">
        <f>IFERROR(VLOOKUP(LOG_RESEAU[[#This Row],[Cell_ID]],Registre_Maintenance!A:E,5,FALSE),"Non trouvé")</f>
        <v>Non trouvé</v>
      </c>
      <c r="I1186" s="6" t="str">
        <f>IFERROR(VLOOKUP(LOG_RESEAU[[#This Row],[Cell_ID]],Registre_Maintenance!A:F,6,FALSE),"Non trouvé")</f>
        <v>Non trouvé</v>
      </c>
      <c r="J1186" s="6" t="str">
        <f t="shared" si="54"/>
        <v>Antenne inconnue</v>
      </c>
      <c r="K1186" s="6">
        <f t="shared" si="55"/>
        <v>1</v>
      </c>
      <c r="L1186" s="6">
        <f t="shared" si="56"/>
        <v>11</v>
      </c>
    </row>
    <row r="1187" spans="1:12" ht="15.75" x14ac:dyDescent="0.25">
      <c r="A1187" s="6" t="s">
        <v>1141</v>
      </c>
      <c r="B1187" s="7">
        <v>45226.84375</v>
      </c>
      <c r="C1187" s="6">
        <v>48</v>
      </c>
      <c r="D1187" s="6" t="s">
        <v>794</v>
      </c>
      <c r="E1187" s="8" t="str">
        <f>IFERROR(VLOOKUP(LOG_RESEAU[[#This Row],[Cell_ID]],Registre_Maintenance!A:B,2,FALSE),"Non trouvé")</f>
        <v>Non trouvé</v>
      </c>
      <c r="F1187" s="8" t="str">
        <f>IFERROR(VLOOKUP(LOG_RESEAU[[#This Row],[Cell_ID]],Registre_Maintenance!A:C,3,FALSE),"Non trouvé")</f>
        <v>Non trouvé</v>
      </c>
      <c r="G1187" s="8" t="str">
        <f>IFERROR(VLOOKUP(LOG_RESEAU[[#This Row],[Cell_ID]],Registre_Maintenance!A:D,4,FALSE),"Non trouvé")</f>
        <v>Non trouvé</v>
      </c>
      <c r="H1187" s="6" t="str">
        <f>IFERROR(VLOOKUP(LOG_RESEAU[[#This Row],[Cell_ID]],Registre_Maintenance!A:E,5,FALSE),"Non trouvé")</f>
        <v>Non trouvé</v>
      </c>
      <c r="I1187" s="6" t="str">
        <f>IFERROR(VLOOKUP(LOG_RESEAU[[#This Row],[Cell_ID]],Registre_Maintenance!A:F,6,FALSE),"Non trouvé")</f>
        <v>Non trouvé</v>
      </c>
      <c r="J1187" s="6" t="str">
        <f t="shared" si="54"/>
        <v>Antenne inconnue</v>
      </c>
      <c r="K1187" s="6">
        <f t="shared" si="55"/>
        <v>1</v>
      </c>
      <c r="L1187" s="6">
        <f t="shared" si="56"/>
        <v>48</v>
      </c>
    </row>
    <row r="1188" spans="1:12" ht="15.75" x14ac:dyDescent="0.25">
      <c r="A1188" s="6" t="s">
        <v>1045</v>
      </c>
      <c r="B1188" s="7">
        <v>45202.290277777778</v>
      </c>
      <c r="C1188" s="6">
        <v>103</v>
      </c>
      <c r="D1188" s="6" t="s">
        <v>800</v>
      </c>
      <c r="E1188" s="8" t="str">
        <f>IFERROR(VLOOKUP(LOG_RESEAU[[#This Row],[Cell_ID]],Registre_Maintenance!A:B,2,FALSE),"Non trouvé")</f>
        <v>Equateur</v>
      </c>
      <c r="F1188" s="8">
        <f>IFERROR(VLOOKUP(LOG_RESEAU[[#This Row],[Cell_ID]],Registre_Maintenance!A:C,3,FALSE),"Non trouvé")</f>
        <v>4.9250049999999996</v>
      </c>
      <c r="G1188" s="8">
        <f>IFERROR(VLOOKUP(LOG_RESEAU[[#This Row],[Cell_ID]],Registre_Maintenance!A:D,4,FALSE),"Non trouvé")</f>
        <v>19.887931999999999</v>
      </c>
      <c r="H1188" s="6" t="str">
        <f>IFERROR(VLOOKUP(LOG_RESEAU[[#This Row],[Cell_ID]],Registre_Maintenance!A:E,5,FALSE),"Non trouvé")</f>
        <v>4G</v>
      </c>
      <c r="I1188" s="6" t="str">
        <f>IFERROR(VLOOKUP(LOG_RESEAU[[#This Row],[Cell_ID]],Registre_Maintenance!A:F,6,FALSE),"Non trouvé")</f>
        <v>Huawei</v>
      </c>
      <c r="J1188" s="6" t="str">
        <f t="shared" si="54"/>
        <v>OK</v>
      </c>
      <c r="K1188" s="6">
        <f t="shared" si="55"/>
        <v>1</v>
      </c>
      <c r="L1188" s="6">
        <f t="shared" si="56"/>
        <v>103</v>
      </c>
    </row>
    <row r="1189" spans="1:12" ht="15.75" x14ac:dyDescent="0.25">
      <c r="A1189" s="6" t="s">
        <v>1081</v>
      </c>
      <c r="B1189" s="7">
        <v>45214.816666666673</v>
      </c>
      <c r="C1189" s="6">
        <v>92</v>
      </c>
      <c r="D1189" s="6" t="s">
        <v>792</v>
      </c>
      <c r="E1189" s="8" t="str">
        <f>IFERROR(VLOOKUP(LOG_RESEAU[[#This Row],[Cell_ID]],Registre_Maintenance!A:B,2,FALSE),"Non trouvé")</f>
        <v>Non trouvé</v>
      </c>
      <c r="F1189" s="8" t="str">
        <f>IFERROR(VLOOKUP(LOG_RESEAU[[#This Row],[Cell_ID]],Registre_Maintenance!A:C,3,FALSE),"Non trouvé")</f>
        <v>Non trouvé</v>
      </c>
      <c r="G1189" s="8" t="str">
        <f>IFERROR(VLOOKUP(LOG_RESEAU[[#This Row],[Cell_ID]],Registre_Maintenance!A:D,4,FALSE),"Non trouvé")</f>
        <v>Non trouvé</v>
      </c>
      <c r="H1189" s="6" t="str">
        <f>IFERROR(VLOOKUP(LOG_RESEAU[[#This Row],[Cell_ID]],Registre_Maintenance!A:E,5,FALSE),"Non trouvé")</f>
        <v>Non trouvé</v>
      </c>
      <c r="I1189" s="6" t="str">
        <f>IFERROR(VLOOKUP(LOG_RESEAU[[#This Row],[Cell_ID]],Registre_Maintenance!A:F,6,FALSE),"Non trouvé")</f>
        <v>Non trouvé</v>
      </c>
      <c r="J1189" s="6" t="str">
        <f t="shared" si="54"/>
        <v>Antenne inconnue</v>
      </c>
      <c r="K1189" s="6">
        <f t="shared" si="55"/>
        <v>2</v>
      </c>
      <c r="L1189" s="6">
        <f t="shared" si="56"/>
        <v>207</v>
      </c>
    </row>
    <row r="1190" spans="1:12" ht="15.75" x14ac:dyDescent="0.25">
      <c r="A1190" s="6" t="s">
        <v>1081</v>
      </c>
      <c r="B1190" s="7">
        <v>45209.81527777778</v>
      </c>
      <c r="C1190" s="6">
        <v>115</v>
      </c>
      <c r="D1190" s="6" t="s">
        <v>792</v>
      </c>
      <c r="E1190" s="8" t="str">
        <f>IFERROR(VLOOKUP(LOG_RESEAU[[#This Row],[Cell_ID]],Registre_Maintenance!A:B,2,FALSE),"Non trouvé")</f>
        <v>Non trouvé</v>
      </c>
      <c r="F1190" s="8" t="str">
        <f>IFERROR(VLOOKUP(LOG_RESEAU[[#This Row],[Cell_ID]],Registre_Maintenance!A:C,3,FALSE),"Non trouvé")</f>
        <v>Non trouvé</v>
      </c>
      <c r="G1190" s="8" t="str">
        <f>IFERROR(VLOOKUP(LOG_RESEAU[[#This Row],[Cell_ID]],Registre_Maintenance!A:D,4,FALSE),"Non trouvé")</f>
        <v>Non trouvé</v>
      </c>
      <c r="H1190" s="6" t="str">
        <f>IFERROR(VLOOKUP(LOG_RESEAU[[#This Row],[Cell_ID]],Registre_Maintenance!A:E,5,FALSE),"Non trouvé")</f>
        <v>Non trouvé</v>
      </c>
      <c r="I1190" s="6" t="str">
        <f>IFERROR(VLOOKUP(LOG_RESEAU[[#This Row],[Cell_ID]],Registre_Maintenance!A:F,6,FALSE),"Non trouvé")</f>
        <v>Non trouvé</v>
      </c>
      <c r="J1190" s="6" t="str">
        <f t="shared" si="54"/>
        <v>Antenne inconnue</v>
      </c>
      <c r="K1190" s="6">
        <f t="shared" si="55"/>
        <v>2</v>
      </c>
      <c r="L1190" s="6">
        <f t="shared" si="56"/>
        <v>207</v>
      </c>
    </row>
    <row r="1191" spans="1:12" ht="15.75" x14ac:dyDescent="0.25">
      <c r="A1191" s="6" t="s">
        <v>1187</v>
      </c>
      <c r="B1191" s="7">
        <v>45223.18472222222</v>
      </c>
      <c r="C1191" s="6">
        <v>42</v>
      </c>
      <c r="D1191" s="6" t="s">
        <v>800</v>
      </c>
      <c r="E1191" s="8" t="str">
        <f>IFERROR(VLOOKUP(LOG_RESEAU[[#This Row],[Cell_ID]],Registre_Maintenance!A:B,2,FALSE),"Non trouvé")</f>
        <v>Non trouvé</v>
      </c>
      <c r="F1191" s="8" t="str">
        <f>IFERROR(VLOOKUP(LOG_RESEAU[[#This Row],[Cell_ID]],Registre_Maintenance!A:C,3,FALSE),"Non trouvé")</f>
        <v>Non trouvé</v>
      </c>
      <c r="G1191" s="8" t="str">
        <f>IFERROR(VLOOKUP(LOG_RESEAU[[#This Row],[Cell_ID]],Registre_Maintenance!A:D,4,FALSE),"Non trouvé")</f>
        <v>Non trouvé</v>
      </c>
      <c r="H1191" s="6" t="str">
        <f>IFERROR(VLOOKUP(LOG_RESEAU[[#This Row],[Cell_ID]],Registre_Maintenance!A:E,5,FALSE),"Non trouvé")</f>
        <v>Non trouvé</v>
      </c>
      <c r="I1191" s="6" t="str">
        <f>IFERROR(VLOOKUP(LOG_RESEAU[[#This Row],[Cell_ID]],Registre_Maintenance!A:F,6,FALSE),"Non trouvé")</f>
        <v>Non trouvé</v>
      </c>
      <c r="J1191" s="6" t="str">
        <f t="shared" si="54"/>
        <v>Antenne inconnue</v>
      </c>
      <c r="K1191" s="6">
        <f t="shared" si="55"/>
        <v>2</v>
      </c>
      <c r="L1191" s="6">
        <f t="shared" si="56"/>
        <v>54</v>
      </c>
    </row>
    <row r="1192" spans="1:12" ht="15.75" x14ac:dyDescent="0.25">
      <c r="A1192" s="6" t="s">
        <v>1187</v>
      </c>
      <c r="B1192" s="7">
        <v>45207.845833333333</v>
      </c>
      <c r="C1192" s="6">
        <v>12</v>
      </c>
      <c r="D1192" s="6" t="s">
        <v>792</v>
      </c>
      <c r="E1192" s="8" t="str">
        <f>IFERROR(VLOOKUP(LOG_RESEAU[[#This Row],[Cell_ID]],Registre_Maintenance!A:B,2,FALSE),"Non trouvé")</f>
        <v>Non trouvé</v>
      </c>
      <c r="F1192" s="8" t="str">
        <f>IFERROR(VLOOKUP(LOG_RESEAU[[#This Row],[Cell_ID]],Registre_Maintenance!A:C,3,FALSE),"Non trouvé")</f>
        <v>Non trouvé</v>
      </c>
      <c r="G1192" s="8" t="str">
        <f>IFERROR(VLOOKUP(LOG_RESEAU[[#This Row],[Cell_ID]],Registre_Maintenance!A:D,4,FALSE),"Non trouvé")</f>
        <v>Non trouvé</v>
      </c>
      <c r="H1192" s="6" t="str">
        <f>IFERROR(VLOOKUP(LOG_RESEAU[[#This Row],[Cell_ID]],Registre_Maintenance!A:E,5,FALSE),"Non trouvé")</f>
        <v>Non trouvé</v>
      </c>
      <c r="I1192" s="6" t="str">
        <f>IFERROR(VLOOKUP(LOG_RESEAU[[#This Row],[Cell_ID]],Registre_Maintenance!A:F,6,FALSE),"Non trouvé")</f>
        <v>Non trouvé</v>
      </c>
      <c r="J1192" s="6" t="str">
        <f t="shared" si="54"/>
        <v>Antenne inconnue</v>
      </c>
      <c r="K1192" s="6">
        <f t="shared" si="55"/>
        <v>2</v>
      </c>
      <c r="L1192" s="6">
        <f t="shared" si="56"/>
        <v>54</v>
      </c>
    </row>
    <row r="1193" spans="1:12" ht="15.75" x14ac:dyDescent="0.25">
      <c r="A1193" s="6" t="s">
        <v>1240</v>
      </c>
      <c r="B1193" s="7">
        <v>45214.893750000003</v>
      </c>
      <c r="C1193" s="6">
        <v>60</v>
      </c>
      <c r="D1193" s="6" t="s">
        <v>800</v>
      </c>
      <c r="E1193" s="8" t="str">
        <f>IFERROR(VLOOKUP(LOG_RESEAU[[#This Row],[Cell_ID]],Registre_Maintenance!A:B,2,FALSE),"Non trouvé")</f>
        <v>Non trouvé</v>
      </c>
      <c r="F1193" s="8" t="str">
        <f>IFERROR(VLOOKUP(LOG_RESEAU[[#This Row],[Cell_ID]],Registre_Maintenance!A:C,3,FALSE),"Non trouvé")</f>
        <v>Non trouvé</v>
      </c>
      <c r="G1193" s="8" t="str">
        <f>IFERROR(VLOOKUP(LOG_RESEAU[[#This Row],[Cell_ID]],Registre_Maintenance!A:D,4,FALSE),"Non trouvé")</f>
        <v>Non trouvé</v>
      </c>
      <c r="H1193" s="6" t="str">
        <f>IFERROR(VLOOKUP(LOG_RESEAU[[#This Row],[Cell_ID]],Registre_Maintenance!A:E,5,FALSE),"Non trouvé")</f>
        <v>Non trouvé</v>
      </c>
      <c r="I1193" s="6" t="str">
        <f>IFERROR(VLOOKUP(LOG_RESEAU[[#This Row],[Cell_ID]],Registre_Maintenance!A:F,6,FALSE),"Non trouvé")</f>
        <v>Non trouvé</v>
      </c>
      <c r="J1193" s="6" t="str">
        <f t="shared" si="54"/>
        <v>Antenne inconnue</v>
      </c>
      <c r="K1193" s="6">
        <f t="shared" si="55"/>
        <v>1</v>
      </c>
      <c r="L1193" s="6">
        <f t="shared" si="56"/>
        <v>60</v>
      </c>
    </row>
    <row r="1194" spans="1:12" ht="15.75" x14ac:dyDescent="0.25">
      <c r="A1194" s="6" t="s">
        <v>1303</v>
      </c>
      <c r="B1194" s="7">
        <v>45230.185416666667</v>
      </c>
      <c r="C1194" s="6">
        <v>31</v>
      </c>
      <c r="D1194" s="6" t="s">
        <v>800</v>
      </c>
      <c r="E1194" s="8" t="str">
        <f>IFERROR(VLOOKUP(LOG_RESEAU[[#This Row],[Cell_ID]],Registre_Maintenance!A:B,2,FALSE),"Non trouvé")</f>
        <v>Non trouvé</v>
      </c>
      <c r="F1194" s="8" t="str">
        <f>IFERROR(VLOOKUP(LOG_RESEAU[[#This Row],[Cell_ID]],Registre_Maintenance!A:C,3,FALSE),"Non trouvé")</f>
        <v>Non trouvé</v>
      </c>
      <c r="G1194" s="8" t="str">
        <f>IFERROR(VLOOKUP(LOG_RESEAU[[#This Row],[Cell_ID]],Registre_Maintenance!A:D,4,FALSE),"Non trouvé")</f>
        <v>Non trouvé</v>
      </c>
      <c r="H1194" s="6" t="str">
        <f>IFERROR(VLOOKUP(LOG_RESEAU[[#This Row],[Cell_ID]],Registre_Maintenance!A:E,5,FALSE),"Non trouvé")</f>
        <v>Non trouvé</v>
      </c>
      <c r="I1194" s="6" t="str">
        <f>IFERROR(VLOOKUP(LOG_RESEAU[[#This Row],[Cell_ID]],Registre_Maintenance!A:F,6,FALSE),"Non trouvé")</f>
        <v>Non trouvé</v>
      </c>
      <c r="J1194" s="6" t="str">
        <f t="shared" si="54"/>
        <v>Antenne inconnue</v>
      </c>
      <c r="K1194" s="6">
        <f t="shared" si="55"/>
        <v>1</v>
      </c>
      <c r="L1194" s="6">
        <f t="shared" si="56"/>
        <v>31</v>
      </c>
    </row>
    <row r="1195" spans="1:12" ht="15.75" x14ac:dyDescent="0.25">
      <c r="A1195" s="6" t="s">
        <v>1084</v>
      </c>
      <c r="B1195" s="7">
        <v>45218.334722222222</v>
      </c>
      <c r="C1195" s="6">
        <v>85</v>
      </c>
      <c r="D1195" s="6" t="s">
        <v>792</v>
      </c>
      <c r="E1195" s="8" t="str">
        <f>IFERROR(VLOOKUP(LOG_RESEAU[[#This Row],[Cell_ID]],Registre_Maintenance!A:B,2,FALSE),"Non trouvé")</f>
        <v>Non trouvé</v>
      </c>
      <c r="F1195" s="8" t="str">
        <f>IFERROR(VLOOKUP(LOG_RESEAU[[#This Row],[Cell_ID]],Registre_Maintenance!A:C,3,FALSE),"Non trouvé")</f>
        <v>Non trouvé</v>
      </c>
      <c r="G1195" s="8" t="str">
        <f>IFERROR(VLOOKUP(LOG_RESEAU[[#This Row],[Cell_ID]],Registre_Maintenance!A:D,4,FALSE),"Non trouvé")</f>
        <v>Non trouvé</v>
      </c>
      <c r="H1195" s="6" t="str">
        <f>IFERROR(VLOOKUP(LOG_RESEAU[[#This Row],[Cell_ID]],Registre_Maintenance!A:E,5,FALSE),"Non trouvé")</f>
        <v>Non trouvé</v>
      </c>
      <c r="I1195" s="6" t="str">
        <f>IFERROR(VLOOKUP(LOG_RESEAU[[#This Row],[Cell_ID]],Registre_Maintenance!A:F,6,FALSE),"Non trouvé")</f>
        <v>Non trouvé</v>
      </c>
      <c r="J1195" s="6" t="str">
        <f t="shared" si="54"/>
        <v>Antenne inconnue</v>
      </c>
      <c r="K1195" s="6">
        <f t="shared" si="55"/>
        <v>2</v>
      </c>
      <c r="L1195" s="6">
        <f t="shared" si="56"/>
        <v>121</v>
      </c>
    </row>
    <row r="1196" spans="1:12" ht="15.75" x14ac:dyDescent="0.25">
      <c r="A1196" s="6" t="s">
        <v>1084</v>
      </c>
      <c r="B1196" s="7">
        <v>45225.129166666673</v>
      </c>
      <c r="C1196" s="6">
        <v>36</v>
      </c>
      <c r="D1196" s="6" t="s">
        <v>792</v>
      </c>
      <c r="E1196" s="8" t="str">
        <f>IFERROR(VLOOKUP(LOG_RESEAU[[#This Row],[Cell_ID]],Registre_Maintenance!A:B,2,FALSE),"Non trouvé")</f>
        <v>Non trouvé</v>
      </c>
      <c r="F1196" s="8" t="str">
        <f>IFERROR(VLOOKUP(LOG_RESEAU[[#This Row],[Cell_ID]],Registre_Maintenance!A:C,3,FALSE),"Non trouvé")</f>
        <v>Non trouvé</v>
      </c>
      <c r="G1196" s="8" t="str">
        <f>IFERROR(VLOOKUP(LOG_RESEAU[[#This Row],[Cell_ID]],Registre_Maintenance!A:D,4,FALSE),"Non trouvé")</f>
        <v>Non trouvé</v>
      </c>
      <c r="H1196" s="6" t="str">
        <f>IFERROR(VLOOKUP(LOG_RESEAU[[#This Row],[Cell_ID]],Registre_Maintenance!A:E,5,FALSE),"Non trouvé")</f>
        <v>Non trouvé</v>
      </c>
      <c r="I1196" s="6" t="str">
        <f>IFERROR(VLOOKUP(LOG_RESEAU[[#This Row],[Cell_ID]],Registre_Maintenance!A:F,6,FALSE),"Non trouvé")</f>
        <v>Non trouvé</v>
      </c>
      <c r="J1196" s="6" t="str">
        <f t="shared" si="54"/>
        <v>Antenne inconnue</v>
      </c>
      <c r="K1196" s="6">
        <f t="shared" si="55"/>
        <v>2</v>
      </c>
      <c r="L1196" s="6">
        <f t="shared" si="56"/>
        <v>121</v>
      </c>
    </row>
    <row r="1197" spans="1:12" ht="15.75" x14ac:dyDescent="0.25">
      <c r="A1197" s="6" t="s">
        <v>1449</v>
      </c>
      <c r="B1197" s="7">
        <v>45230.537499999999</v>
      </c>
      <c r="C1197" s="6">
        <v>33</v>
      </c>
      <c r="D1197" s="6" t="s">
        <v>800</v>
      </c>
      <c r="E1197" s="8" t="str">
        <f>IFERROR(VLOOKUP(LOG_RESEAU[[#This Row],[Cell_ID]],Registre_Maintenance!A:B,2,FALSE),"Non trouvé")</f>
        <v>Non trouvé</v>
      </c>
      <c r="F1197" s="8" t="str">
        <f>IFERROR(VLOOKUP(LOG_RESEAU[[#This Row],[Cell_ID]],Registre_Maintenance!A:C,3,FALSE),"Non trouvé")</f>
        <v>Non trouvé</v>
      </c>
      <c r="G1197" s="8" t="str">
        <f>IFERROR(VLOOKUP(LOG_RESEAU[[#This Row],[Cell_ID]],Registre_Maintenance!A:D,4,FALSE),"Non trouvé")</f>
        <v>Non trouvé</v>
      </c>
      <c r="H1197" s="6" t="str">
        <f>IFERROR(VLOOKUP(LOG_RESEAU[[#This Row],[Cell_ID]],Registre_Maintenance!A:E,5,FALSE),"Non trouvé")</f>
        <v>Non trouvé</v>
      </c>
      <c r="I1197" s="6" t="str">
        <f>IFERROR(VLOOKUP(LOG_RESEAU[[#This Row],[Cell_ID]],Registre_Maintenance!A:F,6,FALSE),"Non trouvé")</f>
        <v>Non trouvé</v>
      </c>
      <c r="J1197" s="6" t="str">
        <f t="shared" si="54"/>
        <v>Antenne inconnue</v>
      </c>
      <c r="K1197" s="6">
        <f t="shared" si="55"/>
        <v>2</v>
      </c>
      <c r="L1197" s="6">
        <f t="shared" si="56"/>
        <v>75</v>
      </c>
    </row>
    <row r="1198" spans="1:12" ht="15.75" x14ac:dyDescent="0.25">
      <c r="A1198" s="6" t="s">
        <v>1449</v>
      </c>
      <c r="B1198" s="7">
        <v>45225.384027777778</v>
      </c>
      <c r="C1198" s="6">
        <v>42</v>
      </c>
      <c r="D1198" s="6" t="s">
        <v>794</v>
      </c>
      <c r="E1198" s="8" t="str">
        <f>IFERROR(VLOOKUP(LOG_RESEAU[[#This Row],[Cell_ID]],Registre_Maintenance!A:B,2,FALSE),"Non trouvé")</f>
        <v>Non trouvé</v>
      </c>
      <c r="F1198" s="8" t="str">
        <f>IFERROR(VLOOKUP(LOG_RESEAU[[#This Row],[Cell_ID]],Registre_Maintenance!A:C,3,FALSE),"Non trouvé")</f>
        <v>Non trouvé</v>
      </c>
      <c r="G1198" s="8" t="str">
        <f>IFERROR(VLOOKUP(LOG_RESEAU[[#This Row],[Cell_ID]],Registre_Maintenance!A:D,4,FALSE),"Non trouvé")</f>
        <v>Non trouvé</v>
      </c>
      <c r="H1198" s="6" t="str">
        <f>IFERROR(VLOOKUP(LOG_RESEAU[[#This Row],[Cell_ID]],Registre_Maintenance!A:E,5,FALSE),"Non trouvé")</f>
        <v>Non trouvé</v>
      </c>
      <c r="I1198" s="6" t="str">
        <f>IFERROR(VLOOKUP(LOG_RESEAU[[#This Row],[Cell_ID]],Registre_Maintenance!A:F,6,FALSE),"Non trouvé")</f>
        <v>Non trouvé</v>
      </c>
      <c r="J1198" s="6" t="str">
        <f t="shared" si="54"/>
        <v>Antenne inconnue</v>
      </c>
      <c r="K1198" s="6">
        <f t="shared" si="55"/>
        <v>2</v>
      </c>
      <c r="L1198" s="6">
        <f t="shared" si="56"/>
        <v>75</v>
      </c>
    </row>
    <row r="1199" spans="1:12" ht="15.75" x14ac:dyDescent="0.25">
      <c r="A1199" s="6" t="s">
        <v>1326</v>
      </c>
      <c r="B1199" s="7">
        <v>45216.513888888891</v>
      </c>
      <c r="C1199" s="6">
        <v>73</v>
      </c>
      <c r="D1199" s="6" t="s">
        <v>800</v>
      </c>
      <c r="E1199" s="8" t="str">
        <f>IFERROR(VLOOKUP(LOG_RESEAU[[#This Row],[Cell_ID]],Registre_Maintenance!A:B,2,FALSE),"Non trouvé")</f>
        <v>Non trouvé</v>
      </c>
      <c r="F1199" s="8" t="str">
        <f>IFERROR(VLOOKUP(LOG_RESEAU[[#This Row],[Cell_ID]],Registre_Maintenance!A:C,3,FALSE),"Non trouvé")</f>
        <v>Non trouvé</v>
      </c>
      <c r="G1199" s="8" t="str">
        <f>IFERROR(VLOOKUP(LOG_RESEAU[[#This Row],[Cell_ID]],Registre_Maintenance!A:D,4,FALSE),"Non trouvé")</f>
        <v>Non trouvé</v>
      </c>
      <c r="H1199" s="6" t="str">
        <f>IFERROR(VLOOKUP(LOG_RESEAU[[#This Row],[Cell_ID]],Registre_Maintenance!A:E,5,FALSE),"Non trouvé")</f>
        <v>Non trouvé</v>
      </c>
      <c r="I1199" s="6" t="str">
        <f>IFERROR(VLOOKUP(LOG_RESEAU[[#This Row],[Cell_ID]],Registre_Maintenance!A:F,6,FALSE),"Non trouvé")</f>
        <v>Non trouvé</v>
      </c>
      <c r="J1199" s="6" t="str">
        <f t="shared" si="54"/>
        <v>Antenne inconnue</v>
      </c>
      <c r="K1199" s="6">
        <f t="shared" si="55"/>
        <v>1</v>
      </c>
      <c r="L1199" s="6">
        <f t="shared" si="56"/>
        <v>73</v>
      </c>
    </row>
    <row r="1200" spans="1:12" ht="15.75" x14ac:dyDescent="0.25">
      <c r="A1200" s="6" t="s">
        <v>1214</v>
      </c>
      <c r="B1200" s="7">
        <v>45222.467361111107</v>
      </c>
      <c r="C1200" s="6">
        <v>104</v>
      </c>
      <c r="D1200" s="6" t="s">
        <v>792</v>
      </c>
      <c r="E1200" s="8" t="str">
        <f>IFERROR(VLOOKUP(LOG_RESEAU[[#This Row],[Cell_ID]],Registre_Maintenance!A:B,2,FALSE),"Non trouvé")</f>
        <v>Non trouvé</v>
      </c>
      <c r="F1200" s="8" t="str">
        <f>IFERROR(VLOOKUP(LOG_RESEAU[[#This Row],[Cell_ID]],Registre_Maintenance!A:C,3,FALSE),"Non trouvé")</f>
        <v>Non trouvé</v>
      </c>
      <c r="G1200" s="8" t="str">
        <f>IFERROR(VLOOKUP(LOG_RESEAU[[#This Row],[Cell_ID]],Registre_Maintenance!A:D,4,FALSE),"Non trouvé")</f>
        <v>Non trouvé</v>
      </c>
      <c r="H1200" s="6" t="str">
        <f>IFERROR(VLOOKUP(LOG_RESEAU[[#This Row],[Cell_ID]],Registre_Maintenance!A:E,5,FALSE),"Non trouvé")</f>
        <v>Non trouvé</v>
      </c>
      <c r="I1200" s="6" t="str">
        <f>IFERROR(VLOOKUP(LOG_RESEAU[[#This Row],[Cell_ID]],Registre_Maintenance!A:F,6,FALSE),"Non trouvé")</f>
        <v>Non trouvé</v>
      </c>
      <c r="J1200" s="6" t="str">
        <f t="shared" si="54"/>
        <v>Antenne inconnue</v>
      </c>
      <c r="K1200" s="6">
        <f t="shared" si="55"/>
        <v>1</v>
      </c>
      <c r="L1200" s="6">
        <f t="shared" si="56"/>
        <v>104</v>
      </c>
    </row>
    <row r="1201" spans="1:12" ht="15.75" x14ac:dyDescent="0.25">
      <c r="A1201" s="6" t="s">
        <v>1531</v>
      </c>
      <c r="B1201" s="7">
        <v>45221.498611111107</v>
      </c>
      <c r="C1201" s="6">
        <v>116</v>
      </c>
      <c r="D1201" s="6" t="s">
        <v>800</v>
      </c>
      <c r="E1201" s="8" t="str">
        <f>IFERROR(VLOOKUP(LOG_RESEAU[[#This Row],[Cell_ID]],Registre_Maintenance!A:B,2,FALSE),"Non trouvé")</f>
        <v>Non trouvé</v>
      </c>
      <c r="F1201" s="8" t="str">
        <f>IFERROR(VLOOKUP(LOG_RESEAU[[#This Row],[Cell_ID]],Registre_Maintenance!A:C,3,FALSE),"Non trouvé")</f>
        <v>Non trouvé</v>
      </c>
      <c r="G1201" s="8" t="str">
        <f>IFERROR(VLOOKUP(LOG_RESEAU[[#This Row],[Cell_ID]],Registre_Maintenance!A:D,4,FALSE),"Non trouvé")</f>
        <v>Non trouvé</v>
      </c>
      <c r="H1201" s="6" t="str">
        <f>IFERROR(VLOOKUP(LOG_RESEAU[[#This Row],[Cell_ID]],Registre_Maintenance!A:E,5,FALSE),"Non trouvé")</f>
        <v>Non trouvé</v>
      </c>
      <c r="I1201" s="6" t="str">
        <f>IFERROR(VLOOKUP(LOG_RESEAU[[#This Row],[Cell_ID]],Registre_Maintenance!A:F,6,FALSE),"Non trouvé")</f>
        <v>Non trouvé</v>
      </c>
      <c r="J1201" s="6" t="str">
        <f t="shared" si="54"/>
        <v>Antenne inconnue</v>
      </c>
      <c r="K1201" s="6">
        <f t="shared" si="55"/>
        <v>1</v>
      </c>
      <c r="L1201" s="6">
        <f t="shared" si="56"/>
        <v>116</v>
      </c>
    </row>
    <row r="1202" spans="1:12" ht="15.75" x14ac:dyDescent="0.25">
      <c r="A1202" s="6" t="s">
        <v>1039</v>
      </c>
      <c r="B1202" s="7">
        <v>45221.836111111108</v>
      </c>
      <c r="C1202" s="6">
        <v>6</v>
      </c>
      <c r="D1202" s="6" t="s">
        <v>792</v>
      </c>
      <c r="E1202" s="8" t="str">
        <f>IFERROR(VLOOKUP(LOG_RESEAU[[#This Row],[Cell_ID]],Registre_Maintenance!A:B,2,FALSE),"Non trouvé")</f>
        <v>Kasai</v>
      </c>
      <c r="F1202" s="8">
        <f>IFERROR(VLOOKUP(LOG_RESEAU[[#This Row],[Cell_ID]],Registre_Maintenance!A:C,3,FALSE),"Non trouvé")</f>
        <v>-4.9789079999999997</v>
      </c>
      <c r="G1202" s="8">
        <f>IFERROR(VLOOKUP(LOG_RESEAU[[#This Row],[Cell_ID]],Registre_Maintenance!A:D,4,FALSE),"Non trouvé")</f>
        <v>28.506295000000001</v>
      </c>
      <c r="H1202" s="6" t="str">
        <f>IFERROR(VLOOKUP(LOG_RESEAU[[#This Row],[Cell_ID]],Registre_Maintenance!A:E,5,FALSE),"Non trouvé")</f>
        <v>4G</v>
      </c>
      <c r="I1202" s="6" t="str">
        <f>IFERROR(VLOOKUP(LOG_RESEAU[[#This Row],[Cell_ID]],Registre_Maintenance!A:F,6,FALSE),"Non trouvé")</f>
        <v>Huawei</v>
      </c>
      <c r="J1202" s="6" t="str">
        <f t="shared" si="54"/>
        <v>OK</v>
      </c>
      <c r="K1202" s="6">
        <f t="shared" si="55"/>
        <v>2</v>
      </c>
      <c r="L1202" s="6">
        <f t="shared" si="56"/>
        <v>108</v>
      </c>
    </row>
    <row r="1203" spans="1:12" ht="15.75" x14ac:dyDescent="0.25">
      <c r="A1203" s="6" t="s">
        <v>1039</v>
      </c>
      <c r="B1203" s="7">
        <v>45205.052777777782</v>
      </c>
      <c r="C1203" s="6">
        <v>102</v>
      </c>
      <c r="D1203" s="6" t="s">
        <v>800</v>
      </c>
      <c r="E1203" s="8" t="str">
        <f>IFERROR(VLOOKUP(LOG_RESEAU[[#This Row],[Cell_ID]],Registre_Maintenance!A:B,2,FALSE),"Non trouvé")</f>
        <v>Kasai</v>
      </c>
      <c r="F1203" s="8">
        <f>IFERROR(VLOOKUP(LOG_RESEAU[[#This Row],[Cell_ID]],Registre_Maintenance!A:C,3,FALSE),"Non trouvé")</f>
        <v>-4.9789079999999997</v>
      </c>
      <c r="G1203" s="8">
        <f>IFERROR(VLOOKUP(LOG_RESEAU[[#This Row],[Cell_ID]],Registre_Maintenance!A:D,4,FALSE),"Non trouvé")</f>
        <v>28.506295000000001</v>
      </c>
      <c r="H1203" s="6" t="str">
        <f>IFERROR(VLOOKUP(LOG_RESEAU[[#This Row],[Cell_ID]],Registre_Maintenance!A:E,5,FALSE),"Non trouvé")</f>
        <v>4G</v>
      </c>
      <c r="I1203" s="6" t="str">
        <f>IFERROR(VLOOKUP(LOG_RESEAU[[#This Row],[Cell_ID]],Registre_Maintenance!A:F,6,FALSE),"Non trouvé")</f>
        <v>Huawei</v>
      </c>
      <c r="J1203" s="6" t="str">
        <f t="shared" si="54"/>
        <v>OK</v>
      </c>
      <c r="K1203" s="6">
        <f t="shared" si="55"/>
        <v>2</v>
      </c>
      <c r="L1203" s="6">
        <f t="shared" si="56"/>
        <v>108</v>
      </c>
    </row>
    <row r="1204" spans="1:12" ht="15.75" x14ac:dyDescent="0.25">
      <c r="A1204" s="6" t="s">
        <v>1219</v>
      </c>
      <c r="B1204" s="7">
        <v>45204.759027777778</v>
      </c>
      <c r="C1204" s="6">
        <v>105</v>
      </c>
      <c r="D1204" s="6" t="s">
        <v>792</v>
      </c>
      <c r="E1204" s="8" t="str">
        <f>IFERROR(VLOOKUP(LOG_RESEAU[[#This Row],[Cell_ID]],Registre_Maintenance!A:B,2,FALSE),"Non trouvé")</f>
        <v>Non trouvé</v>
      </c>
      <c r="F1204" s="8" t="str">
        <f>IFERROR(VLOOKUP(LOG_RESEAU[[#This Row],[Cell_ID]],Registre_Maintenance!A:C,3,FALSE),"Non trouvé")</f>
        <v>Non trouvé</v>
      </c>
      <c r="G1204" s="8" t="str">
        <f>IFERROR(VLOOKUP(LOG_RESEAU[[#This Row],[Cell_ID]],Registre_Maintenance!A:D,4,FALSE),"Non trouvé")</f>
        <v>Non trouvé</v>
      </c>
      <c r="H1204" s="6" t="str">
        <f>IFERROR(VLOOKUP(LOG_RESEAU[[#This Row],[Cell_ID]],Registre_Maintenance!A:E,5,FALSE),"Non trouvé")</f>
        <v>Non trouvé</v>
      </c>
      <c r="I1204" s="6" t="str">
        <f>IFERROR(VLOOKUP(LOG_RESEAU[[#This Row],[Cell_ID]],Registre_Maintenance!A:F,6,FALSE),"Non trouvé")</f>
        <v>Non trouvé</v>
      </c>
      <c r="J1204" s="6" t="str">
        <f t="shared" si="54"/>
        <v>Antenne inconnue</v>
      </c>
      <c r="K1204" s="6">
        <f t="shared" si="55"/>
        <v>3</v>
      </c>
      <c r="L1204" s="6">
        <f t="shared" si="56"/>
        <v>233</v>
      </c>
    </row>
    <row r="1205" spans="1:12" ht="15.75" x14ac:dyDescent="0.25">
      <c r="A1205" s="6" t="s">
        <v>1219</v>
      </c>
      <c r="B1205" s="7">
        <v>45227.724305555559</v>
      </c>
      <c r="C1205" s="6">
        <v>20</v>
      </c>
      <c r="D1205" s="6" t="s">
        <v>794</v>
      </c>
      <c r="E1205" s="8" t="str">
        <f>IFERROR(VLOOKUP(LOG_RESEAU[[#This Row],[Cell_ID]],Registre_Maintenance!A:B,2,FALSE),"Non trouvé")</f>
        <v>Non trouvé</v>
      </c>
      <c r="F1205" s="8" t="str">
        <f>IFERROR(VLOOKUP(LOG_RESEAU[[#This Row],[Cell_ID]],Registre_Maintenance!A:C,3,FALSE),"Non trouvé")</f>
        <v>Non trouvé</v>
      </c>
      <c r="G1205" s="8" t="str">
        <f>IFERROR(VLOOKUP(LOG_RESEAU[[#This Row],[Cell_ID]],Registre_Maintenance!A:D,4,FALSE),"Non trouvé")</f>
        <v>Non trouvé</v>
      </c>
      <c r="H1205" s="6" t="str">
        <f>IFERROR(VLOOKUP(LOG_RESEAU[[#This Row],[Cell_ID]],Registre_Maintenance!A:E,5,FALSE),"Non trouvé")</f>
        <v>Non trouvé</v>
      </c>
      <c r="I1205" s="6" t="str">
        <f>IFERROR(VLOOKUP(LOG_RESEAU[[#This Row],[Cell_ID]],Registre_Maintenance!A:F,6,FALSE),"Non trouvé")</f>
        <v>Non trouvé</v>
      </c>
      <c r="J1205" s="6" t="str">
        <f t="shared" si="54"/>
        <v>Antenne inconnue</v>
      </c>
      <c r="K1205" s="6">
        <f t="shared" si="55"/>
        <v>3</v>
      </c>
      <c r="L1205" s="6">
        <f t="shared" si="56"/>
        <v>233</v>
      </c>
    </row>
    <row r="1206" spans="1:12" ht="15.75" x14ac:dyDescent="0.25">
      <c r="A1206" s="6" t="s">
        <v>1219</v>
      </c>
      <c r="B1206" s="7">
        <v>45227.705555555563</v>
      </c>
      <c r="C1206" s="6">
        <v>108</v>
      </c>
      <c r="D1206" s="6" t="s">
        <v>800</v>
      </c>
      <c r="E1206" s="8" t="str">
        <f>IFERROR(VLOOKUP(LOG_RESEAU[[#This Row],[Cell_ID]],Registre_Maintenance!A:B,2,FALSE),"Non trouvé")</f>
        <v>Non trouvé</v>
      </c>
      <c r="F1206" s="8" t="str">
        <f>IFERROR(VLOOKUP(LOG_RESEAU[[#This Row],[Cell_ID]],Registre_Maintenance!A:C,3,FALSE),"Non trouvé")</f>
        <v>Non trouvé</v>
      </c>
      <c r="G1206" s="8" t="str">
        <f>IFERROR(VLOOKUP(LOG_RESEAU[[#This Row],[Cell_ID]],Registre_Maintenance!A:D,4,FALSE),"Non trouvé")</f>
        <v>Non trouvé</v>
      </c>
      <c r="H1206" s="6" t="str">
        <f>IFERROR(VLOOKUP(LOG_RESEAU[[#This Row],[Cell_ID]],Registre_Maintenance!A:E,5,FALSE),"Non trouvé")</f>
        <v>Non trouvé</v>
      </c>
      <c r="I1206" s="6" t="str">
        <f>IFERROR(VLOOKUP(LOG_RESEAU[[#This Row],[Cell_ID]],Registre_Maintenance!A:F,6,FALSE),"Non trouvé")</f>
        <v>Non trouvé</v>
      </c>
      <c r="J1206" s="6" t="str">
        <f t="shared" si="54"/>
        <v>Antenne inconnue</v>
      </c>
      <c r="K1206" s="6">
        <f t="shared" si="55"/>
        <v>3</v>
      </c>
      <c r="L1206" s="6">
        <f t="shared" si="56"/>
        <v>233</v>
      </c>
    </row>
    <row r="1207" spans="1:12" ht="15.75" x14ac:dyDescent="0.25">
      <c r="A1207" s="6" t="s">
        <v>1374</v>
      </c>
      <c r="B1207" s="7">
        <v>45224.963888888888</v>
      </c>
      <c r="C1207" s="6">
        <v>83</v>
      </c>
      <c r="D1207" s="6" t="s">
        <v>800</v>
      </c>
      <c r="E1207" s="8" t="str">
        <f>IFERROR(VLOOKUP(LOG_RESEAU[[#This Row],[Cell_ID]],Registre_Maintenance!A:B,2,FALSE),"Non trouvé")</f>
        <v>Non trouvé</v>
      </c>
      <c r="F1207" s="8" t="str">
        <f>IFERROR(VLOOKUP(LOG_RESEAU[[#This Row],[Cell_ID]],Registre_Maintenance!A:C,3,FALSE),"Non trouvé")</f>
        <v>Non trouvé</v>
      </c>
      <c r="G1207" s="8" t="str">
        <f>IFERROR(VLOOKUP(LOG_RESEAU[[#This Row],[Cell_ID]],Registre_Maintenance!A:D,4,FALSE),"Non trouvé")</f>
        <v>Non trouvé</v>
      </c>
      <c r="H1207" s="6" t="str">
        <f>IFERROR(VLOOKUP(LOG_RESEAU[[#This Row],[Cell_ID]],Registre_Maintenance!A:E,5,FALSE),"Non trouvé")</f>
        <v>Non trouvé</v>
      </c>
      <c r="I1207" s="6" t="str">
        <f>IFERROR(VLOOKUP(LOG_RESEAU[[#This Row],[Cell_ID]],Registre_Maintenance!A:F,6,FALSE),"Non trouvé")</f>
        <v>Non trouvé</v>
      </c>
      <c r="J1207" s="6" t="str">
        <f t="shared" si="54"/>
        <v>Antenne inconnue</v>
      </c>
      <c r="K1207" s="6">
        <f t="shared" si="55"/>
        <v>1</v>
      </c>
      <c r="L1207" s="6">
        <f t="shared" si="56"/>
        <v>83</v>
      </c>
    </row>
    <row r="1208" spans="1:12" ht="15.75" x14ac:dyDescent="0.25">
      <c r="A1208" s="6" t="s">
        <v>1195</v>
      </c>
      <c r="B1208" s="7">
        <v>45221.384722222218</v>
      </c>
      <c r="C1208" s="6">
        <v>92</v>
      </c>
      <c r="D1208" s="6" t="s">
        <v>800</v>
      </c>
      <c r="E1208" s="8" t="str">
        <f>IFERROR(VLOOKUP(LOG_RESEAU[[#This Row],[Cell_ID]],Registre_Maintenance!A:B,2,FALSE),"Non trouvé")</f>
        <v>Non trouvé</v>
      </c>
      <c r="F1208" s="8" t="str">
        <f>IFERROR(VLOOKUP(LOG_RESEAU[[#This Row],[Cell_ID]],Registre_Maintenance!A:C,3,FALSE),"Non trouvé")</f>
        <v>Non trouvé</v>
      </c>
      <c r="G1208" s="8" t="str">
        <f>IFERROR(VLOOKUP(LOG_RESEAU[[#This Row],[Cell_ID]],Registre_Maintenance!A:D,4,FALSE),"Non trouvé")</f>
        <v>Non trouvé</v>
      </c>
      <c r="H1208" s="6" t="str">
        <f>IFERROR(VLOOKUP(LOG_RESEAU[[#This Row],[Cell_ID]],Registre_Maintenance!A:E,5,FALSE),"Non trouvé")</f>
        <v>Non trouvé</v>
      </c>
      <c r="I1208" s="6" t="str">
        <f>IFERROR(VLOOKUP(LOG_RESEAU[[#This Row],[Cell_ID]],Registre_Maintenance!A:F,6,FALSE),"Non trouvé")</f>
        <v>Non trouvé</v>
      </c>
      <c r="J1208" s="6" t="str">
        <f t="shared" si="54"/>
        <v>Antenne inconnue</v>
      </c>
      <c r="K1208" s="6">
        <f t="shared" si="55"/>
        <v>1</v>
      </c>
      <c r="L1208" s="6">
        <f t="shared" si="56"/>
        <v>92</v>
      </c>
    </row>
    <row r="1209" spans="1:12" ht="15.75" x14ac:dyDescent="0.25">
      <c r="A1209" s="6" t="s">
        <v>1301</v>
      </c>
      <c r="B1209" s="7">
        <v>45214.613194444442</v>
      </c>
      <c r="C1209" s="6">
        <v>61</v>
      </c>
      <c r="D1209" s="6" t="s">
        <v>792</v>
      </c>
      <c r="E1209" s="8" t="str">
        <f>IFERROR(VLOOKUP(LOG_RESEAU[[#This Row],[Cell_ID]],Registre_Maintenance!A:B,2,FALSE),"Non trouvé")</f>
        <v>Non trouvé</v>
      </c>
      <c r="F1209" s="8" t="str">
        <f>IFERROR(VLOOKUP(LOG_RESEAU[[#This Row],[Cell_ID]],Registre_Maintenance!A:C,3,FALSE),"Non trouvé")</f>
        <v>Non trouvé</v>
      </c>
      <c r="G1209" s="8" t="str">
        <f>IFERROR(VLOOKUP(LOG_RESEAU[[#This Row],[Cell_ID]],Registre_Maintenance!A:D,4,FALSE),"Non trouvé")</f>
        <v>Non trouvé</v>
      </c>
      <c r="H1209" s="6" t="str">
        <f>IFERROR(VLOOKUP(LOG_RESEAU[[#This Row],[Cell_ID]],Registre_Maintenance!A:E,5,FALSE),"Non trouvé")</f>
        <v>Non trouvé</v>
      </c>
      <c r="I1209" s="6" t="str">
        <f>IFERROR(VLOOKUP(LOG_RESEAU[[#This Row],[Cell_ID]],Registre_Maintenance!A:F,6,FALSE),"Non trouvé")</f>
        <v>Non trouvé</v>
      </c>
      <c r="J1209" s="6" t="str">
        <f t="shared" si="54"/>
        <v>Antenne inconnue</v>
      </c>
      <c r="K1209" s="6">
        <f t="shared" si="55"/>
        <v>1</v>
      </c>
      <c r="L1209" s="6">
        <f t="shared" si="56"/>
        <v>61</v>
      </c>
    </row>
    <row r="1210" spans="1:12" ht="15.75" x14ac:dyDescent="0.25">
      <c r="A1210" s="6" t="s">
        <v>1151</v>
      </c>
      <c r="B1210" s="7">
        <v>45228.614583333343</v>
      </c>
      <c r="C1210" s="6">
        <v>48</v>
      </c>
      <c r="D1210" s="6" t="s">
        <v>800</v>
      </c>
      <c r="E1210" s="8" t="str">
        <f>IFERROR(VLOOKUP(LOG_RESEAU[[#This Row],[Cell_ID]],Registre_Maintenance!A:B,2,FALSE),"Non trouvé")</f>
        <v>Bas-Uele</v>
      </c>
      <c r="F1210" s="8">
        <f>IFERROR(VLOOKUP(LOG_RESEAU[[#This Row],[Cell_ID]],Registre_Maintenance!A:C,3,FALSE),"Non trouvé")</f>
        <v>-3.6945459999999999</v>
      </c>
      <c r="G1210" s="8">
        <f>IFERROR(VLOOKUP(LOG_RESEAU[[#This Row],[Cell_ID]],Registre_Maintenance!A:D,4,FALSE),"Non trouvé")</f>
        <v>16.809108999999999</v>
      </c>
      <c r="H1210" s="6" t="str">
        <f>IFERROR(VLOOKUP(LOG_RESEAU[[#This Row],[Cell_ID]],Registre_Maintenance!A:E,5,FALSE),"Non trouvé")</f>
        <v>5G</v>
      </c>
      <c r="I1210" s="6" t="str">
        <f>IFERROR(VLOOKUP(LOG_RESEAU[[#This Row],[Cell_ID]],Registre_Maintenance!A:F,6,FALSE),"Non trouvé")</f>
        <v>ZTE</v>
      </c>
      <c r="J1210" s="6" t="str">
        <f t="shared" si="54"/>
        <v>OK</v>
      </c>
      <c r="K1210" s="6">
        <f t="shared" si="55"/>
        <v>4</v>
      </c>
      <c r="L1210" s="6">
        <f t="shared" si="56"/>
        <v>258</v>
      </c>
    </row>
    <row r="1211" spans="1:12" ht="15.75" x14ac:dyDescent="0.25">
      <c r="A1211" s="6" t="s">
        <v>1151</v>
      </c>
      <c r="B1211" s="7">
        <v>45222.763194444437</v>
      </c>
      <c r="C1211" s="6">
        <v>91</v>
      </c>
      <c r="D1211" s="6" t="s">
        <v>792</v>
      </c>
      <c r="E1211" s="8" t="str">
        <f>IFERROR(VLOOKUP(LOG_RESEAU[[#This Row],[Cell_ID]],Registre_Maintenance!A:B,2,FALSE),"Non trouvé")</f>
        <v>Bas-Uele</v>
      </c>
      <c r="F1211" s="8">
        <f>IFERROR(VLOOKUP(LOG_RESEAU[[#This Row],[Cell_ID]],Registre_Maintenance!A:C,3,FALSE),"Non trouvé")</f>
        <v>-3.6945459999999999</v>
      </c>
      <c r="G1211" s="8">
        <f>IFERROR(VLOOKUP(LOG_RESEAU[[#This Row],[Cell_ID]],Registre_Maintenance!A:D,4,FALSE),"Non trouvé")</f>
        <v>16.809108999999999</v>
      </c>
      <c r="H1211" s="6" t="str">
        <f>IFERROR(VLOOKUP(LOG_RESEAU[[#This Row],[Cell_ID]],Registre_Maintenance!A:E,5,FALSE),"Non trouvé")</f>
        <v>5G</v>
      </c>
      <c r="I1211" s="6" t="str">
        <f>IFERROR(VLOOKUP(LOG_RESEAU[[#This Row],[Cell_ID]],Registre_Maintenance!A:F,6,FALSE),"Non trouvé")</f>
        <v>ZTE</v>
      </c>
      <c r="J1211" s="6" t="str">
        <f t="shared" si="54"/>
        <v>OK</v>
      </c>
      <c r="K1211" s="6">
        <f t="shared" si="55"/>
        <v>4</v>
      </c>
      <c r="L1211" s="6">
        <f t="shared" si="56"/>
        <v>258</v>
      </c>
    </row>
    <row r="1212" spans="1:12" ht="15.75" x14ac:dyDescent="0.25">
      <c r="A1212" s="6" t="s">
        <v>1151</v>
      </c>
      <c r="B1212" s="7">
        <v>45214.172222222223</v>
      </c>
      <c r="C1212" s="6">
        <v>6</v>
      </c>
      <c r="D1212" s="6" t="s">
        <v>794</v>
      </c>
      <c r="E1212" s="8" t="str">
        <f>IFERROR(VLOOKUP(LOG_RESEAU[[#This Row],[Cell_ID]],Registre_Maintenance!A:B,2,FALSE),"Non trouvé")</f>
        <v>Bas-Uele</v>
      </c>
      <c r="F1212" s="8">
        <f>IFERROR(VLOOKUP(LOG_RESEAU[[#This Row],[Cell_ID]],Registre_Maintenance!A:C,3,FALSE),"Non trouvé")</f>
        <v>-3.6945459999999999</v>
      </c>
      <c r="G1212" s="8">
        <f>IFERROR(VLOOKUP(LOG_RESEAU[[#This Row],[Cell_ID]],Registre_Maintenance!A:D,4,FALSE),"Non trouvé")</f>
        <v>16.809108999999999</v>
      </c>
      <c r="H1212" s="6" t="str">
        <f>IFERROR(VLOOKUP(LOG_RESEAU[[#This Row],[Cell_ID]],Registre_Maintenance!A:E,5,FALSE),"Non trouvé")</f>
        <v>5G</v>
      </c>
      <c r="I1212" s="6" t="str">
        <f>IFERROR(VLOOKUP(LOG_RESEAU[[#This Row],[Cell_ID]],Registre_Maintenance!A:F,6,FALSE),"Non trouvé")</f>
        <v>ZTE</v>
      </c>
      <c r="J1212" s="6" t="str">
        <f t="shared" si="54"/>
        <v>OK</v>
      </c>
      <c r="K1212" s="6">
        <f t="shared" si="55"/>
        <v>4</v>
      </c>
      <c r="L1212" s="6">
        <f t="shared" si="56"/>
        <v>258</v>
      </c>
    </row>
    <row r="1213" spans="1:12" ht="15.75" x14ac:dyDescent="0.25">
      <c r="A1213" s="6" t="s">
        <v>1151</v>
      </c>
      <c r="B1213" s="7">
        <v>45219.095833333333</v>
      </c>
      <c r="C1213" s="6">
        <v>113</v>
      </c>
      <c r="D1213" s="6" t="s">
        <v>792</v>
      </c>
      <c r="E1213" s="8" t="str">
        <f>IFERROR(VLOOKUP(LOG_RESEAU[[#This Row],[Cell_ID]],Registre_Maintenance!A:B,2,FALSE),"Non trouvé")</f>
        <v>Bas-Uele</v>
      </c>
      <c r="F1213" s="8">
        <f>IFERROR(VLOOKUP(LOG_RESEAU[[#This Row],[Cell_ID]],Registre_Maintenance!A:C,3,FALSE),"Non trouvé")</f>
        <v>-3.6945459999999999</v>
      </c>
      <c r="G1213" s="8">
        <f>IFERROR(VLOOKUP(LOG_RESEAU[[#This Row],[Cell_ID]],Registre_Maintenance!A:D,4,FALSE),"Non trouvé")</f>
        <v>16.809108999999999</v>
      </c>
      <c r="H1213" s="6" t="str">
        <f>IFERROR(VLOOKUP(LOG_RESEAU[[#This Row],[Cell_ID]],Registre_Maintenance!A:E,5,FALSE),"Non trouvé")</f>
        <v>5G</v>
      </c>
      <c r="I1213" s="6" t="str">
        <f>IFERROR(VLOOKUP(LOG_RESEAU[[#This Row],[Cell_ID]],Registre_Maintenance!A:F,6,FALSE),"Non trouvé")</f>
        <v>ZTE</v>
      </c>
      <c r="J1213" s="6" t="str">
        <f t="shared" si="54"/>
        <v>OK</v>
      </c>
      <c r="K1213" s="6">
        <f t="shared" si="55"/>
        <v>4</v>
      </c>
      <c r="L1213" s="6">
        <f t="shared" si="56"/>
        <v>258</v>
      </c>
    </row>
    <row r="1214" spans="1:12" ht="15.75" x14ac:dyDescent="0.25">
      <c r="A1214" s="6" t="s">
        <v>1520</v>
      </c>
      <c r="B1214" s="7">
        <v>45203.570833333331</v>
      </c>
      <c r="C1214" s="6">
        <v>68</v>
      </c>
      <c r="D1214" s="6" t="s">
        <v>792</v>
      </c>
      <c r="E1214" s="8" t="str">
        <f>IFERROR(VLOOKUP(LOG_RESEAU[[#This Row],[Cell_ID]],Registre_Maintenance!A:B,2,FALSE),"Non trouvé")</f>
        <v>Non trouvé</v>
      </c>
      <c r="F1214" s="8" t="str">
        <f>IFERROR(VLOOKUP(LOG_RESEAU[[#This Row],[Cell_ID]],Registre_Maintenance!A:C,3,FALSE),"Non trouvé")</f>
        <v>Non trouvé</v>
      </c>
      <c r="G1214" s="8" t="str">
        <f>IFERROR(VLOOKUP(LOG_RESEAU[[#This Row],[Cell_ID]],Registre_Maintenance!A:D,4,FALSE),"Non trouvé")</f>
        <v>Non trouvé</v>
      </c>
      <c r="H1214" s="6" t="str">
        <f>IFERROR(VLOOKUP(LOG_RESEAU[[#This Row],[Cell_ID]],Registre_Maintenance!A:E,5,FALSE),"Non trouvé")</f>
        <v>Non trouvé</v>
      </c>
      <c r="I1214" s="6" t="str">
        <f>IFERROR(VLOOKUP(LOG_RESEAU[[#This Row],[Cell_ID]],Registre_Maintenance!A:F,6,FALSE),"Non trouvé")</f>
        <v>Non trouvé</v>
      </c>
      <c r="J1214" s="6" t="str">
        <f t="shared" si="54"/>
        <v>Antenne inconnue</v>
      </c>
      <c r="K1214" s="6">
        <f t="shared" si="55"/>
        <v>1</v>
      </c>
      <c r="L1214" s="6">
        <f t="shared" si="56"/>
        <v>68</v>
      </c>
    </row>
    <row r="1215" spans="1:12" ht="15.75" x14ac:dyDescent="0.25">
      <c r="A1215" s="6" t="s">
        <v>1061</v>
      </c>
      <c r="B1215" s="7">
        <v>45229.298611111109</v>
      </c>
      <c r="C1215" s="6">
        <v>74</v>
      </c>
      <c r="D1215" s="6" t="s">
        <v>792</v>
      </c>
      <c r="E1215" s="8" t="str">
        <f>IFERROR(VLOOKUP(LOG_RESEAU[[#This Row],[Cell_ID]],Registre_Maintenance!A:B,2,FALSE),"Non trouvé")</f>
        <v>Non trouvé</v>
      </c>
      <c r="F1215" s="8" t="str">
        <f>IFERROR(VLOOKUP(LOG_RESEAU[[#This Row],[Cell_ID]],Registre_Maintenance!A:C,3,FALSE),"Non trouvé")</f>
        <v>Non trouvé</v>
      </c>
      <c r="G1215" s="8" t="str">
        <f>IFERROR(VLOOKUP(LOG_RESEAU[[#This Row],[Cell_ID]],Registre_Maintenance!A:D,4,FALSE),"Non trouvé")</f>
        <v>Non trouvé</v>
      </c>
      <c r="H1215" s="6" t="str">
        <f>IFERROR(VLOOKUP(LOG_RESEAU[[#This Row],[Cell_ID]],Registre_Maintenance!A:E,5,FALSE),"Non trouvé")</f>
        <v>Non trouvé</v>
      </c>
      <c r="I1215" s="6" t="str">
        <f>IFERROR(VLOOKUP(LOG_RESEAU[[#This Row],[Cell_ID]],Registre_Maintenance!A:F,6,FALSE),"Non trouvé")</f>
        <v>Non trouvé</v>
      </c>
      <c r="J1215" s="6" t="str">
        <f t="shared" si="54"/>
        <v>Antenne inconnue</v>
      </c>
      <c r="K1215" s="6">
        <f t="shared" si="55"/>
        <v>2</v>
      </c>
      <c r="L1215" s="6">
        <f t="shared" si="56"/>
        <v>189</v>
      </c>
    </row>
    <row r="1216" spans="1:12" ht="15.75" x14ac:dyDescent="0.25">
      <c r="A1216" s="6" t="s">
        <v>1061</v>
      </c>
      <c r="B1216" s="7">
        <v>45211.546527777777</v>
      </c>
      <c r="C1216" s="6">
        <v>115</v>
      </c>
      <c r="D1216" s="6" t="s">
        <v>794</v>
      </c>
      <c r="E1216" s="8" t="str">
        <f>IFERROR(VLOOKUP(LOG_RESEAU[[#This Row],[Cell_ID]],Registre_Maintenance!A:B,2,FALSE),"Non trouvé")</f>
        <v>Non trouvé</v>
      </c>
      <c r="F1216" s="8" t="str">
        <f>IFERROR(VLOOKUP(LOG_RESEAU[[#This Row],[Cell_ID]],Registre_Maintenance!A:C,3,FALSE),"Non trouvé")</f>
        <v>Non trouvé</v>
      </c>
      <c r="G1216" s="8" t="str">
        <f>IFERROR(VLOOKUP(LOG_RESEAU[[#This Row],[Cell_ID]],Registre_Maintenance!A:D,4,FALSE),"Non trouvé")</f>
        <v>Non trouvé</v>
      </c>
      <c r="H1216" s="6" t="str">
        <f>IFERROR(VLOOKUP(LOG_RESEAU[[#This Row],[Cell_ID]],Registre_Maintenance!A:E,5,FALSE),"Non trouvé")</f>
        <v>Non trouvé</v>
      </c>
      <c r="I1216" s="6" t="str">
        <f>IFERROR(VLOOKUP(LOG_RESEAU[[#This Row],[Cell_ID]],Registre_Maintenance!A:F,6,FALSE),"Non trouvé")</f>
        <v>Non trouvé</v>
      </c>
      <c r="J1216" s="6" t="str">
        <f t="shared" si="54"/>
        <v>Antenne inconnue</v>
      </c>
      <c r="K1216" s="6">
        <f t="shared" si="55"/>
        <v>2</v>
      </c>
      <c r="L1216" s="6">
        <f t="shared" si="56"/>
        <v>189</v>
      </c>
    </row>
    <row r="1217" spans="1:12" ht="15.75" x14ac:dyDescent="0.25">
      <c r="A1217" s="6" t="s">
        <v>1490</v>
      </c>
      <c r="B1217" s="7">
        <v>45225.211111111108</v>
      </c>
      <c r="C1217" s="6">
        <v>33</v>
      </c>
      <c r="D1217" s="6" t="s">
        <v>800</v>
      </c>
      <c r="E1217" s="8" t="str">
        <f>IFERROR(VLOOKUP(LOG_RESEAU[[#This Row],[Cell_ID]],Registre_Maintenance!A:B,2,FALSE),"Non trouvé")</f>
        <v>Non trouvé</v>
      </c>
      <c r="F1217" s="8" t="str">
        <f>IFERROR(VLOOKUP(LOG_RESEAU[[#This Row],[Cell_ID]],Registre_Maintenance!A:C,3,FALSE),"Non trouvé")</f>
        <v>Non trouvé</v>
      </c>
      <c r="G1217" s="8" t="str">
        <f>IFERROR(VLOOKUP(LOG_RESEAU[[#This Row],[Cell_ID]],Registre_Maintenance!A:D,4,FALSE),"Non trouvé")</f>
        <v>Non trouvé</v>
      </c>
      <c r="H1217" s="6" t="str">
        <f>IFERROR(VLOOKUP(LOG_RESEAU[[#This Row],[Cell_ID]],Registre_Maintenance!A:E,5,FALSE),"Non trouvé")</f>
        <v>Non trouvé</v>
      </c>
      <c r="I1217" s="6" t="str">
        <f>IFERROR(VLOOKUP(LOG_RESEAU[[#This Row],[Cell_ID]],Registre_Maintenance!A:F,6,FALSE),"Non trouvé")</f>
        <v>Non trouvé</v>
      </c>
      <c r="J1217" s="6" t="str">
        <f t="shared" si="54"/>
        <v>Antenne inconnue</v>
      </c>
      <c r="K1217" s="6">
        <f t="shared" si="55"/>
        <v>1</v>
      </c>
      <c r="L1217" s="6">
        <f t="shared" si="56"/>
        <v>33</v>
      </c>
    </row>
    <row r="1218" spans="1:12" ht="15.75" x14ac:dyDescent="0.25">
      <c r="A1218" s="6" t="s">
        <v>1241</v>
      </c>
      <c r="B1218" s="7">
        <v>45213.342361111107</v>
      </c>
      <c r="C1218" s="6">
        <v>63</v>
      </c>
      <c r="D1218" s="6" t="s">
        <v>800</v>
      </c>
      <c r="E1218" s="8" t="str">
        <f>IFERROR(VLOOKUP(LOG_RESEAU[[#This Row],[Cell_ID]],Registre_Maintenance!A:B,2,FALSE),"Non trouvé")</f>
        <v>Sud-Kivu</v>
      </c>
      <c r="F1218" s="8">
        <f>IFERROR(VLOOKUP(LOG_RESEAU[[#This Row],[Cell_ID]],Registre_Maintenance!A:C,3,FALSE),"Non trouvé")</f>
        <v>0.31740800000000002</v>
      </c>
      <c r="G1218" s="8">
        <f>IFERROR(VLOOKUP(LOG_RESEAU[[#This Row],[Cell_ID]],Registre_Maintenance!A:D,4,FALSE),"Non trouvé")</f>
        <v>27.197666999999999</v>
      </c>
      <c r="H1218" s="6" t="str">
        <f>IFERROR(VLOOKUP(LOG_RESEAU[[#This Row],[Cell_ID]],Registre_Maintenance!A:E,5,FALSE),"Non trouvé")</f>
        <v>5G</v>
      </c>
      <c r="I1218" s="6" t="str">
        <f>IFERROR(VLOOKUP(LOG_RESEAU[[#This Row],[Cell_ID]],Registre_Maintenance!A:F,6,FALSE),"Non trouvé")</f>
        <v>Nokia</v>
      </c>
      <c r="J1218" s="6" t="str">
        <f t="shared" ref="J1218:J1281" si="57">IF(ISERROR(SEARCH("Non trouvé",F1218)),"OK","Antenne inconnue")</f>
        <v>OK</v>
      </c>
      <c r="K1218" s="6">
        <f t="shared" ref="K1218:K1281" si="58">COUNTIF(A:A,A1218)</f>
        <v>1</v>
      </c>
      <c r="L1218" s="6">
        <f t="shared" ref="L1218:L1281" si="59">SUMIF(A:A,A1218,C:C)</f>
        <v>63</v>
      </c>
    </row>
    <row r="1219" spans="1:12" ht="15.75" x14ac:dyDescent="0.25">
      <c r="A1219" s="6" t="s">
        <v>1518</v>
      </c>
      <c r="B1219" s="7">
        <v>45202.361805555563</v>
      </c>
      <c r="C1219" s="6">
        <v>15</v>
      </c>
      <c r="D1219" s="6" t="s">
        <v>800</v>
      </c>
      <c r="E1219" s="8" t="str">
        <f>IFERROR(VLOOKUP(LOG_RESEAU[[#This Row],[Cell_ID]],Registre_Maintenance!A:B,2,FALSE),"Non trouvé")</f>
        <v>Non trouvé</v>
      </c>
      <c r="F1219" s="8" t="str">
        <f>IFERROR(VLOOKUP(LOG_RESEAU[[#This Row],[Cell_ID]],Registre_Maintenance!A:C,3,FALSE),"Non trouvé")</f>
        <v>Non trouvé</v>
      </c>
      <c r="G1219" s="8" t="str">
        <f>IFERROR(VLOOKUP(LOG_RESEAU[[#This Row],[Cell_ID]],Registre_Maintenance!A:D,4,FALSE),"Non trouvé")</f>
        <v>Non trouvé</v>
      </c>
      <c r="H1219" s="6" t="str">
        <f>IFERROR(VLOOKUP(LOG_RESEAU[[#This Row],[Cell_ID]],Registre_Maintenance!A:E,5,FALSE),"Non trouvé")</f>
        <v>Non trouvé</v>
      </c>
      <c r="I1219" s="6" t="str">
        <f>IFERROR(VLOOKUP(LOG_RESEAU[[#This Row],[Cell_ID]],Registre_Maintenance!A:F,6,FALSE),"Non trouvé")</f>
        <v>Non trouvé</v>
      </c>
      <c r="J1219" s="6" t="str">
        <f t="shared" si="57"/>
        <v>Antenne inconnue</v>
      </c>
      <c r="K1219" s="6">
        <f t="shared" si="58"/>
        <v>1</v>
      </c>
      <c r="L1219" s="6">
        <f t="shared" si="59"/>
        <v>15</v>
      </c>
    </row>
    <row r="1220" spans="1:12" ht="15.75" x14ac:dyDescent="0.25">
      <c r="A1220" s="6" t="s">
        <v>1147</v>
      </c>
      <c r="B1220" s="7">
        <v>45220.416666666657</v>
      </c>
      <c r="C1220" s="6">
        <v>32</v>
      </c>
      <c r="D1220" s="6" t="s">
        <v>800</v>
      </c>
      <c r="E1220" s="8" t="str">
        <f>IFERROR(VLOOKUP(LOG_RESEAU[[#This Row],[Cell_ID]],Registre_Maintenance!A:B,2,FALSE),"Non trouvé")</f>
        <v>Kinshasa</v>
      </c>
      <c r="F1220" s="8">
        <f>IFERROR(VLOOKUP(LOG_RESEAU[[#This Row],[Cell_ID]],Registre_Maintenance!A:C,3,FALSE),"Non trouvé")</f>
        <v>-11.991020000000001</v>
      </c>
      <c r="G1220" s="8">
        <f>IFERROR(VLOOKUP(LOG_RESEAU[[#This Row],[Cell_ID]],Registre_Maintenance!A:D,4,FALSE),"Non trouvé")</f>
        <v>22.514747</v>
      </c>
      <c r="H1220" s="6" t="str">
        <f>IFERROR(VLOOKUP(LOG_RESEAU[[#This Row],[Cell_ID]],Registre_Maintenance!A:E,5,FALSE),"Non trouvé")</f>
        <v>5G</v>
      </c>
      <c r="I1220" s="6" t="str">
        <f>IFERROR(VLOOKUP(LOG_RESEAU[[#This Row],[Cell_ID]],Registre_Maintenance!A:F,6,FALSE),"Non trouvé")</f>
        <v>ZTE</v>
      </c>
      <c r="J1220" s="6" t="str">
        <f t="shared" si="57"/>
        <v>OK</v>
      </c>
      <c r="K1220" s="6">
        <f t="shared" si="58"/>
        <v>2</v>
      </c>
      <c r="L1220" s="6">
        <f t="shared" si="59"/>
        <v>98</v>
      </c>
    </row>
    <row r="1221" spans="1:12" ht="15.75" x14ac:dyDescent="0.25">
      <c r="A1221" s="6" t="s">
        <v>1147</v>
      </c>
      <c r="B1221" s="7">
        <v>45210.961111111108</v>
      </c>
      <c r="C1221" s="6">
        <v>66</v>
      </c>
      <c r="D1221" s="6" t="s">
        <v>794</v>
      </c>
      <c r="E1221" s="8" t="str">
        <f>IFERROR(VLOOKUP(LOG_RESEAU[[#This Row],[Cell_ID]],Registre_Maintenance!A:B,2,FALSE),"Non trouvé")</f>
        <v>Kinshasa</v>
      </c>
      <c r="F1221" s="8">
        <f>IFERROR(VLOOKUP(LOG_RESEAU[[#This Row],[Cell_ID]],Registre_Maintenance!A:C,3,FALSE),"Non trouvé")</f>
        <v>-11.991020000000001</v>
      </c>
      <c r="G1221" s="8">
        <f>IFERROR(VLOOKUP(LOG_RESEAU[[#This Row],[Cell_ID]],Registre_Maintenance!A:D,4,FALSE),"Non trouvé")</f>
        <v>22.514747</v>
      </c>
      <c r="H1221" s="6" t="str">
        <f>IFERROR(VLOOKUP(LOG_RESEAU[[#This Row],[Cell_ID]],Registre_Maintenance!A:E,5,FALSE),"Non trouvé")</f>
        <v>5G</v>
      </c>
      <c r="I1221" s="6" t="str">
        <f>IFERROR(VLOOKUP(LOG_RESEAU[[#This Row],[Cell_ID]],Registre_Maintenance!A:F,6,FALSE),"Non trouvé")</f>
        <v>ZTE</v>
      </c>
      <c r="J1221" s="6" t="str">
        <f t="shared" si="57"/>
        <v>OK</v>
      </c>
      <c r="K1221" s="6">
        <f t="shared" si="58"/>
        <v>2</v>
      </c>
      <c r="L1221" s="6">
        <f t="shared" si="59"/>
        <v>98</v>
      </c>
    </row>
    <row r="1222" spans="1:12" ht="15.75" x14ac:dyDescent="0.25">
      <c r="A1222" s="6" t="s">
        <v>1347</v>
      </c>
      <c r="B1222" s="7">
        <v>45226.747916666667</v>
      </c>
      <c r="C1222" s="6">
        <v>52</v>
      </c>
      <c r="D1222" s="6" t="s">
        <v>800</v>
      </c>
      <c r="E1222" s="8" t="str">
        <f>IFERROR(VLOOKUP(LOG_RESEAU[[#This Row],[Cell_ID]],Registre_Maintenance!A:B,2,FALSE),"Non trouvé")</f>
        <v>Non trouvé</v>
      </c>
      <c r="F1222" s="8" t="str">
        <f>IFERROR(VLOOKUP(LOG_RESEAU[[#This Row],[Cell_ID]],Registre_Maintenance!A:C,3,FALSE),"Non trouvé")</f>
        <v>Non trouvé</v>
      </c>
      <c r="G1222" s="8" t="str">
        <f>IFERROR(VLOOKUP(LOG_RESEAU[[#This Row],[Cell_ID]],Registre_Maintenance!A:D,4,FALSE),"Non trouvé")</f>
        <v>Non trouvé</v>
      </c>
      <c r="H1222" s="6" t="str">
        <f>IFERROR(VLOOKUP(LOG_RESEAU[[#This Row],[Cell_ID]],Registre_Maintenance!A:E,5,FALSE),"Non trouvé")</f>
        <v>Non trouvé</v>
      </c>
      <c r="I1222" s="6" t="str">
        <f>IFERROR(VLOOKUP(LOG_RESEAU[[#This Row],[Cell_ID]],Registre_Maintenance!A:F,6,FALSE),"Non trouvé")</f>
        <v>Non trouvé</v>
      </c>
      <c r="J1222" s="6" t="str">
        <f t="shared" si="57"/>
        <v>Antenne inconnue</v>
      </c>
      <c r="K1222" s="6">
        <f t="shared" si="58"/>
        <v>1</v>
      </c>
      <c r="L1222" s="6">
        <f t="shared" si="59"/>
        <v>52</v>
      </c>
    </row>
    <row r="1223" spans="1:12" ht="15.75" x14ac:dyDescent="0.25">
      <c r="A1223" s="6" t="s">
        <v>1334</v>
      </c>
      <c r="B1223" s="7">
        <v>45215.457638888889</v>
      </c>
      <c r="C1223" s="6">
        <v>100</v>
      </c>
      <c r="D1223" s="6" t="s">
        <v>794</v>
      </c>
      <c r="E1223" s="8" t="str">
        <f>IFERROR(VLOOKUP(LOG_RESEAU[[#This Row],[Cell_ID]],Registre_Maintenance!A:B,2,FALSE),"Non trouvé")</f>
        <v>Tanganyika</v>
      </c>
      <c r="F1223" s="8">
        <f>IFERROR(VLOOKUP(LOG_RESEAU[[#This Row],[Cell_ID]],Registre_Maintenance!A:C,3,FALSE),"Non trouvé")</f>
        <v>-11.793894</v>
      </c>
      <c r="G1223" s="8">
        <f>IFERROR(VLOOKUP(LOG_RESEAU[[#This Row],[Cell_ID]],Registre_Maintenance!A:D,4,FALSE),"Non trouvé")</f>
        <v>20.433340999999999</v>
      </c>
      <c r="H1223" s="6" t="str">
        <f>IFERROR(VLOOKUP(LOG_RESEAU[[#This Row],[Cell_ID]],Registre_Maintenance!A:E,5,FALSE),"Non trouvé")</f>
        <v>5G</v>
      </c>
      <c r="I1223" s="6" t="str">
        <f>IFERROR(VLOOKUP(LOG_RESEAU[[#This Row],[Cell_ID]],Registre_Maintenance!A:F,6,FALSE),"Non trouvé")</f>
        <v>Nokia</v>
      </c>
      <c r="J1223" s="6" t="str">
        <f t="shared" si="57"/>
        <v>OK</v>
      </c>
      <c r="K1223" s="6">
        <f t="shared" si="58"/>
        <v>2</v>
      </c>
      <c r="L1223" s="6">
        <f t="shared" si="59"/>
        <v>206</v>
      </c>
    </row>
    <row r="1224" spans="1:12" ht="15.75" x14ac:dyDescent="0.25">
      <c r="A1224" s="6" t="s">
        <v>1334</v>
      </c>
      <c r="B1224" s="7">
        <v>45203.304861111108</v>
      </c>
      <c r="C1224" s="6">
        <v>106</v>
      </c>
      <c r="D1224" s="6" t="s">
        <v>800</v>
      </c>
      <c r="E1224" s="8" t="str">
        <f>IFERROR(VLOOKUP(LOG_RESEAU[[#This Row],[Cell_ID]],Registre_Maintenance!A:B,2,FALSE),"Non trouvé")</f>
        <v>Tanganyika</v>
      </c>
      <c r="F1224" s="8">
        <f>IFERROR(VLOOKUP(LOG_RESEAU[[#This Row],[Cell_ID]],Registre_Maintenance!A:C,3,FALSE),"Non trouvé")</f>
        <v>-11.793894</v>
      </c>
      <c r="G1224" s="8">
        <f>IFERROR(VLOOKUP(LOG_RESEAU[[#This Row],[Cell_ID]],Registre_Maintenance!A:D,4,FALSE),"Non trouvé")</f>
        <v>20.433340999999999</v>
      </c>
      <c r="H1224" s="6" t="str">
        <f>IFERROR(VLOOKUP(LOG_RESEAU[[#This Row],[Cell_ID]],Registre_Maintenance!A:E,5,FALSE),"Non trouvé")</f>
        <v>5G</v>
      </c>
      <c r="I1224" s="6" t="str">
        <f>IFERROR(VLOOKUP(LOG_RESEAU[[#This Row],[Cell_ID]],Registre_Maintenance!A:F,6,FALSE),"Non trouvé")</f>
        <v>Nokia</v>
      </c>
      <c r="J1224" s="6" t="str">
        <f t="shared" si="57"/>
        <v>OK</v>
      </c>
      <c r="K1224" s="6">
        <f t="shared" si="58"/>
        <v>2</v>
      </c>
      <c r="L1224" s="6">
        <f t="shared" si="59"/>
        <v>206</v>
      </c>
    </row>
    <row r="1225" spans="1:12" ht="15.75" x14ac:dyDescent="0.25">
      <c r="A1225" s="6" t="s">
        <v>1271</v>
      </c>
      <c r="B1225" s="7">
        <v>45201.30972222222</v>
      </c>
      <c r="C1225" s="6">
        <v>56</v>
      </c>
      <c r="D1225" s="6" t="s">
        <v>792</v>
      </c>
      <c r="E1225" s="8" t="str">
        <f>IFERROR(VLOOKUP(LOG_RESEAU[[#This Row],[Cell_ID]],Registre_Maintenance!A:B,2,FALSE),"Non trouvé")</f>
        <v>Non trouvé</v>
      </c>
      <c r="F1225" s="8" t="str">
        <f>IFERROR(VLOOKUP(LOG_RESEAU[[#This Row],[Cell_ID]],Registre_Maintenance!A:C,3,FALSE),"Non trouvé")</f>
        <v>Non trouvé</v>
      </c>
      <c r="G1225" s="8" t="str">
        <f>IFERROR(VLOOKUP(LOG_RESEAU[[#This Row],[Cell_ID]],Registre_Maintenance!A:D,4,FALSE),"Non trouvé")</f>
        <v>Non trouvé</v>
      </c>
      <c r="H1225" s="6" t="str">
        <f>IFERROR(VLOOKUP(LOG_RESEAU[[#This Row],[Cell_ID]],Registre_Maintenance!A:E,5,FALSE),"Non trouvé")</f>
        <v>Non trouvé</v>
      </c>
      <c r="I1225" s="6" t="str">
        <f>IFERROR(VLOOKUP(LOG_RESEAU[[#This Row],[Cell_ID]],Registre_Maintenance!A:F,6,FALSE),"Non trouvé")</f>
        <v>Non trouvé</v>
      </c>
      <c r="J1225" s="6" t="str">
        <f t="shared" si="57"/>
        <v>Antenne inconnue</v>
      </c>
      <c r="K1225" s="6">
        <f t="shared" si="58"/>
        <v>1</v>
      </c>
      <c r="L1225" s="6">
        <f t="shared" si="59"/>
        <v>56</v>
      </c>
    </row>
    <row r="1226" spans="1:12" ht="15.75" x14ac:dyDescent="0.25">
      <c r="A1226" s="6" t="s">
        <v>1454</v>
      </c>
      <c r="B1226" s="7">
        <v>45208.084027777782</v>
      </c>
      <c r="C1226" s="6">
        <v>50</v>
      </c>
      <c r="D1226" s="6" t="s">
        <v>800</v>
      </c>
      <c r="E1226" s="8" t="str">
        <f>IFERROR(VLOOKUP(LOG_RESEAU[[#This Row],[Cell_ID]],Registre_Maintenance!A:B,2,FALSE),"Non trouvé")</f>
        <v>Non trouvé</v>
      </c>
      <c r="F1226" s="8" t="str">
        <f>IFERROR(VLOOKUP(LOG_RESEAU[[#This Row],[Cell_ID]],Registre_Maintenance!A:C,3,FALSE),"Non trouvé")</f>
        <v>Non trouvé</v>
      </c>
      <c r="G1226" s="8" t="str">
        <f>IFERROR(VLOOKUP(LOG_RESEAU[[#This Row],[Cell_ID]],Registre_Maintenance!A:D,4,FALSE),"Non trouvé")</f>
        <v>Non trouvé</v>
      </c>
      <c r="H1226" s="6" t="str">
        <f>IFERROR(VLOOKUP(LOG_RESEAU[[#This Row],[Cell_ID]],Registre_Maintenance!A:E,5,FALSE),"Non trouvé")</f>
        <v>Non trouvé</v>
      </c>
      <c r="I1226" s="6" t="str">
        <f>IFERROR(VLOOKUP(LOG_RESEAU[[#This Row],[Cell_ID]],Registre_Maintenance!A:F,6,FALSE),"Non trouvé")</f>
        <v>Non trouvé</v>
      </c>
      <c r="J1226" s="6" t="str">
        <f t="shared" si="57"/>
        <v>Antenne inconnue</v>
      </c>
      <c r="K1226" s="6">
        <f t="shared" si="58"/>
        <v>1</v>
      </c>
      <c r="L1226" s="6">
        <f t="shared" si="59"/>
        <v>50</v>
      </c>
    </row>
    <row r="1227" spans="1:12" ht="15.75" x14ac:dyDescent="0.25">
      <c r="A1227" s="6" t="s">
        <v>1275</v>
      </c>
      <c r="B1227" s="7">
        <v>45222.179166666669</v>
      </c>
      <c r="C1227" s="6">
        <v>28</v>
      </c>
      <c r="D1227" s="6" t="s">
        <v>800</v>
      </c>
      <c r="E1227" s="8" t="str">
        <f>IFERROR(VLOOKUP(LOG_RESEAU[[#This Row],[Cell_ID]],Registre_Maintenance!A:B,2,FALSE),"Non trouvé")</f>
        <v>Kinshasa</v>
      </c>
      <c r="F1227" s="8">
        <f>IFERROR(VLOOKUP(LOG_RESEAU[[#This Row],[Cell_ID]],Registre_Maintenance!A:C,3,FALSE),"Non trouvé")</f>
        <v>-0.90854400000000002</v>
      </c>
      <c r="G1227" s="8">
        <f>IFERROR(VLOOKUP(LOG_RESEAU[[#This Row],[Cell_ID]],Registre_Maintenance!A:D,4,FALSE),"Non trouvé")</f>
        <v>17.154896999999998</v>
      </c>
      <c r="H1227" s="6" t="str">
        <f>IFERROR(VLOOKUP(LOG_RESEAU[[#This Row],[Cell_ID]],Registre_Maintenance!A:E,5,FALSE),"Non trouvé")</f>
        <v>3G</v>
      </c>
      <c r="I1227" s="6" t="str">
        <f>IFERROR(VLOOKUP(LOG_RESEAU[[#This Row],[Cell_ID]],Registre_Maintenance!A:F,6,FALSE),"Non trouvé")</f>
        <v>Huawei</v>
      </c>
      <c r="J1227" s="6" t="str">
        <f t="shared" si="57"/>
        <v>OK</v>
      </c>
      <c r="K1227" s="6">
        <f t="shared" si="58"/>
        <v>1</v>
      </c>
      <c r="L1227" s="6">
        <f t="shared" si="59"/>
        <v>28</v>
      </c>
    </row>
    <row r="1228" spans="1:12" ht="15.75" x14ac:dyDescent="0.25">
      <c r="A1228" s="6" t="s">
        <v>1363</v>
      </c>
      <c r="B1228" s="7">
        <v>45214.736805555563</v>
      </c>
      <c r="C1228" s="6">
        <v>34</v>
      </c>
      <c r="D1228" s="6" t="s">
        <v>792</v>
      </c>
      <c r="E1228" s="8" t="str">
        <f>IFERROR(VLOOKUP(LOG_RESEAU[[#This Row],[Cell_ID]],Registre_Maintenance!A:B,2,FALSE),"Non trouvé")</f>
        <v>Kwilu</v>
      </c>
      <c r="F1228" s="8">
        <f>IFERROR(VLOOKUP(LOG_RESEAU[[#This Row],[Cell_ID]],Registre_Maintenance!A:C,3,FALSE),"Non trouvé")</f>
        <v>5.3608999999999997E-2</v>
      </c>
      <c r="G1228" s="8">
        <f>IFERROR(VLOOKUP(LOG_RESEAU[[#This Row],[Cell_ID]],Registre_Maintenance!A:D,4,FALSE),"Non trouvé")</f>
        <v>28.346852999999999</v>
      </c>
      <c r="H1228" s="6" t="str">
        <f>IFERROR(VLOOKUP(LOG_RESEAU[[#This Row],[Cell_ID]],Registre_Maintenance!A:E,5,FALSE),"Non trouvé")</f>
        <v>3G</v>
      </c>
      <c r="I1228" s="6" t="str">
        <f>IFERROR(VLOOKUP(LOG_RESEAU[[#This Row],[Cell_ID]],Registre_Maintenance!A:F,6,FALSE),"Non trouvé")</f>
        <v>ZTE</v>
      </c>
      <c r="J1228" s="6" t="str">
        <f t="shared" si="57"/>
        <v>OK</v>
      </c>
      <c r="K1228" s="6">
        <f t="shared" si="58"/>
        <v>1</v>
      </c>
      <c r="L1228" s="6">
        <f t="shared" si="59"/>
        <v>34</v>
      </c>
    </row>
    <row r="1229" spans="1:12" ht="15.75" x14ac:dyDescent="0.25">
      <c r="A1229" s="6" t="s">
        <v>1545</v>
      </c>
      <c r="B1229" s="7">
        <v>45224.6</v>
      </c>
      <c r="C1229" s="6">
        <v>70</v>
      </c>
      <c r="D1229" s="6" t="s">
        <v>792</v>
      </c>
      <c r="E1229" s="8" t="str">
        <f>IFERROR(VLOOKUP(LOG_RESEAU[[#This Row],[Cell_ID]],Registre_Maintenance!A:B,2,FALSE),"Non trouvé")</f>
        <v>Non trouvé</v>
      </c>
      <c r="F1229" s="8" t="str">
        <f>IFERROR(VLOOKUP(LOG_RESEAU[[#This Row],[Cell_ID]],Registre_Maintenance!A:C,3,FALSE),"Non trouvé")</f>
        <v>Non trouvé</v>
      </c>
      <c r="G1229" s="8" t="str">
        <f>IFERROR(VLOOKUP(LOG_RESEAU[[#This Row],[Cell_ID]],Registre_Maintenance!A:D,4,FALSE),"Non trouvé")</f>
        <v>Non trouvé</v>
      </c>
      <c r="H1229" s="6" t="str">
        <f>IFERROR(VLOOKUP(LOG_RESEAU[[#This Row],[Cell_ID]],Registre_Maintenance!A:E,5,FALSE),"Non trouvé")</f>
        <v>Non trouvé</v>
      </c>
      <c r="I1229" s="6" t="str">
        <f>IFERROR(VLOOKUP(LOG_RESEAU[[#This Row],[Cell_ID]],Registre_Maintenance!A:F,6,FALSE),"Non trouvé")</f>
        <v>Non trouvé</v>
      </c>
      <c r="J1229" s="6" t="str">
        <f t="shared" si="57"/>
        <v>Antenne inconnue</v>
      </c>
      <c r="K1229" s="6">
        <f t="shared" si="58"/>
        <v>1</v>
      </c>
      <c r="L1229" s="6">
        <f t="shared" si="59"/>
        <v>70</v>
      </c>
    </row>
    <row r="1230" spans="1:12" ht="15.75" x14ac:dyDescent="0.25">
      <c r="A1230" s="6" t="s">
        <v>1535</v>
      </c>
      <c r="B1230" s="7">
        <v>45206.366666666669</v>
      </c>
      <c r="C1230" s="6">
        <v>30</v>
      </c>
      <c r="D1230" s="6" t="s">
        <v>792</v>
      </c>
      <c r="E1230" s="8" t="str">
        <f>IFERROR(VLOOKUP(LOG_RESEAU[[#This Row],[Cell_ID]],Registre_Maintenance!A:B,2,FALSE),"Non trouvé")</f>
        <v>Non trouvé</v>
      </c>
      <c r="F1230" s="8" t="str">
        <f>IFERROR(VLOOKUP(LOG_RESEAU[[#This Row],[Cell_ID]],Registre_Maintenance!A:C,3,FALSE),"Non trouvé")</f>
        <v>Non trouvé</v>
      </c>
      <c r="G1230" s="8" t="str">
        <f>IFERROR(VLOOKUP(LOG_RESEAU[[#This Row],[Cell_ID]],Registre_Maintenance!A:D,4,FALSE),"Non trouvé")</f>
        <v>Non trouvé</v>
      </c>
      <c r="H1230" s="6" t="str">
        <f>IFERROR(VLOOKUP(LOG_RESEAU[[#This Row],[Cell_ID]],Registre_Maintenance!A:E,5,FALSE),"Non trouvé")</f>
        <v>Non trouvé</v>
      </c>
      <c r="I1230" s="6" t="str">
        <f>IFERROR(VLOOKUP(LOG_RESEAU[[#This Row],[Cell_ID]],Registre_Maintenance!A:F,6,FALSE),"Non trouvé")</f>
        <v>Non trouvé</v>
      </c>
      <c r="J1230" s="6" t="str">
        <f t="shared" si="57"/>
        <v>Antenne inconnue</v>
      </c>
      <c r="K1230" s="6">
        <f t="shared" si="58"/>
        <v>1</v>
      </c>
      <c r="L1230" s="6">
        <f t="shared" si="59"/>
        <v>30</v>
      </c>
    </row>
    <row r="1231" spans="1:12" ht="15.75" x14ac:dyDescent="0.25">
      <c r="A1231" s="6" t="s">
        <v>1451</v>
      </c>
      <c r="B1231" s="7">
        <v>45225.171527777777</v>
      </c>
      <c r="C1231" s="6">
        <v>104</v>
      </c>
      <c r="D1231" s="6" t="s">
        <v>800</v>
      </c>
      <c r="E1231" s="8" t="str">
        <f>IFERROR(VLOOKUP(LOG_RESEAU[[#This Row],[Cell_ID]],Registre_Maintenance!A:B,2,FALSE),"Non trouvé")</f>
        <v>Kongo-Central</v>
      </c>
      <c r="F1231" s="8">
        <f>IFERROR(VLOOKUP(LOG_RESEAU[[#This Row],[Cell_ID]],Registre_Maintenance!A:C,3,FALSE),"Non trouvé")</f>
        <v>1.2463919999999999</v>
      </c>
      <c r="G1231" s="8">
        <f>IFERROR(VLOOKUP(LOG_RESEAU[[#This Row],[Cell_ID]],Registre_Maintenance!A:D,4,FALSE),"Non trouvé")</f>
        <v>13.266916999999999</v>
      </c>
      <c r="H1231" s="6" t="str">
        <f>IFERROR(VLOOKUP(LOG_RESEAU[[#This Row],[Cell_ID]],Registre_Maintenance!A:E,5,FALSE),"Non trouvé")</f>
        <v>5G</v>
      </c>
      <c r="I1231" s="6" t="str">
        <f>IFERROR(VLOOKUP(LOG_RESEAU[[#This Row],[Cell_ID]],Registre_Maintenance!A:F,6,FALSE),"Non trouvé")</f>
        <v>Huawei</v>
      </c>
      <c r="J1231" s="6" t="str">
        <f t="shared" si="57"/>
        <v>OK</v>
      </c>
      <c r="K1231" s="6">
        <f t="shared" si="58"/>
        <v>1</v>
      </c>
      <c r="L1231" s="6">
        <f t="shared" si="59"/>
        <v>104</v>
      </c>
    </row>
    <row r="1232" spans="1:12" ht="15.75" x14ac:dyDescent="0.25">
      <c r="A1232" s="6" t="s">
        <v>1427</v>
      </c>
      <c r="B1232" s="7">
        <v>45215.093055555553</v>
      </c>
      <c r="C1232" s="6">
        <v>87</v>
      </c>
      <c r="D1232" s="6" t="s">
        <v>794</v>
      </c>
      <c r="E1232" s="8" t="str">
        <f>IFERROR(VLOOKUP(LOG_RESEAU[[#This Row],[Cell_ID]],Registre_Maintenance!A:B,2,FALSE),"Non trouvé")</f>
        <v>Mongala</v>
      </c>
      <c r="F1232" s="8">
        <f>IFERROR(VLOOKUP(LOG_RESEAU[[#This Row],[Cell_ID]],Registre_Maintenance!A:C,3,FALSE),"Non trouvé")</f>
        <v>-7.6951369999999999</v>
      </c>
      <c r="G1232" s="8">
        <f>IFERROR(VLOOKUP(LOG_RESEAU[[#This Row],[Cell_ID]],Registre_Maintenance!A:D,4,FALSE),"Non trouvé")</f>
        <v>13.346605</v>
      </c>
      <c r="H1232" s="6" t="str">
        <f>IFERROR(VLOOKUP(LOG_RESEAU[[#This Row],[Cell_ID]],Registre_Maintenance!A:E,5,FALSE),"Non trouvé")</f>
        <v>4G</v>
      </c>
      <c r="I1232" s="6" t="str">
        <f>IFERROR(VLOOKUP(LOG_RESEAU[[#This Row],[Cell_ID]],Registre_Maintenance!A:F,6,FALSE),"Non trouvé")</f>
        <v>Ericsson</v>
      </c>
      <c r="J1232" s="6" t="str">
        <f t="shared" si="57"/>
        <v>OK</v>
      </c>
      <c r="K1232" s="6">
        <f t="shared" si="58"/>
        <v>1</v>
      </c>
      <c r="L1232" s="6">
        <f t="shared" si="59"/>
        <v>87</v>
      </c>
    </row>
    <row r="1233" spans="1:12" ht="15.75" x14ac:dyDescent="0.25">
      <c r="A1233" s="6" t="s">
        <v>1165</v>
      </c>
      <c r="B1233" s="7">
        <v>45202.21875</v>
      </c>
      <c r="C1233" s="6">
        <v>86</v>
      </c>
      <c r="D1233" s="6" t="s">
        <v>792</v>
      </c>
      <c r="E1233" s="8" t="str">
        <f>IFERROR(VLOOKUP(LOG_RESEAU[[#This Row],[Cell_ID]],Registre_Maintenance!A:B,2,FALSE),"Non trouvé")</f>
        <v>Haut-Lomami</v>
      </c>
      <c r="F1233" s="8">
        <f>IFERROR(VLOOKUP(LOG_RESEAU[[#This Row],[Cell_ID]],Registre_Maintenance!A:C,3,FALSE),"Non trouvé")</f>
        <v>-12.112682</v>
      </c>
      <c r="G1233" s="8">
        <f>IFERROR(VLOOKUP(LOG_RESEAU[[#This Row],[Cell_ID]],Registre_Maintenance!A:D,4,FALSE),"Non trouvé")</f>
        <v>19.972052000000001</v>
      </c>
      <c r="H1233" s="6" t="str">
        <f>IFERROR(VLOOKUP(LOG_RESEAU[[#This Row],[Cell_ID]],Registre_Maintenance!A:E,5,FALSE),"Non trouvé")</f>
        <v>4G</v>
      </c>
      <c r="I1233" s="6" t="str">
        <f>IFERROR(VLOOKUP(LOG_RESEAU[[#This Row],[Cell_ID]],Registre_Maintenance!A:F,6,FALSE),"Non trouvé")</f>
        <v>Huawei</v>
      </c>
      <c r="J1233" s="6" t="str">
        <f t="shared" si="57"/>
        <v>OK</v>
      </c>
      <c r="K1233" s="6">
        <f t="shared" si="58"/>
        <v>2</v>
      </c>
      <c r="L1233" s="6">
        <f t="shared" si="59"/>
        <v>181</v>
      </c>
    </row>
    <row r="1234" spans="1:12" ht="15.75" x14ac:dyDescent="0.25">
      <c r="A1234" s="6" t="s">
        <v>1165</v>
      </c>
      <c r="B1234" s="7">
        <v>45210.458333333343</v>
      </c>
      <c r="C1234" s="6">
        <v>95</v>
      </c>
      <c r="D1234" s="6" t="s">
        <v>800</v>
      </c>
      <c r="E1234" s="8" t="str">
        <f>IFERROR(VLOOKUP(LOG_RESEAU[[#This Row],[Cell_ID]],Registre_Maintenance!A:B,2,FALSE),"Non trouvé")</f>
        <v>Haut-Lomami</v>
      </c>
      <c r="F1234" s="8">
        <f>IFERROR(VLOOKUP(LOG_RESEAU[[#This Row],[Cell_ID]],Registre_Maintenance!A:C,3,FALSE),"Non trouvé")</f>
        <v>-12.112682</v>
      </c>
      <c r="G1234" s="8">
        <f>IFERROR(VLOOKUP(LOG_RESEAU[[#This Row],[Cell_ID]],Registre_Maintenance!A:D,4,FALSE),"Non trouvé")</f>
        <v>19.972052000000001</v>
      </c>
      <c r="H1234" s="6" t="str">
        <f>IFERROR(VLOOKUP(LOG_RESEAU[[#This Row],[Cell_ID]],Registre_Maintenance!A:E,5,FALSE),"Non trouvé")</f>
        <v>4G</v>
      </c>
      <c r="I1234" s="6" t="str">
        <f>IFERROR(VLOOKUP(LOG_RESEAU[[#This Row],[Cell_ID]],Registre_Maintenance!A:F,6,FALSE),"Non trouvé")</f>
        <v>Huawei</v>
      </c>
      <c r="J1234" s="6" t="str">
        <f t="shared" si="57"/>
        <v>OK</v>
      </c>
      <c r="K1234" s="6">
        <f t="shared" si="58"/>
        <v>2</v>
      </c>
      <c r="L1234" s="6">
        <f t="shared" si="59"/>
        <v>181</v>
      </c>
    </row>
    <row r="1235" spans="1:12" ht="15.75" x14ac:dyDescent="0.25">
      <c r="A1235" s="6" t="s">
        <v>1042</v>
      </c>
      <c r="B1235" s="7">
        <v>45217.321527777778</v>
      </c>
      <c r="C1235" s="6">
        <v>118</v>
      </c>
      <c r="D1235" s="6" t="s">
        <v>800</v>
      </c>
      <c r="E1235" s="8" t="str">
        <f>IFERROR(VLOOKUP(LOG_RESEAU[[#This Row],[Cell_ID]],Registre_Maintenance!A:B,2,FALSE),"Non trouvé")</f>
        <v>Non trouvé</v>
      </c>
      <c r="F1235" s="8" t="str">
        <f>IFERROR(VLOOKUP(LOG_RESEAU[[#This Row],[Cell_ID]],Registre_Maintenance!A:C,3,FALSE),"Non trouvé")</f>
        <v>Non trouvé</v>
      </c>
      <c r="G1235" s="8" t="str">
        <f>IFERROR(VLOOKUP(LOG_RESEAU[[#This Row],[Cell_ID]],Registre_Maintenance!A:D,4,FALSE),"Non trouvé")</f>
        <v>Non trouvé</v>
      </c>
      <c r="H1235" s="6" t="str">
        <f>IFERROR(VLOOKUP(LOG_RESEAU[[#This Row],[Cell_ID]],Registre_Maintenance!A:E,5,FALSE),"Non trouvé")</f>
        <v>Non trouvé</v>
      </c>
      <c r="I1235" s="6" t="str">
        <f>IFERROR(VLOOKUP(LOG_RESEAU[[#This Row],[Cell_ID]],Registre_Maintenance!A:F,6,FALSE),"Non trouvé")</f>
        <v>Non trouvé</v>
      </c>
      <c r="J1235" s="6" t="str">
        <f t="shared" si="57"/>
        <v>Antenne inconnue</v>
      </c>
      <c r="K1235" s="6">
        <f t="shared" si="58"/>
        <v>1</v>
      </c>
      <c r="L1235" s="6">
        <f t="shared" si="59"/>
        <v>118</v>
      </c>
    </row>
    <row r="1236" spans="1:12" ht="15.75" x14ac:dyDescent="0.25">
      <c r="A1236" s="6" t="s">
        <v>1281</v>
      </c>
      <c r="B1236" s="7">
        <v>45207.987500000003</v>
      </c>
      <c r="C1236" s="6">
        <v>15</v>
      </c>
      <c r="D1236" s="6" t="s">
        <v>800</v>
      </c>
      <c r="E1236" s="8" t="str">
        <f>IFERROR(VLOOKUP(LOG_RESEAU[[#This Row],[Cell_ID]],Registre_Maintenance!A:B,2,FALSE),"Non trouvé")</f>
        <v>Kwango</v>
      </c>
      <c r="F1236" s="8">
        <f>IFERROR(VLOOKUP(LOG_RESEAU[[#This Row],[Cell_ID]],Registre_Maintenance!A:C,3,FALSE),"Non trouvé")</f>
        <v>-9.0798120000000004</v>
      </c>
      <c r="G1236" s="8">
        <f>IFERROR(VLOOKUP(LOG_RESEAU[[#This Row],[Cell_ID]],Registre_Maintenance!A:D,4,FALSE),"Non trouvé")</f>
        <v>14.945484</v>
      </c>
      <c r="H1236" s="6" t="str">
        <f>IFERROR(VLOOKUP(LOG_RESEAU[[#This Row],[Cell_ID]],Registre_Maintenance!A:E,5,FALSE),"Non trouvé")</f>
        <v>5G</v>
      </c>
      <c r="I1236" s="6" t="str">
        <f>IFERROR(VLOOKUP(LOG_RESEAU[[#This Row],[Cell_ID]],Registre_Maintenance!A:F,6,FALSE),"Non trouvé")</f>
        <v>Ericsson</v>
      </c>
      <c r="J1236" s="6" t="str">
        <f t="shared" si="57"/>
        <v>OK</v>
      </c>
      <c r="K1236" s="6">
        <f t="shared" si="58"/>
        <v>2</v>
      </c>
      <c r="L1236" s="6">
        <f t="shared" si="59"/>
        <v>78</v>
      </c>
    </row>
    <row r="1237" spans="1:12" ht="15.75" x14ac:dyDescent="0.25">
      <c r="A1237" s="6" t="s">
        <v>1281</v>
      </c>
      <c r="B1237" s="7">
        <v>45210.03125</v>
      </c>
      <c r="C1237" s="6">
        <v>63</v>
      </c>
      <c r="D1237" s="6" t="s">
        <v>792</v>
      </c>
      <c r="E1237" s="8" t="str">
        <f>IFERROR(VLOOKUP(LOG_RESEAU[[#This Row],[Cell_ID]],Registre_Maintenance!A:B,2,FALSE),"Non trouvé")</f>
        <v>Kwango</v>
      </c>
      <c r="F1237" s="8">
        <f>IFERROR(VLOOKUP(LOG_RESEAU[[#This Row],[Cell_ID]],Registre_Maintenance!A:C,3,FALSE),"Non trouvé")</f>
        <v>-9.0798120000000004</v>
      </c>
      <c r="G1237" s="8">
        <f>IFERROR(VLOOKUP(LOG_RESEAU[[#This Row],[Cell_ID]],Registre_Maintenance!A:D,4,FALSE),"Non trouvé")</f>
        <v>14.945484</v>
      </c>
      <c r="H1237" s="6" t="str">
        <f>IFERROR(VLOOKUP(LOG_RESEAU[[#This Row],[Cell_ID]],Registre_Maintenance!A:E,5,FALSE),"Non trouvé")</f>
        <v>5G</v>
      </c>
      <c r="I1237" s="6" t="str">
        <f>IFERROR(VLOOKUP(LOG_RESEAU[[#This Row],[Cell_ID]],Registre_Maintenance!A:F,6,FALSE),"Non trouvé")</f>
        <v>Ericsson</v>
      </c>
      <c r="J1237" s="6" t="str">
        <f t="shared" si="57"/>
        <v>OK</v>
      </c>
      <c r="K1237" s="6">
        <f t="shared" si="58"/>
        <v>2</v>
      </c>
      <c r="L1237" s="6">
        <f t="shared" si="59"/>
        <v>78</v>
      </c>
    </row>
    <row r="1238" spans="1:12" ht="15.75" x14ac:dyDescent="0.25">
      <c r="A1238" s="6" t="s">
        <v>1191</v>
      </c>
      <c r="B1238" s="7">
        <v>45202.45416666667</v>
      </c>
      <c r="C1238" s="6">
        <v>89</v>
      </c>
      <c r="D1238" s="6" t="s">
        <v>792</v>
      </c>
      <c r="E1238" s="8" t="str">
        <f>IFERROR(VLOOKUP(LOG_RESEAU[[#This Row],[Cell_ID]],Registre_Maintenance!A:B,2,FALSE),"Non trouvé")</f>
        <v>Non trouvé</v>
      </c>
      <c r="F1238" s="8" t="str">
        <f>IFERROR(VLOOKUP(LOG_RESEAU[[#This Row],[Cell_ID]],Registre_Maintenance!A:C,3,FALSE),"Non trouvé")</f>
        <v>Non trouvé</v>
      </c>
      <c r="G1238" s="8" t="str">
        <f>IFERROR(VLOOKUP(LOG_RESEAU[[#This Row],[Cell_ID]],Registre_Maintenance!A:D,4,FALSE),"Non trouvé")</f>
        <v>Non trouvé</v>
      </c>
      <c r="H1238" s="6" t="str">
        <f>IFERROR(VLOOKUP(LOG_RESEAU[[#This Row],[Cell_ID]],Registre_Maintenance!A:E,5,FALSE),"Non trouvé")</f>
        <v>Non trouvé</v>
      </c>
      <c r="I1238" s="6" t="str">
        <f>IFERROR(VLOOKUP(LOG_RESEAU[[#This Row],[Cell_ID]],Registre_Maintenance!A:F,6,FALSE),"Non trouvé")</f>
        <v>Non trouvé</v>
      </c>
      <c r="J1238" s="6" t="str">
        <f t="shared" si="57"/>
        <v>Antenne inconnue</v>
      </c>
      <c r="K1238" s="6">
        <f t="shared" si="58"/>
        <v>2</v>
      </c>
      <c r="L1238" s="6">
        <f t="shared" si="59"/>
        <v>94</v>
      </c>
    </row>
    <row r="1239" spans="1:12" ht="15.75" x14ac:dyDescent="0.25">
      <c r="A1239" s="6" t="s">
        <v>1191</v>
      </c>
      <c r="B1239" s="7">
        <v>45224.818055555559</v>
      </c>
      <c r="C1239" s="6">
        <v>5</v>
      </c>
      <c r="D1239" s="6" t="s">
        <v>792</v>
      </c>
      <c r="E1239" s="8" t="str">
        <f>IFERROR(VLOOKUP(LOG_RESEAU[[#This Row],[Cell_ID]],Registre_Maintenance!A:B,2,FALSE),"Non trouvé")</f>
        <v>Non trouvé</v>
      </c>
      <c r="F1239" s="8" t="str">
        <f>IFERROR(VLOOKUP(LOG_RESEAU[[#This Row],[Cell_ID]],Registre_Maintenance!A:C,3,FALSE),"Non trouvé")</f>
        <v>Non trouvé</v>
      </c>
      <c r="G1239" s="8" t="str">
        <f>IFERROR(VLOOKUP(LOG_RESEAU[[#This Row],[Cell_ID]],Registre_Maintenance!A:D,4,FALSE),"Non trouvé")</f>
        <v>Non trouvé</v>
      </c>
      <c r="H1239" s="6" t="str">
        <f>IFERROR(VLOOKUP(LOG_RESEAU[[#This Row],[Cell_ID]],Registre_Maintenance!A:E,5,FALSE),"Non trouvé")</f>
        <v>Non trouvé</v>
      </c>
      <c r="I1239" s="6" t="str">
        <f>IFERROR(VLOOKUP(LOG_RESEAU[[#This Row],[Cell_ID]],Registre_Maintenance!A:F,6,FALSE),"Non trouvé")</f>
        <v>Non trouvé</v>
      </c>
      <c r="J1239" s="6" t="str">
        <f t="shared" si="57"/>
        <v>Antenne inconnue</v>
      </c>
      <c r="K1239" s="6">
        <f t="shared" si="58"/>
        <v>2</v>
      </c>
      <c r="L1239" s="6">
        <f t="shared" si="59"/>
        <v>94</v>
      </c>
    </row>
    <row r="1240" spans="1:12" ht="15.75" x14ac:dyDescent="0.25">
      <c r="A1240" s="6" t="s">
        <v>1202</v>
      </c>
      <c r="B1240" s="7">
        <v>45225.215277777781</v>
      </c>
      <c r="C1240" s="6">
        <v>41</v>
      </c>
      <c r="D1240" s="6" t="s">
        <v>792</v>
      </c>
      <c r="E1240" s="8" t="str">
        <f>IFERROR(VLOOKUP(LOG_RESEAU[[#This Row],[Cell_ID]],Registre_Maintenance!A:B,2,FALSE),"Non trouvé")</f>
        <v>Mai-Ndombe</v>
      </c>
      <c r="F1240" s="8">
        <f>IFERROR(VLOOKUP(LOG_RESEAU[[#This Row],[Cell_ID]],Registre_Maintenance!A:C,3,FALSE),"Non trouvé")</f>
        <v>-4.9552579999999997</v>
      </c>
      <c r="G1240" s="8">
        <f>IFERROR(VLOOKUP(LOG_RESEAU[[#This Row],[Cell_ID]],Registre_Maintenance!A:D,4,FALSE),"Non trouvé")</f>
        <v>22.008103999999999</v>
      </c>
      <c r="H1240" s="6" t="str">
        <f>IFERROR(VLOOKUP(LOG_RESEAU[[#This Row],[Cell_ID]],Registre_Maintenance!A:E,5,FALSE),"Non trouvé")</f>
        <v>4G</v>
      </c>
      <c r="I1240" s="6" t="str">
        <f>IFERROR(VLOOKUP(LOG_RESEAU[[#This Row],[Cell_ID]],Registre_Maintenance!A:F,6,FALSE),"Non trouvé")</f>
        <v>Huawei</v>
      </c>
      <c r="J1240" s="6" t="str">
        <f t="shared" si="57"/>
        <v>OK</v>
      </c>
      <c r="K1240" s="6">
        <f t="shared" si="58"/>
        <v>1</v>
      </c>
      <c r="L1240" s="6">
        <f t="shared" si="59"/>
        <v>41</v>
      </c>
    </row>
    <row r="1241" spans="1:12" ht="15.75" x14ac:dyDescent="0.25">
      <c r="A1241" s="6" t="s">
        <v>1405</v>
      </c>
      <c r="B1241" s="7">
        <v>45225.527777777781</v>
      </c>
      <c r="C1241" s="6">
        <v>6</v>
      </c>
      <c r="D1241" s="6" t="s">
        <v>800</v>
      </c>
      <c r="E1241" s="8" t="str">
        <f>IFERROR(VLOOKUP(LOG_RESEAU[[#This Row],[Cell_ID]],Registre_Maintenance!A:B,2,FALSE),"Non trouvé")</f>
        <v>Non trouvé</v>
      </c>
      <c r="F1241" s="8" t="str">
        <f>IFERROR(VLOOKUP(LOG_RESEAU[[#This Row],[Cell_ID]],Registre_Maintenance!A:C,3,FALSE),"Non trouvé")</f>
        <v>Non trouvé</v>
      </c>
      <c r="G1241" s="8" t="str">
        <f>IFERROR(VLOOKUP(LOG_RESEAU[[#This Row],[Cell_ID]],Registre_Maintenance!A:D,4,FALSE),"Non trouvé")</f>
        <v>Non trouvé</v>
      </c>
      <c r="H1241" s="6" t="str">
        <f>IFERROR(VLOOKUP(LOG_RESEAU[[#This Row],[Cell_ID]],Registre_Maintenance!A:E,5,FALSE),"Non trouvé")</f>
        <v>Non trouvé</v>
      </c>
      <c r="I1241" s="6" t="str">
        <f>IFERROR(VLOOKUP(LOG_RESEAU[[#This Row],[Cell_ID]],Registre_Maintenance!A:F,6,FALSE),"Non trouvé")</f>
        <v>Non trouvé</v>
      </c>
      <c r="J1241" s="6" t="str">
        <f t="shared" si="57"/>
        <v>Antenne inconnue</v>
      </c>
      <c r="K1241" s="6">
        <f t="shared" si="58"/>
        <v>1</v>
      </c>
      <c r="L1241" s="6">
        <f t="shared" si="59"/>
        <v>6</v>
      </c>
    </row>
    <row r="1242" spans="1:12" ht="15.75" x14ac:dyDescent="0.25">
      <c r="A1242" s="6" t="s">
        <v>1248</v>
      </c>
      <c r="B1242" s="7">
        <v>45225.77847222222</v>
      </c>
      <c r="C1242" s="6">
        <v>89</v>
      </c>
      <c r="D1242" s="6" t="s">
        <v>794</v>
      </c>
      <c r="E1242" s="8" t="str">
        <f>IFERROR(VLOOKUP(LOG_RESEAU[[#This Row],[Cell_ID]],Registre_Maintenance!A:B,2,FALSE),"Non trouvé")</f>
        <v>Non trouvé</v>
      </c>
      <c r="F1242" s="8" t="str">
        <f>IFERROR(VLOOKUP(LOG_RESEAU[[#This Row],[Cell_ID]],Registre_Maintenance!A:C,3,FALSE),"Non trouvé")</f>
        <v>Non trouvé</v>
      </c>
      <c r="G1242" s="8" t="str">
        <f>IFERROR(VLOOKUP(LOG_RESEAU[[#This Row],[Cell_ID]],Registre_Maintenance!A:D,4,FALSE),"Non trouvé")</f>
        <v>Non trouvé</v>
      </c>
      <c r="H1242" s="6" t="str">
        <f>IFERROR(VLOOKUP(LOG_RESEAU[[#This Row],[Cell_ID]],Registre_Maintenance!A:E,5,FALSE),"Non trouvé")</f>
        <v>Non trouvé</v>
      </c>
      <c r="I1242" s="6" t="str">
        <f>IFERROR(VLOOKUP(LOG_RESEAU[[#This Row],[Cell_ID]],Registre_Maintenance!A:F,6,FALSE),"Non trouvé")</f>
        <v>Non trouvé</v>
      </c>
      <c r="J1242" s="6" t="str">
        <f t="shared" si="57"/>
        <v>Antenne inconnue</v>
      </c>
      <c r="K1242" s="6">
        <f t="shared" si="58"/>
        <v>1</v>
      </c>
      <c r="L1242" s="6">
        <f t="shared" si="59"/>
        <v>89</v>
      </c>
    </row>
    <row r="1243" spans="1:12" ht="15.75" x14ac:dyDescent="0.25">
      <c r="A1243" s="6" t="s">
        <v>1144</v>
      </c>
      <c r="B1243" s="7">
        <v>45225.159722222219</v>
      </c>
      <c r="C1243" s="6">
        <v>113</v>
      </c>
      <c r="D1243" s="6" t="s">
        <v>794</v>
      </c>
      <c r="E1243" s="8" t="str">
        <f>IFERROR(VLOOKUP(LOG_RESEAU[[#This Row],[Cell_ID]],Registre_Maintenance!A:B,2,FALSE),"Non trouvé")</f>
        <v>Non trouvé</v>
      </c>
      <c r="F1243" s="8" t="str">
        <f>IFERROR(VLOOKUP(LOG_RESEAU[[#This Row],[Cell_ID]],Registre_Maintenance!A:C,3,FALSE),"Non trouvé")</f>
        <v>Non trouvé</v>
      </c>
      <c r="G1243" s="8" t="str">
        <f>IFERROR(VLOOKUP(LOG_RESEAU[[#This Row],[Cell_ID]],Registre_Maintenance!A:D,4,FALSE),"Non trouvé")</f>
        <v>Non trouvé</v>
      </c>
      <c r="H1243" s="6" t="str">
        <f>IFERROR(VLOOKUP(LOG_RESEAU[[#This Row],[Cell_ID]],Registre_Maintenance!A:E,5,FALSE),"Non trouvé")</f>
        <v>Non trouvé</v>
      </c>
      <c r="I1243" s="6" t="str">
        <f>IFERROR(VLOOKUP(LOG_RESEAU[[#This Row],[Cell_ID]],Registre_Maintenance!A:F,6,FALSE),"Non trouvé")</f>
        <v>Non trouvé</v>
      </c>
      <c r="J1243" s="6" t="str">
        <f t="shared" si="57"/>
        <v>Antenne inconnue</v>
      </c>
      <c r="K1243" s="6">
        <f t="shared" si="58"/>
        <v>1</v>
      </c>
      <c r="L1243" s="6">
        <f t="shared" si="59"/>
        <v>113</v>
      </c>
    </row>
    <row r="1244" spans="1:12" ht="15.75" x14ac:dyDescent="0.25">
      <c r="A1244" s="6" t="s">
        <v>1077</v>
      </c>
      <c r="B1244" s="7">
        <v>45216.457638888889</v>
      </c>
      <c r="C1244" s="6">
        <v>39</v>
      </c>
      <c r="D1244" s="6" t="s">
        <v>794</v>
      </c>
      <c r="E1244" s="8" t="str">
        <f>IFERROR(VLOOKUP(LOG_RESEAU[[#This Row],[Cell_ID]],Registre_Maintenance!A:B,2,FALSE),"Non trouvé")</f>
        <v>Kasai-Central</v>
      </c>
      <c r="F1244" s="8">
        <f>IFERROR(VLOOKUP(LOG_RESEAU[[#This Row],[Cell_ID]],Registre_Maintenance!A:C,3,FALSE),"Non trouvé")</f>
        <v>-9.5266249999999992</v>
      </c>
      <c r="G1244" s="8">
        <f>IFERROR(VLOOKUP(LOG_RESEAU[[#This Row],[Cell_ID]],Registre_Maintenance!A:D,4,FALSE),"Non trouvé")</f>
        <v>27.889690999999999</v>
      </c>
      <c r="H1244" s="6" t="str">
        <f>IFERROR(VLOOKUP(LOG_RESEAU[[#This Row],[Cell_ID]],Registre_Maintenance!A:E,5,FALSE),"Non trouvé")</f>
        <v>4G</v>
      </c>
      <c r="I1244" s="6" t="str">
        <f>IFERROR(VLOOKUP(LOG_RESEAU[[#This Row],[Cell_ID]],Registre_Maintenance!A:F,6,FALSE),"Non trouvé")</f>
        <v>Ericsson</v>
      </c>
      <c r="J1244" s="6" t="str">
        <f t="shared" si="57"/>
        <v>OK</v>
      </c>
      <c r="K1244" s="6">
        <f t="shared" si="58"/>
        <v>1</v>
      </c>
      <c r="L1244" s="6">
        <f t="shared" si="59"/>
        <v>39</v>
      </c>
    </row>
    <row r="1245" spans="1:12" ht="15.75" x14ac:dyDescent="0.25">
      <c r="A1245" s="6" t="s">
        <v>1265</v>
      </c>
      <c r="B1245" s="7">
        <v>45204.905555555553</v>
      </c>
      <c r="C1245" s="6">
        <v>61</v>
      </c>
      <c r="D1245" s="6" t="s">
        <v>794</v>
      </c>
      <c r="E1245" s="8" t="str">
        <f>IFERROR(VLOOKUP(LOG_RESEAU[[#This Row],[Cell_ID]],Registre_Maintenance!A:B,2,FALSE),"Non trouvé")</f>
        <v>Bas-Uele</v>
      </c>
      <c r="F1245" s="8">
        <f>IFERROR(VLOOKUP(LOG_RESEAU[[#This Row],[Cell_ID]],Registre_Maintenance!A:C,3,FALSE),"Non trouvé")</f>
        <v>4.497306</v>
      </c>
      <c r="G1245" s="8">
        <f>IFERROR(VLOOKUP(LOG_RESEAU[[#This Row],[Cell_ID]],Registre_Maintenance!A:D,4,FALSE),"Non trouvé")</f>
        <v>12.857251</v>
      </c>
      <c r="H1245" s="6" t="str">
        <f>IFERROR(VLOOKUP(LOG_RESEAU[[#This Row],[Cell_ID]],Registre_Maintenance!A:E,5,FALSE),"Non trouvé")</f>
        <v>5G</v>
      </c>
      <c r="I1245" s="6" t="str">
        <f>IFERROR(VLOOKUP(LOG_RESEAU[[#This Row],[Cell_ID]],Registre_Maintenance!A:F,6,FALSE),"Non trouvé")</f>
        <v>Ericsson</v>
      </c>
      <c r="J1245" s="6" t="str">
        <f t="shared" si="57"/>
        <v>OK</v>
      </c>
      <c r="K1245" s="6">
        <f t="shared" si="58"/>
        <v>1</v>
      </c>
      <c r="L1245" s="6">
        <f t="shared" si="59"/>
        <v>61</v>
      </c>
    </row>
    <row r="1246" spans="1:12" ht="15.75" x14ac:dyDescent="0.25">
      <c r="A1246" s="6" t="s">
        <v>1439</v>
      </c>
      <c r="B1246" s="7">
        <v>45215.756944444453</v>
      </c>
      <c r="C1246" s="6">
        <v>24</v>
      </c>
      <c r="D1246" s="6" t="s">
        <v>792</v>
      </c>
      <c r="E1246" s="8" t="str">
        <f>IFERROR(VLOOKUP(LOG_RESEAU[[#This Row],[Cell_ID]],Registre_Maintenance!A:B,2,FALSE),"Non trouvé")</f>
        <v>Non trouvé</v>
      </c>
      <c r="F1246" s="8" t="str">
        <f>IFERROR(VLOOKUP(LOG_RESEAU[[#This Row],[Cell_ID]],Registre_Maintenance!A:C,3,FALSE),"Non trouvé")</f>
        <v>Non trouvé</v>
      </c>
      <c r="G1246" s="8" t="str">
        <f>IFERROR(VLOOKUP(LOG_RESEAU[[#This Row],[Cell_ID]],Registre_Maintenance!A:D,4,FALSE),"Non trouvé")</f>
        <v>Non trouvé</v>
      </c>
      <c r="H1246" s="6" t="str">
        <f>IFERROR(VLOOKUP(LOG_RESEAU[[#This Row],[Cell_ID]],Registre_Maintenance!A:E,5,FALSE),"Non trouvé")</f>
        <v>Non trouvé</v>
      </c>
      <c r="I1246" s="6" t="str">
        <f>IFERROR(VLOOKUP(LOG_RESEAU[[#This Row],[Cell_ID]],Registre_Maintenance!A:F,6,FALSE),"Non trouvé")</f>
        <v>Non trouvé</v>
      </c>
      <c r="J1246" s="6" t="str">
        <f t="shared" si="57"/>
        <v>Antenne inconnue</v>
      </c>
      <c r="K1246" s="6">
        <f t="shared" si="58"/>
        <v>1</v>
      </c>
      <c r="L1246" s="6">
        <f t="shared" si="59"/>
        <v>24</v>
      </c>
    </row>
    <row r="1247" spans="1:12" ht="15.75" x14ac:dyDescent="0.25">
      <c r="A1247" s="6" t="s">
        <v>1032</v>
      </c>
      <c r="B1247" s="7">
        <v>45220.830555555563</v>
      </c>
      <c r="C1247" s="6">
        <v>59</v>
      </c>
      <c r="D1247" s="6" t="s">
        <v>792</v>
      </c>
      <c r="E1247" s="8" t="str">
        <f>IFERROR(VLOOKUP(LOG_RESEAU[[#This Row],[Cell_ID]],Registre_Maintenance!A:B,2,FALSE),"Non trouvé")</f>
        <v>Non trouvé</v>
      </c>
      <c r="F1247" s="8" t="str">
        <f>IFERROR(VLOOKUP(LOG_RESEAU[[#This Row],[Cell_ID]],Registre_Maintenance!A:C,3,FALSE),"Non trouvé")</f>
        <v>Non trouvé</v>
      </c>
      <c r="G1247" s="8" t="str">
        <f>IFERROR(VLOOKUP(LOG_RESEAU[[#This Row],[Cell_ID]],Registre_Maintenance!A:D,4,FALSE),"Non trouvé")</f>
        <v>Non trouvé</v>
      </c>
      <c r="H1247" s="6" t="str">
        <f>IFERROR(VLOOKUP(LOG_RESEAU[[#This Row],[Cell_ID]],Registre_Maintenance!A:E,5,FALSE),"Non trouvé")</f>
        <v>Non trouvé</v>
      </c>
      <c r="I1247" s="6" t="str">
        <f>IFERROR(VLOOKUP(LOG_RESEAU[[#This Row],[Cell_ID]],Registre_Maintenance!A:F,6,FALSE),"Non trouvé")</f>
        <v>Non trouvé</v>
      </c>
      <c r="J1247" s="6" t="str">
        <f t="shared" si="57"/>
        <v>Antenne inconnue</v>
      </c>
      <c r="K1247" s="6">
        <f t="shared" si="58"/>
        <v>2</v>
      </c>
      <c r="L1247" s="6">
        <f t="shared" si="59"/>
        <v>91</v>
      </c>
    </row>
    <row r="1248" spans="1:12" ht="15.75" x14ac:dyDescent="0.25">
      <c r="A1248" s="6" t="s">
        <v>1032</v>
      </c>
      <c r="B1248" s="7">
        <v>45224.456944444442</v>
      </c>
      <c r="C1248" s="6">
        <v>32</v>
      </c>
      <c r="D1248" s="6" t="s">
        <v>794</v>
      </c>
      <c r="E1248" s="8" t="str">
        <f>IFERROR(VLOOKUP(LOG_RESEAU[[#This Row],[Cell_ID]],Registre_Maintenance!A:B,2,FALSE),"Non trouvé")</f>
        <v>Non trouvé</v>
      </c>
      <c r="F1248" s="8" t="str">
        <f>IFERROR(VLOOKUP(LOG_RESEAU[[#This Row],[Cell_ID]],Registre_Maintenance!A:C,3,FALSE),"Non trouvé")</f>
        <v>Non trouvé</v>
      </c>
      <c r="G1248" s="8" t="str">
        <f>IFERROR(VLOOKUP(LOG_RESEAU[[#This Row],[Cell_ID]],Registre_Maintenance!A:D,4,FALSE),"Non trouvé")</f>
        <v>Non trouvé</v>
      </c>
      <c r="H1248" s="6" t="str">
        <f>IFERROR(VLOOKUP(LOG_RESEAU[[#This Row],[Cell_ID]],Registre_Maintenance!A:E,5,FALSE),"Non trouvé")</f>
        <v>Non trouvé</v>
      </c>
      <c r="I1248" s="6" t="str">
        <f>IFERROR(VLOOKUP(LOG_RESEAU[[#This Row],[Cell_ID]],Registre_Maintenance!A:F,6,FALSE),"Non trouvé")</f>
        <v>Non trouvé</v>
      </c>
      <c r="J1248" s="6" t="str">
        <f t="shared" si="57"/>
        <v>Antenne inconnue</v>
      </c>
      <c r="K1248" s="6">
        <f t="shared" si="58"/>
        <v>2</v>
      </c>
      <c r="L1248" s="6">
        <f t="shared" si="59"/>
        <v>91</v>
      </c>
    </row>
    <row r="1249" spans="1:12" ht="15.75" x14ac:dyDescent="0.25">
      <c r="A1249" s="6" t="s">
        <v>1487</v>
      </c>
      <c r="B1249" s="7">
        <v>45208.662499999999</v>
      </c>
      <c r="C1249" s="6">
        <v>104</v>
      </c>
      <c r="D1249" s="6" t="s">
        <v>792</v>
      </c>
      <c r="E1249" s="8" t="str">
        <f>IFERROR(VLOOKUP(LOG_RESEAU[[#This Row],[Cell_ID]],Registre_Maintenance!A:B,2,FALSE),"Non trouvé")</f>
        <v>Non trouvé</v>
      </c>
      <c r="F1249" s="8" t="str">
        <f>IFERROR(VLOOKUP(LOG_RESEAU[[#This Row],[Cell_ID]],Registre_Maintenance!A:C,3,FALSE),"Non trouvé")</f>
        <v>Non trouvé</v>
      </c>
      <c r="G1249" s="8" t="str">
        <f>IFERROR(VLOOKUP(LOG_RESEAU[[#This Row],[Cell_ID]],Registre_Maintenance!A:D,4,FALSE),"Non trouvé")</f>
        <v>Non trouvé</v>
      </c>
      <c r="H1249" s="6" t="str">
        <f>IFERROR(VLOOKUP(LOG_RESEAU[[#This Row],[Cell_ID]],Registre_Maintenance!A:E,5,FALSE),"Non trouvé")</f>
        <v>Non trouvé</v>
      </c>
      <c r="I1249" s="6" t="str">
        <f>IFERROR(VLOOKUP(LOG_RESEAU[[#This Row],[Cell_ID]],Registre_Maintenance!A:F,6,FALSE),"Non trouvé")</f>
        <v>Non trouvé</v>
      </c>
      <c r="J1249" s="6" t="str">
        <f t="shared" si="57"/>
        <v>Antenne inconnue</v>
      </c>
      <c r="K1249" s="6">
        <f t="shared" si="58"/>
        <v>1</v>
      </c>
      <c r="L1249" s="6">
        <f t="shared" si="59"/>
        <v>104</v>
      </c>
    </row>
    <row r="1250" spans="1:12" ht="15.75" x14ac:dyDescent="0.25">
      <c r="A1250" s="6" t="s">
        <v>1375</v>
      </c>
      <c r="B1250" s="7">
        <v>45225.948611111111</v>
      </c>
      <c r="C1250" s="6">
        <v>30</v>
      </c>
      <c r="D1250" s="6" t="s">
        <v>794</v>
      </c>
      <c r="E1250" s="8" t="str">
        <f>IFERROR(VLOOKUP(LOG_RESEAU[[#This Row],[Cell_ID]],Registre_Maintenance!A:B,2,FALSE),"Non trouvé")</f>
        <v>Kwango</v>
      </c>
      <c r="F1250" s="8">
        <f>IFERROR(VLOOKUP(LOG_RESEAU[[#This Row],[Cell_ID]],Registre_Maintenance!A:C,3,FALSE),"Non trouvé")</f>
        <v>-10.653247</v>
      </c>
      <c r="G1250" s="8">
        <f>IFERROR(VLOOKUP(LOG_RESEAU[[#This Row],[Cell_ID]],Registre_Maintenance!A:D,4,FALSE),"Non trouvé")</f>
        <v>14.685601</v>
      </c>
      <c r="H1250" s="6" t="str">
        <f>IFERROR(VLOOKUP(LOG_RESEAU[[#This Row],[Cell_ID]],Registre_Maintenance!A:E,5,FALSE),"Non trouvé")</f>
        <v>4G</v>
      </c>
      <c r="I1250" s="6" t="str">
        <f>IFERROR(VLOOKUP(LOG_RESEAU[[#This Row],[Cell_ID]],Registre_Maintenance!A:F,6,FALSE),"Non trouvé")</f>
        <v>Ericsson</v>
      </c>
      <c r="J1250" s="6" t="str">
        <f t="shared" si="57"/>
        <v>OK</v>
      </c>
      <c r="K1250" s="6">
        <f t="shared" si="58"/>
        <v>1</v>
      </c>
      <c r="L1250" s="6">
        <f t="shared" si="59"/>
        <v>30</v>
      </c>
    </row>
    <row r="1251" spans="1:12" ht="15.75" x14ac:dyDescent="0.25">
      <c r="A1251" s="6" t="s">
        <v>1524</v>
      </c>
      <c r="B1251" s="7">
        <v>45216.960416666669</v>
      </c>
      <c r="C1251" s="6">
        <v>41</v>
      </c>
      <c r="D1251" s="6" t="s">
        <v>800</v>
      </c>
      <c r="E1251" s="8" t="str">
        <f>IFERROR(VLOOKUP(LOG_RESEAU[[#This Row],[Cell_ID]],Registre_Maintenance!A:B,2,FALSE),"Non trouvé")</f>
        <v>Mai-Ndombe</v>
      </c>
      <c r="F1251" s="8">
        <f>IFERROR(VLOOKUP(LOG_RESEAU[[#This Row],[Cell_ID]],Registre_Maintenance!A:C,3,FALSE),"Non trouvé")</f>
        <v>-7.5641280000000002</v>
      </c>
      <c r="G1251" s="8">
        <f>IFERROR(VLOOKUP(LOG_RESEAU[[#This Row],[Cell_ID]],Registre_Maintenance!A:D,4,FALSE),"Non trouvé")</f>
        <v>18.129529999999999</v>
      </c>
      <c r="H1251" s="6" t="str">
        <f>IFERROR(VLOOKUP(LOG_RESEAU[[#This Row],[Cell_ID]],Registre_Maintenance!A:E,5,FALSE),"Non trouvé")</f>
        <v>3G</v>
      </c>
      <c r="I1251" s="6" t="str">
        <f>IFERROR(VLOOKUP(LOG_RESEAU[[#This Row],[Cell_ID]],Registre_Maintenance!A:F,6,FALSE),"Non trouvé")</f>
        <v>Huawei</v>
      </c>
      <c r="J1251" s="6" t="str">
        <f t="shared" si="57"/>
        <v>OK</v>
      </c>
      <c r="K1251" s="6">
        <f t="shared" si="58"/>
        <v>1</v>
      </c>
      <c r="L1251" s="6">
        <f t="shared" si="59"/>
        <v>41</v>
      </c>
    </row>
    <row r="1252" spans="1:12" ht="15.75" x14ac:dyDescent="0.25">
      <c r="A1252" s="6" t="s">
        <v>1344</v>
      </c>
      <c r="B1252" s="7">
        <v>45207.908333333333</v>
      </c>
      <c r="C1252" s="6">
        <v>103</v>
      </c>
      <c r="D1252" s="6" t="s">
        <v>794</v>
      </c>
      <c r="E1252" s="8" t="str">
        <f>IFERROR(VLOOKUP(LOG_RESEAU[[#This Row],[Cell_ID]],Registre_Maintenance!A:B,2,FALSE),"Non trouvé")</f>
        <v>Non trouvé</v>
      </c>
      <c r="F1252" s="8" t="str">
        <f>IFERROR(VLOOKUP(LOG_RESEAU[[#This Row],[Cell_ID]],Registre_Maintenance!A:C,3,FALSE),"Non trouvé")</f>
        <v>Non trouvé</v>
      </c>
      <c r="G1252" s="8" t="str">
        <f>IFERROR(VLOOKUP(LOG_RESEAU[[#This Row],[Cell_ID]],Registre_Maintenance!A:D,4,FALSE),"Non trouvé")</f>
        <v>Non trouvé</v>
      </c>
      <c r="H1252" s="6" t="str">
        <f>IFERROR(VLOOKUP(LOG_RESEAU[[#This Row],[Cell_ID]],Registre_Maintenance!A:E,5,FALSE),"Non trouvé")</f>
        <v>Non trouvé</v>
      </c>
      <c r="I1252" s="6" t="str">
        <f>IFERROR(VLOOKUP(LOG_RESEAU[[#This Row],[Cell_ID]],Registre_Maintenance!A:F,6,FALSE),"Non trouvé")</f>
        <v>Non trouvé</v>
      </c>
      <c r="J1252" s="6" t="str">
        <f t="shared" si="57"/>
        <v>Antenne inconnue</v>
      </c>
      <c r="K1252" s="6">
        <f t="shared" si="58"/>
        <v>1</v>
      </c>
      <c r="L1252" s="6">
        <f t="shared" si="59"/>
        <v>103</v>
      </c>
    </row>
    <row r="1253" spans="1:12" ht="15.75" x14ac:dyDescent="0.25">
      <c r="A1253" s="6" t="s">
        <v>1495</v>
      </c>
      <c r="B1253" s="7">
        <v>45201.859027777777</v>
      </c>
      <c r="C1253" s="6">
        <v>26</v>
      </c>
      <c r="D1253" s="6" t="s">
        <v>800</v>
      </c>
      <c r="E1253" s="8" t="str">
        <f>IFERROR(VLOOKUP(LOG_RESEAU[[#This Row],[Cell_ID]],Registre_Maintenance!A:B,2,FALSE),"Non trouvé")</f>
        <v>Non trouvé</v>
      </c>
      <c r="F1253" s="8" t="str">
        <f>IFERROR(VLOOKUP(LOG_RESEAU[[#This Row],[Cell_ID]],Registre_Maintenance!A:C,3,FALSE),"Non trouvé")</f>
        <v>Non trouvé</v>
      </c>
      <c r="G1253" s="8" t="str">
        <f>IFERROR(VLOOKUP(LOG_RESEAU[[#This Row],[Cell_ID]],Registre_Maintenance!A:D,4,FALSE),"Non trouvé")</f>
        <v>Non trouvé</v>
      </c>
      <c r="H1253" s="6" t="str">
        <f>IFERROR(VLOOKUP(LOG_RESEAU[[#This Row],[Cell_ID]],Registre_Maintenance!A:E,5,FALSE),"Non trouvé")</f>
        <v>Non trouvé</v>
      </c>
      <c r="I1253" s="6" t="str">
        <f>IFERROR(VLOOKUP(LOG_RESEAU[[#This Row],[Cell_ID]],Registre_Maintenance!A:F,6,FALSE),"Non trouvé")</f>
        <v>Non trouvé</v>
      </c>
      <c r="J1253" s="6" t="str">
        <f t="shared" si="57"/>
        <v>Antenne inconnue</v>
      </c>
      <c r="K1253" s="6">
        <f t="shared" si="58"/>
        <v>1</v>
      </c>
      <c r="L1253" s="6">
        <f t="shared" si="59"/>
        <v>26</v>
      </c>
    </row>
    <row r="1254" spans="1:12" ht="15.75" x14ac:dyDescent="0.25">
      <c r="A1254" s="6" t="s">
        <v>1220</v>
      </c>
      <c r="B1254" s="7">
        <v>45202.717361111107</v>
      </c>
      <c r="C1254" s="6">
        <v>115</v>
      </c>
      <c r="D1254" s="6" t="s">
        <v>792</v>
      </c>
      <c r="E1254" s="8" t="str">
        <f>IFERROR(VLOOKUP(LOG_RESEAU[[#This Row],[Cell_ID]],Registre_Maintenance!A:B,2,FALSE),"Non trouvé")</f>
        <v>Tanganyika</v>
      </c>
      <c r="F1254" s="8">
        <f>IFERROR(VLOOKUP(LOG_RESEAU[[#This Row],[Cell_ID]],Registre_Maintenance!A:C,3,FALSE),"Non trouvé")</f>
        <v>-1.5936220000000001</v>
      </c>
      <c r="G1254" s="8">
        <f>IFERROR(VLOOKUP(LOG_RESEAU[[#This Row],[Cell_ID]],Registre_Maintenance!A:D,4,FALSE),"Non trouvé")</f>
        <v>14.928856</v>
      </c>
      <c r="H1254" s="6" t="str">
        <f>IFERROR(VLOOKUP(LOG_RESEAU[[#This Row],[Cell_ID]],Registre_Maintenance!A:E,5,FALSE),"Non trouvé")</f>
        <v>5G</v>
      </c>
      <c r="I1254" s="6" t="str">
        <f>IFERROR(VLOOKUP(LOG_RESEAU[[#This Row],[Cell_ID]],Registre_Maintenance!A:F,6,FALSE),"Non trouvé")</f>
        <v>Ericsson</v>
      </c>
      <c r="J1254" s="6" t="str">
        <f t="shared" si="57"/>
        <v>OK</v>
      </c>
      <c r="K1254" s="6">
        <f t="shared" si="58"/>
        <v>1</v>
      </c>
      <c r="L1254" s="6">
        <f t="shared" si="59"/>
        <v>115</v>
      </c>
    </row>
    <row r="1255" spans="1:12" ht="15.75" x14ac:dyDescent="0.25">
      <c r="A1255" s="6" t="s">
        <v>1254</v>
      </c>
      <c r="B1255" s="7">
        <v>45205.474305555559</v>
      </c>
      <c r="C1255" s="6">
        <v>25</v>
      </c>
      <c r="D1255" s="6" t="s">
        <v>794</v>
      </c>
      <c r="E1255" s="8" t="str">
        <f>IFERROR(VLOOKUP(LOG_RESEAU[[#This Row],[Cell_ID]],Registre_Maintenance!A:B,2,FALSE),"Non trouvé")</f>
        <v>Haut-Uele</v>
      </c>
      <c r="F1255" s="8">
        <f>IFERROR(VLOOKUP(LOG_RESEAU[[#This Row],[Cell_ID]],Registre_Maintenance!A:C,3,FALSE),"Non trouvé")</f>
        <v>-1.013558</v>
      </c>
      <c r="G1255" s="8">
        <f>IFERROR(VLOOKUP(LOG_RESEAU[[#This Row],[Cell_ID]],Registre_Maintenance!A:D,4,FALSE),"Non trouvé")</f>
        <v>17.346937</v>
      </c>
      <c r="H1255" s="6" t="str">
        <f>IFERROR(VLOOKUP(LOG_RESEAU[[#This Row],[Cell_ID]],Registre_Maintenance!A:E,5,FALSE),"Non trouvé")</f>
        <v>5G</v>
      </c>
      <c r="I1255" s="6" t="str">
        <f>IFERROR(VLOOKUP(LOG_RESEAU[[#This Row],[Cell_ID]],Registre_Maintenance!A:F,6,FALSE),"Non trouvé")</f>
        <v>Huawei</v>
      </c>
      <c r="J1255" s="6" t="str">
        <f t="shared" si="57"/>
        <v>OK</v>
      </c>
      <c r="K1255" s="6">
        <f t="shared" si="58"/>
        <v>1</v>
      </c>
      <c r="L1255" s="6">
        <f t="shared" si="59"/>
        <v>25</v>
      </c>
    </row>
    <row r="1256" spans="1:12" ht="15.75" x14ac:dyDescent="0.25">
      <c r="A1256" s="6" t="s">
        <v>1293</v>
      </c>
      <c r="B1256" s="7">
        <v>45225.625694444447</v>
      </c>
      <c r="C1256" s="6">
        <v>108</v>
      </c>
      <c r="D1256" s="6" t="s">
        <v>792</v>
      </c>
      <c r="E1256" s="8" t="str">
        <f>IFERROR(VLOOKUP(LOG_RESEAU[[#This Row],[Cell_ID]],Registre_Maintenance!A:B,2,FALSE),"Non trouvé")</f>
        <v>Sud-Ubangi</v>
      </c>
      <c r="F1256" s="8">
        <f>IFERROR(VLOOKUP(LOG_RESEAU[[#This Row],[Cell_ID]],Registre_Maintenance!A:C,3,FALSE),"Non trouvé")</f>
        <v>-10.611184</v>
      </c>
      <c r="G1256" s="8">
        <f>IFERROR(VLOOKUP(LOG_RESEAU[[#This Row],[Cell_ID]],Registre_Maintenance!A:D,4,FALSE),"Non trouvé")</f>
        <v>23.022268</v>
      </c>
      <c r="H1256" s="6" t="str">
        <f>IFERROR(VLOOKUP(LOG_RESEAU[[#This Row],[Cell_ID]],Registre_Maintenance!A:E,5,FALSE),"Non trouvé")</f>
        <v>5G</v>
      </c>
      <c r="I1256" s="6" t="str">
        <f>IFERROR(VLOOKUP(LOG_RESEAU[[#This Row],[Cell_ID]],Registre_Maintenance!A:F,6,FALSE),"Non trouvé")</f>
        <v>ZTE</v>
      </c>
      <c r="J1256" s="6" t="str">
        <f t="shared" si="57"/>
        <v>OK</v>
      </c>
      <c r="K1256" s="6">
        <f t="shared" si="58"/>
        <v>1</v>
      </c>
      <c r="L1256" s="6">
        <f t="shared" si="59"/>
        <v>108</v>
      </c>
    </row>
    <row r="1257" spans="1:12" ht="15.75" x14ac:dyDescent="0.25">
      <c r="A1257" s="6" t="s">
        <v>1424</v>
      </c>
      <c r="B1257" s="7">
        <v>45209.988888888889</v>
      </c>
      <c r="C1257" s="6">
        <v>80</v>
      </c>
      <c r="D1257" s="6" t="s">
        <v>800</v>
      </c>
      <c r="E1257" s="8" t="str">
        <f>IFERROR(VLOOKUP(LOG_RESEAU[[#This Row],[Cell_ID]],Registre_Maintenance!A:B,2,FALSE),"Non trouvé")</f>
        <v>Non trouvé</v>
      </c>
      <c r="F1257" s="8" t="str">
        <f>IFERROR(VLOOKUP(LOG_RESEAU[[#This Row],[Cell_ID]],Registre_Maintenance!A:C,3,FALSE),"Non trouvé")</f>
        <v>Non trouvé</v>
      </c>
      <c r="G1257" s="8" t="str">
        <f>IFERROR(VLOOKUP(LOG_RESEAU[[#This Row],[Cell_ID]],Registre_Maintenance!A:D,4,FALSE),"Non trouvé")</f>
        <v>Non trouvé</v>
      </c>
      <c r="H1257" s="6" t="str">
        <f>IFERROR(VLOOKUP(LOG_RESEAU[[#This Row],[Cell_ID]],Registre_Maintenance!A:E,5,FALSE),"Non trouvé")</f>
        <v>Non trouvé</v>
      </c>
      <c r="I1257" s="6" t="str">
        <f>IFERROR(VLOOKUP(LOG_RESEAU[[#This Row],[Cell_ID]],Registre_Maintenance!A:F,6,FALSE),"Non trouvé")</f>
        <v>Non trouvé</v>
      </c>
      <c r="J1257" s="6" t="str">
        <f t="shared" si="57"/>
        <v>Antenne inconnue</v>
      </c>
      <c r="K1257" s="6">
        <f t="shared" si="58"/>
        <v>1</v>
      </c>
      <c r="L1257" s="6">
        <f t="shared" si="59"/>
        <v>80</v>
      </c>
    </row>
    <row r="1258" spans="1:12" ht="15.75" x14ac:dyDescent="0.25">
      <c r="A1258" s="6" t="s">
        <v>1428</v>
      </c>
      <c r="B1258" s="7">
        <v>45209.183333333327</v>
      </c>
      <c r="C1258" s="6">
        <v>81</v>
      </c>
      <c r="D1258" s="6" t="s">
        <v>800</v>
      </c>
      <c r="E1258" s="8" t="str">
        <f>IFERROR(VLOOKUP(LOG_RESEAU[[#This Row],[Cell_ID]],Registre_Maintenance!A:B,2,FALSE),"Non trouvé")</f>
        <v>Non trouvé</v>
      </c>
      <c r="F1258" s="8" t="str">
        <f>IFERROR(VLOOKUP(LOG_RESEAU[[#This Row],[Cell_ID]],Registre_Maintenance!A:C,3,FALSE),"Non trouvé")</f>
        <v>Non trouvé</v>
      </c>
      <c r="G1258" s="8" t="str">
        <f>IFERROR(VLOOKUP(LOG_RESEAU[[#This Row],[Cell_ID]],Registre_Maintenance!A:D,4,FALSE),"Non trouvé")</f>
        <v>Non trouvé</v>
      </c>
      <c r="H1258" s="6" t="str">
        <f>IFERROR(VLOOKUP(LOG_RESEAU[[#This Row],[Cell_ID]],Registre_Maintenance!A:E,5,FALSE),"Non trouvé")</f>
        <v>Non trouvé</v>
      </c>
      <c r="I1258" s="6" t="str">
        <f>IFERROR(VLOOKUP(LOG_RESEAU[[#This Row],[Cell_ID]],Registre_Maintenance!A:F,6,FALSE),"Non trouvé")</f>
        <v>Non trouvé</v>
      </c>
      <c r="J1258" s="6" t="str">
        <f t="shared" si="57"/>
        <v>Antenne inconnue</v>
      </c>
      <c r="K1258" s="6">
        <f t="shared" si="58"/>
        <v>2</v>
      </c>
      <c r="L1258" s="6">
        <f t="shared" si="59"/>
        <v>100</v>
      </c>
    </row>
    <row r="1259" spans="1:12" ht="15.75" x14ac:dyDescent="0.25">
      <c r="A1259" s="6" t="s">
        <v>1428</v>
      </c>
      <c r="B1259" s="7">
        <v>45223.548611111109</v>
      </c>
      <c r="C1259" s="6">
        <v>19</v>
      </c>
      <c r="D1259" s="6" t="s">
        <v>800</v>
      </c>
      <c r="E1259" s="8" t="str">
        <f>IFERROR(VLOOKUP(LOG_RESEAU[[#This Row],[Cell_ID]],Registre_Maintenance!A:B,2,FALSE),"Non trouvé")</f>
        <v>Non trouvé</v>
      </c>
      <c r="F1259" s="8" t="str">
        <f>IFERROR(VLOOKUP(LOG_RESEAU[[#This Row],[Cell_ID]],Registre_Maintenance!A:C,3,FALSE),"Non trouvé")</f>
        <v>Non trouvé</v>
      </c>
      <c r="G1259" s="8" t="str">
        <f>IFERROR(VLOOKUP(LOG_RESEAU[[#This Row],[Cell_ID]],Registre_Maintenance!A:D,4,FALSE),"Non trouvé")</f>
        <v>Non trouvé</v>
      </c>
      <c r="H1259" s="6" t="str">
        <f>IFERROR(VLOOKUP(LOG_RESEAU[[#This Row],[Cell_ID]],Registre_Maintenance!A:E,5,FALSE),"Non trouvé")</f>
        <v>Non trouvé</v>
      </c>
      <c r="I1259" s="6" t="str">
        <f>IFERROR(VLOOKUP(LOG_RESEAU[[#This Row],[Cell_ID]],Registre_Maintenance!A:F,6,FALSE),"Non trouvé")</f>
        <v>Non trouvé</v>
      </c>
      <c r="J1259" s="6" t="str">
        <f t="shared" si="57"/>
        <v>Antenne inconnue</v>
      </c>
      <c r="K1259" s="6">
        <f t="shared" si="58"/>
        <v>2</v>
      </c>
      <c r="L1259" s="6">
        <f t="shared" si="59"/>
        <v>100</v>
      </c>
    </row>
    <row r="1260" spans="1:12" ht="15.75" x14ac:dyDescent="0.25">
      <c r="A1260" s="6" t="s">
        <v>1419</v>
      </c>
      <c r="B1260" s="7">
        <v>45220.584027777782</v>
      </c>
      <c r="C1260" s="6">
        <v>92</v>
      </c>
      <c r="D1260" s="6" t="s">
        <v>792</v>
      </c>
      <c r="E1260" s="8" t="str">
        <f>IFERROR(VLOOKUP(LOG_RESEAU[[#This Row],[Cell_ID]],Registre_Maintenance!A:B,2,FALSE),"Non trouvé")</f>
        <v>Nord-Ubangi</v>
      </c>
      <c r="F1260" s="8">
        <f>IFERROR(VLOOKUP(LOG_RESEAU[[#This Row],[Cell_ID]],Registre_Maintenance!A:C,3,FALSE),"Non trouvé")</f>
        <v>-11.588665000000001</v>
      </c>
      <c r="G1260" s="8">
        <f>IFERROR(VLOOKUP(LOG_RESEAU[[#This Row],[Cell_ID]],Registre_Maintenance!A:D,4,FALSE),"Non trouvé")</f>
        <v>15.241552</v>
      </c>
      <c r="H1260" s="6" t="str">
        <f>IFERROR(VLOOKUP(LOG_RESEAU[[#This Row],[Cell_ID]],Registre_Maintenance!A:E,5,FALSE),"Non trouvé")</f>
        <v>4G</v>
      </c>
      <c r="I1260" s="6" t="str">
        <f>IFERROR(VLOOKUP(LOG_RESEAU[[#This Row],[Cell_ID]],Registre_Maintenance!A:F,6,FALSE),"Non trouvé")</f>
        <v>Nokia</v>
      </c>
      <c r="J1260" s="6" t="str">
        <f t="shared" si="57"/>
        <v>OK</v>
      </c>
      <c r="K1260" s="6">
        <f t="shared" si="58"/>
        <v>1</v>
      </c>
      <c r="L1260" s="6">
        <f t="shared" si="59"/>
        <v>92</v>
      </c>
    </row>
    <row r="1261" spans="1:12" ht="15.75" x14ac:dyDescent="0.25">
      <c r="A1261" s="6" t="s">
        <v>1309</v>
      </c>
      <c r="B1261" s="7">
        <v>45219.453472222223</v>
      </c>
      <c r="C1261" s="6">
        <v>52</v>
      </c>
      <c r="D1261" s="6" t="s">
        <v>800</v>
      </c>
      <c r="E1261" s="8" t="str">
        <f>IFERROR(VLOOKUP(LOG_RESEAU[[#This Row],[Cell_ID]],Registre_Maintenance!A:B,2,FALSE),"Non trouvé")</f>
        <v>Non trouvé</v>
      </c>
      <c r="F1261" s="8" t="str">
        <f>IFERROR(VLOOKUP(LOG_RESEAU[[#This Row],[Cell_ID]],Registre_Maintenance!A:C,3,FALSE),"Non trouvé")</f>
        <v>Non trouvé</v>
      </c>
      <c r="G1261" s="8" t="str">
        <f>IFERROR(VLOOKUP(LOG_RESEAU[[#This Row],[Cell_ID]],Registre_Maintenance!A:D,4,FALSE),"Non trouvé")</f>
        <v>Non trouvé</v>
      </c>
      <c r="H1261" s="6" t="str">
        <f>IFERROR(VLOOKUP(LOG_RESEAU[[#This Row],[Cell_ID]],Registre_Maintenance!A:E,5,FALSE),"Non trouvé")</f>
        <v>Non trouvé</v>
      </c>
      <c r="I1261" s="6" t="str">
        <f>IFERROR(VLOOKUP(LOG_RESEAU[[#This Row],[Cell_ID]],Registre_Maintenance!A:F,6,FALSE),"Non trouvé")</f>
        <v>Non trouvé</v>
      </c>
      <c r="J1261" s="6" t="str">
        <f t="shared" si="57"/>
        <v>Antenne inconnue</v>
      </c>
      <c r="K1261" s="6">
        <f t="shared" si="58"/>
        <v>3</v>
      </c>
      <c r="L1261" s="6">
        <f t="shared" si="59"/>
        <v>105</v>
      </c>
    </row>
    <row r="1262" spans="1:12" ht="15.75" x14ac:dyDescent="0.25">
      <c r="A1262" s="6" t="s">
        <v>1309</v>
      </c>
      <c r="B1262" s="7">
        <v>45209.781944444447</v>
      </c>
      <c r="C1262" s="6">
        <v>10</v>
      </c>
      <c r="D1262" s="6" t="s">
        <v>800</v>
      </c>
      <c r="E1262" s="8" t="str">
        <f>IFERROR(VLOOKUP(LOG_RESEAU[[#This Row],[Cell_ID]],Registre_Maintenance!A:B,2,FALSE),"Non trouvé")</f>
        <v>Non trouvé</v>
      </c>
      <c r="F1262" s="8" t="str">
        <f>IFERROR(VLOOKUP(LOG_RESEAU[[#This Row],[Cell_ID]],Registre_Maintenance!A:C,3,FALSE),"Non trouvé")</f>
        <v>Non trouvé</v>
      </c>
      <c r="G1262" s="8" t="str">
        <f>IFERROR(VLOOKUP(LOG_RESEAU[[#This Row],[Cell_ID]],Registre_Maintenance!A:D,4,FALSE),"Non trouvé")</f>
        <v>Non trouvé</v>
      </c>
      <c r="H1262" s="6" t="str">
        <f>IFERROR(VLOOKUP(LOG_RESEAU[[#This Row],[Cell_ID]],Registre_Maintenance!A:E,5,FALSE),"Non trouvé")</f>
        <v>Non trouvé</v>
      </c>
      <c r="I1262" s="6" t="str">
        <f>IFERROR(VLOOKUP(LOG_RESEAU[[#This Row],[Cell_ID]],Registre_Maintenance!A:F,6,FALSE),"Non trouvé")</f>
        <v>Non trouvé</v>
      </c>
      <c r="J1262" s="6" t="str">
        <f t="shared" si="57"/>
        <v>Antenne inconnue</v>
      </c>
      <c r="K1262" s="6">
        <f t="shared" si="58"/>
        <v>3</v>
      </c>
      <c r="L1262" s="6">
        <f t="shared" si="59"/>
        <v>105</v>
      </c>
    </row>
    <row r="1263" spans="1:12" ht="15.75" x14ac:dyDescent="0.25">
      <c r="A1263" s="6" t="s">
        <v>1309</v>
      </c>
      <c r="B1263" s="7">
        <v>45202.443055555559</v>
      </c>
      <c r="C1263" s="6">
        <v>43</v>
      </c>
      <c r="D1263" s="6" t="s">
        <v>794</v>
      </c>
      <c r="E1263" s="8" t="str">
        <f>IFERROR(VLOOKUP(LOG_RESEAU[[#This Row],[Cell_ID]],Registre_Maintenance!A:B,2,FALSE),"Non trouvé")</f>
        <v>Non trouvé</v>
      </c>
      <c r="F1263" s="8" t="str">
        <f>IFERROR(VLOOKUP(LOG_RESEAU[[#This Row],[Cell_ID]],Registre_Maintenance!A:C,3,FALSE),"Non trouvé")</f>
        <v>Non trouvé</v>
      </c>
      <c r="G1263" s="8" t="str">
        <f>IFERROR(VLOOKUP(LOG_RESEAU[[#This Row],[Cell_ID]],Registre_Maintenance!A:D,4,FALSE),"Non trouvé")</f>
        <v>Non trouvé</v>
      </c>
      <c r="H1263" s="6" t="str">
        <f>IFERROR(VLOOKUP(LOG_RESEAU[[#This Row],[Cell_ID]],Registre_Maintenance!A:E,5,FALSE),"Non trouvé")</f>
        <v>Non trouvé</v>
      </c>
      <c r="I1263" s="6" t="str">
        <f>IFERROR(VLOOKUP(LOG_RESEAU[[#This Row],[Cell_ID]],Registre_Maintenance!A:F,6,FALSE),"Non trouvé")</f>
        <v>Non trouvé</v>
      </c>
      <c r="J1263" s="6" t="str">
        <f t="shared" si="57"/>
        <v>Antenne inconnue</v>
      </c>
      <c r="K1263" s="6">
        <f t="shared" si="58"/>
        <v>3</v>
      </c>
      <c r="L1263" s="6">
        <f t="shared" si="59"/>
        <v>105</v>
      </c>
    </row>
    <row r="1264" spans="1:12" ht="15.75" x14ac:dyDescent="0.25">
      <c r="A1264" s="6" t="s">
        <v>1444</v>
      </c>
      <c r="B1264" s="7">
        <v>45220.551388888889</v>
      </c>
      <c r="C1264" s="6">
        <v>6</v>
      </c>
      <c r="D1264" s="6" t="s">
        <v>794</v>
      </c>
      <c r="E1264" s="8" t="str">
        <f>IFERROR(VLOOKUP(LOG_RESEAU[[#This Row],[Cell_ID]],Registre_Maintenance!A:B,2,FALSE),"Non trouvé")</f>
        <v>Non trouvé</v>
      </c>
      <c r="F1264" s="8" t="str">
        <f>IFERROR(VLOOKUP(LOG_RESEAU[[#This Row],[Cell_ID]],Registre_Maintenance!A:C,3,FALSE),"Non trouvé")</f>
        <v>Non trouvé</v>
      </c>
      <c r="G1264" s="8" t="str">
        <f>IFERROR(VLOOKUP(LOG_RESEAU[[#This Row],[Cell_ID]],Registre_Maintenance!A:D,4,FALSE),"Non trouvé")</f>
        <v>Non trouvé</v>
      </c>
      <c r="H1264" s="6" t="str">
        <f>IFERROR(VLOOKUP(LOG_RESEAU[[#This Row],[Cell_ID]],Registre_Maintenance!A:E,5,FALSE),"Non trouvé")</f>
        <v>Non trouvé</v>
      </c>
      <c r="I1264" s="6" t="str">
        <f>IFERROR(VLOOKUP(LOG_RESEAU[[#This Row],[Cell_ID]],Registre_Maintenance!A:F,6,FALSE),"Non trouvé")</f>
        <v>Non trouvé</v>
      </c>
      <c r="J1264" s="6" t="str">
        <f t="shared" si="57"/>
        <v>Antenne inconnue</v>
      </c>
      <c r="K1264" s="6">
        <f t="shared" si="58"/>
        <v>1</v>
      </c>
      <c r="L1264" s="6">
        <f t="shared" si="59"/>
        <v>6</v>
      </c>
    </row>
    <row r="1265" spans="1:12" ht="15.75" x14ac:dyDescent="0.25">
      <c r="A1265" s="6" t="s">
        <v>1476</v>
      </c>
      <c r="B1265" s="7">
        <v>45200.570138888892</v>
      </c>
      <c r="C1265" s="6">
        <v>53</v>
      </c>
      <c r="D1265" s="6" t="s">
        <v>792</v>
      </c>
      <c r="E1265" s="8" t="str">
        <f>IFERROR(VLOOKUP(LOG_RESEAU[[#This Row],[Cell_ID]],Registre_Maintenance!A:B,2,FALSE),"Non trouvé")</f>
        <v>Kongo-Central</v>
      </c>
      <c r="F1265" s="8">
        <f>IFERROR(VLOOKUP(LOG_RESEAU[[#This Row],[Cell_ID]],Registre_Maintenance!A:C,3,FALSE),"Non trouvé")</f>
        <v>2.8552499999999998</v>
      </c>
      <c r="G1265" s="8">
        <f>IFERROR(VLOOKUP(LOG_RESEAU[[#This Row],[Cell_ID]],Registre_Maintenance!A:D,4,FALSE),"Non trouvé")</f>
        <v>14.077933</v>
      </c>
      <c r="H1265" s="6" t="str">
        <f>IFERROR(VLOOKUP(LOG_RESEAU[[#This Row],[Cell_ID]],Registre_Maintenance!A:E,5,FALSE),"Non trouvé")</f>
        <v>4G</v>
      </c>
      <c r="I1265" s="6" t="str">
        <f>IFERROR(VLOOKUP(LOG_RESEAU[[#This Row],[Cell_ID]],Registre_Maintenance!A:F,6,FALSE),"Non trouvé")</f>
        <v>ZTE</v>
      </c>
      <c r="J1265" s="6" t="str">
        <f t="shared" si="57"/>
        <v>OK</v>
      </c>
      <c r="K1265" s="6">
        <f t="shared" si="58"/>
        <v>1</v>
      </c>
      <c r="L1265" s="6">
        <f t="shared" si="59"/>
        <v>53</v>
      </c>
    </row>
    <row r="1266" spans="1:12" ht="15.75" x14ac:dyDescent="0.25">
      <c r="A1266" s="6" t="s">
        <v>1238</v>
      </c>
      <c r="B1266" s="7">
        <v>45205.793749999997</v>
      </c>
      <c r="C1266" s="6">
        <v>99</v>
      </c>
      <c r="D1266" s="6" t="s">
        <v>800</v>
      </c>
      <c r="E1266" s="8" t="str">
        <f>IFERROR(VLOOKUP(LOG_RESEAU[[#This Row],[Cell_ID]],Registre_Maintenance!A:B,2,FALSE),"Non trouvé")</f>
        <v>Non trouvé</v>
      </c>
      <c r="F1266" s="8" t="str">
        <f>IFERROR(VLOOKUP(LOG_RESEAU[[#This Row],[Cell_ID]],Registre_Maintenance!A:C,3,FALSE),"Non trouvé")</f>
        <v>Non trouvé</v>
      </c>
      <c r="G1266" s="8" t="str">
        <f>IFERROR(VLOOKUP(LOG_RESEAU[[#This Row],[Cell_ID]],Registre_Maintenance!A:D,4,FALSE),"Non trouvé")</f>
        <v>Non trouvé</v>
      </c>
      <c r="H1266" s="6" t="str">
        <f>IFERROR(VLOOKUP(LOG_RESEAU[[#This Row],[Cell_ID]],Registre_Maintenance!A:E,5,FALSE),"Non trouvé")</f>
        <v>Non trouvé</v>
      </c>
      <c r="I1266" s="6" t="str">
        <f>IFERROR(VLOOKUP(LOG_RESEAU[[#This Row],[Cell_ID]],Registre_Maintenance!A:F,6,FALSE),"Non trouvé")</f>
        <v>Non trouvé</v>
      </c>
      <c r="J1266" s="6" t="str">
        <f t="shared" si="57"/>
        <v>Antenne inconnue</v>
      </c>
      <c r="K1266" s="6">
        <f t="shared" si="58"/>
        <v>1</v>
      </c>
      <c r="L1266" s="6">
        <f t="shared" si="59"/>
        <v>99</v>
      </c>
    </row>
    <row r="1267" spans="1:12" ht="15.75" x14ac:dyDescent="0.25">
      <c r="A1267" s="6" t="s">
        <v>1365</v>
      </c>
      <c r="B1267" s="7">
        <v>45215.587500000001</v>
      </c>
      <c r="C1267" s="6">
        <v>24</v>
      </c>
      <c r="D1267" s="6" t="s">
        <v>800</v>
      </c>
      <c r="E1267" s="8" t="str">
        <f>IFERROR(VLOOKUP(LOG_RESEAU[[#This Row],[Cell_ID]],Registre_Maintenance!A:B,2,FALSE),"Non trouvé")</f>
        <v>Maniema</v>
      </c>
      <c r="F1267" s="8">
        <f>IFERROR(VLOOKUP(LOG_RESEAU[[#This Row],[Cell_ID]],Registre_Maintenance!A:C,3,FALSE),"Non trouvé")</f>
        <v>2.5458379999999998</v>
      </c>
      <c r="G1267" s="8">
        <f>IFERROR(VLOOKUP(LOG_RESEAU[[#This Row],[Cell_ID]],Registre_Maintenance!A:D,4,FALSE),"Non trouvé")</f>
        <v>13.308655</v>
      </c>
      <c r="H1267" s="6" t="str">
        <f>IFERROR(VLOOKUP(LOG_RESEAU[[#This Row],[Cell_ID]],Registre_Maintenance!A:E,5,FALSE),"Non trouvé")</f>
        <v>5G</v>
      </c>
      <c r="I1267" s="6" t="str">
        <f>IFERROR(VLOOKUP(LOG_RESEAU[[#This Row],[Cell_ID]],Registre_Maintenance!A:F,6,FALSE),"Non trouvé")</f>
        <v>ZTE</v>
      </c>
      <c r="J1267" s="6" t="str">
        <f t="shared" si="57"/>
        <v>OK</v>
      </c>
      <c r="K1267" s="6">
        <f t="shared" si="58"/>
        <v>2</v>
      </c>
      <c r="L1267" s="6">
        <f t="shared" si="59"/>
        <v>57</v>
      </c>
    </row>
    <row r="1268" spans="1:12" ht="15.75" x14ac:dyDescent="0.25">
      <c r="A1268" s="6" t="s">
        <v>1365</v>
      </c>
      <c r="B1268" s="7">
        <v>45215.049305555563</v>
      </c>
      <c r="C1268" s="6">
        <v>33</v>
      </c>
      <c r="D1268" s="6" t="s">
        <v>800</v>
      </c>
      <c r="E1268" s="8" t="str">
        <f>IFERROR(VLOOKUP(LOG_RESEAU[[#This Row],[Cell_ID]],Registre_Maintenance!A:B,2,FALSE),"Non trouvé")</f>
        <v>Maniema</v>
      </c>
      <c r="F1268" s="8">
        <f>IFERROR(VLOOKUP(LOG_RESEAU[[#This Row],[Cell_ID]],Registre_Maintenance!A:C,3,FALSE),"Non trouvé")</f>
        <v>2.5458379999999998</v>
      </c>
      <c r="G1268" s="8">
        <f>IFERROR(VLOOKUP(LOG_RESEAU[[#This Row],[Cell_ID]],Registre_Maintenance!A:D,4,FALSE),"Non trouvé")</f>
        <v>13.308655</v>
      </c>
      <c r="H1268" s="6" t="str">
        <f>IFERROR(VLOOKUP(LOG_RESEAU[[#This Row],[Cell_ID]],Registre_Maintenance!A:E,5,FALSE),"Non trouvé")</f>
        <v>5G</v>
      </c>
      <c r="I1268" s="6" t="str">
        <f>IFERROR(VLOOKUP(LOG_RESEAU[[#This Row],[Cell_ID]],Registre_Maintenance!A:F,6,FALSE),"Non trouvé")</f>
        <v>ZTE</v>
      </c>
      <c r="J1268" s="6" t="str">
        <f t="shared" si="57"/>
        <v>OK</v>
      </c>
      <c r="K1268" s="6">
        <f t="shared" si="58"/>
        <v>2</v>
      </c>
      <c r="L1268" s="6">
        <f t="shared" si="59"/>
        <v>57</v>
      </c>
    </row>
    <row r="1269" spans="1:12" ht="15.75" x14ac:dyDescent="0.25">
      <c r="A1269" s="6" t="s">
        <v>1236</v>
      </c>
      <c r="B1269" s="7">
        <v>45223.450694444437</v>
      </c>
      <c r="C1269" s="6">
        <v>14</v>
      </c>
      <c r="D1269" s="6" t="s">
        <v>792</v>
      </c>
      <c r="E1269" s="8" t="str">
        <f>IFERROR(VLOOKUP(LOG_RESEAU[[#This Row],[Cell_ID]],Registre_Maintenance!A:B,2,FALSE),"Non trouvé")</f>
        <v>Tshuapa</v>
      </c>
      <c r="F1269" s="8">
        <f>IFERROR(VLOOKUP(LOG_RESEAU[[#This Row],[Cell_ID]],Registre_Maintenance!A:C,3,FALSE),"Non trouvé")</f>
        <v>-2.571777</v>
      </c>
      <c r="G1269" s="8">
        <f>IFERROR(VLOOKUP(LOG_RESEAU[[#This Row],[Cell_ID]],Registre_Maintenance!A:D,4,FALSE),"Non trouvé")</f>
        <v>12.120642</v>
      </c>
      <c r="H1269" s="6" t="str">
        <f>IFERROR(VLOOKUP(LOG_RESEAU[[#This Row],[Cell_ID]],Registre_Maintenance!A:E,5,FALSE),"Non trouvé")</f>
        <v>3G</v>
      </c>
      <c r="I1269" s="6" t="str">
        <f>IFERROR(VLOOKUP(LOG_RESEAU[[#This Row],[Cell_ID]],Registre_Maintenance!A:F,6,FALSE),"Non trouvé")</f>
        <v>Huawei</v>
      </c>
      <c r="J1269" s="6" t="str">
        <f t="shared" si="57"/>
        <v>OK</v>
      </c>
      <c r="K1269" s="6">
        <f t="shared" si="58"/>
        <v>1</v>
      </c>
      <c r="L1269" s="6">
        <f t="shared" si="59"/>
        <v>14</v>
      </c>
    </row>
    <row r="1270" spans="1:12" ht="15.75" x14ac:dyDescent="0.25">
      <c r="A1270" s="6" t="s">
        <v>1155</v>
      </c>
      <c r="B1270" s="7">
        <v>45220.877083333333</v>
      </c>
      <c r="C1270" s="6">
        <v>78</v>
      </c>
      <c r="D1270" s="6" t="s">
        <v>794</v>
      </c>
      <c r="E1270" s="8" t="str">
        <f>IFERROR(VLOOKUP(LOG_RESEAU[[#This Row],[Cell_ID]],Registre_Maintenance!A:B,2,FALSE),"Non trouvé")</f>
        <v>Kinshasa</v>
      </c>
      <c r="F1270" s="8">
        <f>IFERROR(VLOOKUP(LOG_RESEAU[[#This Row],[Cell_ID]],Registre_Maintenance!A:C,3,FALSE),"Non trouvé")</f>
        <v>-7.5418399999999997</v>
      </c>
      <c r="G1270" s="8">
        <f>IFERROR(VLOOKUP(LOG_RESEAU[[#This Row],[Cell_ID]],Registre_Maintenance!A:D,4,FALSE),"Non trouvé")</f>
        <v>16.931206</v>
      </c>
      <c r="H1270" s="6" t="str">
        <f>IFERROR(VLOOKUP(LOG_RESEAU[[#This Row],[Cell_ID]],Registre_Maintenance!A:E,5,FALSE),"Non trouvé")</f>
        <v>3G</v>
      </c>
      <c r="I1270" s="6" t="str">
        <f>IFERROR(VLOOKUP(LOG_RESEAU[[#This Row],[Cell_ID]],Registre_Maintenance!A:F,6,FALSE),"Non trouvé")</f>
        <v>Nokia</v>
      </c>
      <c r="J1270" s="6" t="str">
        <f t="shared" si="57"/>
        <v>OK</v>
      </c>
      <c r="K1270" s="6">
        <f t="shared" si="58"/>
        <v>2</v>
      </c>
      <c r="L1270" s="6">
        <f t="shared" si="59"/>
        <v>191</v>
      </c>
    </row>
    <row r="1271" spans="1:12" ht="15.75" x14ac:dyDescent="0.25">
      <c r="A1271" s="6" t="s">
        <v>1155</v>
      </c>
      <c r="B1271" s="7">
        <v>45227.195833333331</v>
      </c>
      <c r="C1271" s="6">
        <v>113</v>
      </c>
      <c r="D1271" s="6" t="s">
        <v>800</v>
      </c>
      <c r="E1271" s="8" t="str">
        <f>IFERROR(VLOOKUP(LOG_RESEAU[[#This Row],[Cell_ID]],Registre_Maintenance!A:B,2,FALSE),"Non trouvé")</f>
        <v>Kinshasa</v>
      </c>
      <c r="F1271" s="8">
        <f>IFERROR(VLOOKUP(LOG_RESEAU[[#This Row],[Cell_ID]],Registre_Maintenance!A:C,3,FALSE),"Non trouvé")</f>
        <v>-7.5418399999999997</v>
      </c>
      <c r="G1271" s="8">
        <f>IFERROR(VLOOKUP(LOG_RESEAU[[#This Row],[Cell_ID]],Registre_Maintenance!A:D,4,FALSE),"Non trouvé")</f>
        <v>16.931206</v>
      </c>
      <c r="H1271" s="6" t="str">
        <f>IFERROR(VLOOKUP(LOG_RESEAU[[#This Row],[Cell_ID]],Registre_Maintenance!A:E,5,FALSE),"Non trouvé")</f>
        <v>3G</v>
      </c>
      <c r="I1271" s="6" t="str">
        <f>IFERROR(VLOOKUP(LOG_RESEAU[[#This Row],[Cell_ID]],Registre_Maintenance!A:F,6,FALSE),"Non trouvé")</f>
        <v>Nokia</v>
      </c>
      <c r="J1271" s="6" t="str">
        <f t="shared" si="57"/>
        <v>OK</v>
      </c>
      <c r="K1271" s="6">
        <f t="shared" si="58"/>
        <v>2</v>
      </c>
      <c r="L1271" s="6">
        <f t="shared" si="59"/>
        <v>191</v>
      </c>
    </row>
    <row r="1272" spans="1:12" ht="15.75" x14ac:dyDescent="0.25">
      <c r="A1272" s="6" t="s">
        <v>1138</v>
      </c>
      <c r="B1272" s="7">
        <v>45221.517361111109</v>
      </c>
      <c r="C1272" s="6">
        <v>83</v>
      </c>
      <c r="D1272" s="6" t="s">
        <v>792</v>
      </c>
      <c r="E1272" s="8" t="str">
        <f>IFERROR(VLOOKUP(LOG_RESEAU[[#This Row],[Cell_ID]],Registre_Maintenance!A:B,2,FALSE),"Non trouvé")</f>
        <v>Sud-Kivu</v>
      </c>
      <c r="F1272" s="8">
        <f>IFERROR(VLOOKUP(LOG_RESEAU[[#This Row],[Cell_ID]],Registre_Maintenance!A:C,3,FALSE),"Non trouvé")</f>
        <v>-2.9651529999999999</v>
      </c>
      <c r="G1272" s="8">
        <f>IFERROR(VLOOKUP(LOG_RESEAU[[#This Row],[Cell_ID]],Registre_Maintenance!A:D,4,FALSE),"Non trouvé")</f>
        <v>29.79908</v>
      </c>
      <c r="H1272" s="6" t="str">
        <f>IFERROR(VLOOKUP(LOG_RESEAU[[#This Row],[Cell_ID]],Registre_Maintenance!A:E,5,FALSE),"Non trouvé")</f>
        <v>4G</v>
      </c>
      <c r="I1272" s="6" t="str">
        <f>IFERROR(VLOOKUP(LOG_RESEAU[[#This Row],[Cell_ID]],Registre_Maintenance!A:F,6,FALSE),"Non trouvé")</f>
        <v>Ericsson</v>
      </c>
      <c r="J1272" s="6" t="str">
        <f t="shared" si="57"/>
        <v>OK</v>
      </c>
      <c r="K1272" s="6">
        <f t="shared" si="58"/>
        <v>2</v>
      </c>
      <c r="L1272" s="6">
        <f t="shared" si="59"/>
        <v>120</v>
      </c>
    </row>
    <row r="1273" spans="1:12" ht="15.75" x14ac:dyDescent="0.25">
      <c r="A1273" s="6" t="s">
        <v>1138</v>
      </c>
      <c r="B1273" s="7">
        <v>45218.675694444442</v>
      </c>
      <c r="C1273" s="6">
        <v>37</v>
      </c>
      <c r="D1273" s="6" t="s">
        <v>792</v>
      </c>
      <c r="E1273" s="8" t="str">
        <f>IFERROR(VLOOKUP(LOG_RESEAU[[#This Row],[Cell_ID]],Registre_Maintenance!A:B,2,FALSE),"Non trouvé")</f>
        <v>Sud-Kivu</v>
      </c>
      <c r="F1273" s="8">
        <f>IFERROR(VLOOKUP(LOG_RESEAU[[#This Row],[Cell_ID]],Registre_Maintenance!A:C,3,FALSE),"Non trouvé")</f>
        <v>-2.9651529999999999</v>
      </c>
      <c r="G1273" s="8">
        <f>IFERROR(VLOOKUP(LOG_RESEAU[[#This Row],[Cell_ID]],Registre_Maintenance!A:D,4,FALSE),"Non trouvé")</f>
        <v>29.79908</v>
      </c>
      <c r="H1273" s="6" t="str">
        <f>IFERROR(VLOOKUP(LOG_RESEAU[[#This Row],[Cell_ID]],Registre_Maintenance!A:E,5,FALSE),"Non trouvé")</f>
        <v>4G</v>
      </c>
      <c r="I1273" s="6" t="str">
        <f>IFERROR(VLOOKUP(LOG_RESEAU[[#This Row],[Cell_ID]],Registre_Maintenance!A:F,6,FALSE),"Non trouvé")</f>
        <v>Ericsson</v>
      </c>
      <c r="J1273" s="6" t="str">
        <f t="shared" si="57"/>
        <v>OK</v>
      </c>
      <c r="K1273" s="6">
        <f t="shared" si="58"/>
        <v>2</v>
      </c>
      <c r="L1273" s="6">
        <f t="shared" si="59"/>
        <v>120</v>
      </c>
    </row>
    <row r="1274" spans="1:12" ht="15.75" x14ac:dyDescent="0.25">
      <c r="A1274" s="6" t="s">
        <v>1280</v>
      </c>
      <c r="B1274" s="7">
        <v>45211.098611111112</v>
      </c>
      <c r="C1274" s="6">
        <v>59</v>
      </c>
      <c r="D1274" s="6" t="s">
        <v>792</v>
      </c>
      <c r="E1274" s="8" t="str">
        <f>IFERROR(VLOOKUP(LOG_RESEAU[[#This Row],[Cell_ID]],Registre_Maintenance!A:B,2,FALSE),"Non trouvé")</f>
        <v>Sud-Ubangi</v>
      </c>
      <c r="F1274" s="8">
        <f>IFERROR(VLOOKUP(LOG_RESEAU[[#This Row],[Cell_ID]],Registre_Maintenance!A:C,3,FALSE),"Non trouvé")</f>
        <v>-11.387295999999999</v>
      </c>
      <c r="G1274" s="8">
        <f>IFERROR(VLOOKUP(LOG_RESEAU[[#This Row],[Cell_ID]],Registre_Maintenance!A:D,4,FALSE),"Non trouvé")</f>
        <v>19.384257999999999</v>
      </c>
      <c r="H1274" s="6" t="str">
        <f>IFERROR(VLOOKUP(LOG_RESEAU[[#This Row],[Cell_ID]],Registre_Maintenance!A:E,5,FALSE),"Non trouvé")</f>
        <v>3G</v>
      </c>
      <c r="I1274" s="6" t="str">
        <f>IFERROR(VLOOKUP(LOG_RESEAU[[#This Row],[Cell_ID]],Registre_Maintenance!A:F,6,FALSE),"Non trouvé")</f>
        <v>Huawei</v>
      </c>
      <c r="J1274" s="6" t="str">
        <f t="shared" si="57"/>
        <v>OK</v>
      </c>
      <c r="K1274" s="6">
        <f t="shared" si="58"/>
        <v>2</v>
      </c>
      <c r="L1274" s="6">
        <f t="shared" si="59"/>
        <v>122</v>
      </c>
    </row>
    <row r="1275" spans="1:12" ht="15.75" x14ac:dyDescent="0.25">
      <c r="A1275" s="6" t="s">
        <v>1280</v>
      </c>
      <c r="B1275" s="7">
        <v>45213.066666666673</v>
      </c>
      <c r="C1275" s="6">
        <v>63</v>
      </c>
      <c r="D1275" s="6" t="s">
        <v>794</v>
      </c>
      <c r="E1275" s="8" t="str">
        <f>IFERROR(VLOOKUP(LOG_RESEAU[[#This Row],[Cell_ID]],Registre_Maintenance!A:B,2,FALSE),"Non trouvé")</f>
        <v>Sud-Ubangi</v>
      </c>
      <c r="F1275" s="8">
        <f>IFERROR(VLOOKUP(LOG_RESEAU[[#This Row],[Cell_ID]],Registre_Maintenance!A:C,3,FALSE),"Non trouvé")</f>
        <v>-11.387295999999999</v>
      </c>
      <c r="G1275" s="8">
        <f>IFERROR(VLOOKUP(LOG_RESEAU[[#This Row],[Cell_ID]],Registre_Maintenance!A:D,4,FALSE),"Non trouvé")</f>
        <v>19.384257999999999</v>
      </c>
      <c r="H1275" s="6" t="str">
        <f>IFERROR(VLOOKUP(LOG_RESEAU[[#This Row],[Cell_ID]],Registre_Maintenance!A:E,5,FALSE),"Non trouvé")</f>
        <v>3G</v>
      </c>
      <c r="I1275" s="6" t="str">
        <f>IFERROR(VLOOKUP(LOG_RESEAU[[#This Row],[Cell_ID]],Registre_Maintenance!A:F,6,FALSE),"Non trouvé")</f>
        <v>Huawei</v>
      </c>
      <c r="J1275" s="6" t="str">
        <f t="shared" si="57"/>
        <v>OK</v>
      </c>
      <c r="K1275" s="6">
        <f t="shared" si="58"/>
        <v>2</v>
      </c>
      <c r="L1275" s="6">
        <f t="shared" si="59"/>
        <v>122</v>
      </c>
    </row>
    <row r="1276" spans="1:12" ht="15.75" x14ac:dyDescent="0.25">
      <c r="A1276" s="6" t="s">
        <v>1127</v>
      </c>
      <c r="B1276" s="7">
        <v>45226.104166666657</v>
      </c>
      <c r="C1276" s="6">
        <v>110</v>
      </c>
      <c r="D1276" s="6" t="s">
        <v>800</v>
      </c>
      <c r="E1276" s="8" t="str">
        <f>IFERROR(VLOOKUP(LOG_RESEAU[[#This Row],[Cell_ID]],Registre_Maintenance!A:B,2,FALSE),"Non trouvé")</f>
        <v>Tshuapa</v>
      </c>
      <c r="F1276" s="8">
        <f>IFERROR(VLOOKUP(LOG_RESEAU[[#This Row],[Cell_ID]],Registre_Maintenance!A:C,3,FALSE),"Non trouvé")</f>
        <v>-2.3677800000000002</v>
      </c>
      <c r="G1276" s="8">
        <f>IFERROR(VLOOKUP(LOG_RESEAU[[#This Row],[Cell_ID]],Registre_Maintenance!A:D,4,FALSE),"Non trouvé")</f>
        <v>18.790323999999998</v>
      </c>
      <c r="H1276" s="6" t="str">
        <f>IFERROR(VLOOKUP(LOG_RESEAU[[#This Row],[Cell_ID]],Registre_Maintenance!A:E,5,FALSE),"Non trouvé")</f>
        <v>5G</v>
      </c>
      <c r="I1276" s="6" t="str">
        <f>IFERROR(VLOOKUP(LOG_RESEAU[[#This Row],[Cell_ID]],Registre_Maintenance!A:F,6,FALSE),"Non trouvé")</f>
        <v>Huawei</v>
      </c>
      <c r="J1276" s="6" t="str">
        <f t="shared" si="57"/>
        <v>OK</v>
      </c>
      <c r="K1276" s="6">
        <f t="shared" si="58"/>
        <v>2</v>
      </c>
      <c r="L1276" s="6">
        <f t="shared" si="59"/>
        <v>151</v>
      </c>
    </row>
    <row r="1277" spans="1:12" ht="15.75" x14ac:dyDescent="0.25">
      <c r="A1277" s="6" t="s">
        <v>1127</v>
      </c>
      <c r="B1277" s="7">
        <v>45219.506249999999</v>
      </c>
      <c r="C1277" s="6">
        <v>41</v>
      </c>
      <c r="D1277" s="6" t="s">
        <v>800</v>
      </c>
      <c r="E1277" s="8" t="str">
        <f>IFERROR(VLOOKUP(LOG_RESEAU[[#This Row],[Cell_ID]],Registre_Maintenance!A:B,2,FALSE),"Non trouvé")</f>
        <v>Tshuapa</v>
      </c>
      <c r="F1277" s="8">
        <f>IFERROR(VLOOKUP(LOG_RESEAU[[#This Row],[Cell_ID]],Registre_Maintenance!A:C,3,FALSE),"Non trouvé")</f>
        <v>-2.3677800000000002</v>
      </c>
      <c r="G1277" s="8">
        <f>IFERROR(VLOOKUP(LOG_RESEAU[[#This Row],[Cell_ID]],Registre_Maintenance!A:D,4,FALSE),"Non trouvé")</f>
        <v>18.790323999999998</v>
      </c>
      <c r="H1277" s="6" t="str">
        <f>IFERROR(VLOOKUP(LOG_RESEAU[[#This Row],[Cell_ID]],Registre_Maintenance!A:E,5,FALSE),"Non trouvé")</f>
        <v>5G</v>
      </c>
      <c r="I1277" s="6" t="str">
        <f>IFERROR(VLOOKUP(LOG_RESEAU[[#This Row],[Cell_ID]],Registre_Maintenance!A:F,6,FALSE),"Non trouvé")</f>
        <v>Huawei</v>
      </c>
      <c r="J1277" s="6" t="str">
        <f t="shared" si="57"/>
        <v>OK</v>
      </c>
      <c r="K1277" s="6">
        <f t="shared" si="58"/>
        <v>2</v>
      </c>
      <c r="L1277" s="6">
        <f t="shared" si="59"/>
        <v>151</v>
      </c>
    </row>
    <row r="1278" spans="1:12" ht="15.75" x14ac:dyDescent="0.25">
      <c r="A1278" s="6" t="s">
        <v>1391</v>
      </c>
      <c r="B1278" s="7">
        <v>45205.178472222222</v>
      </c>
      <c r="C1278" s="6">
        <v>42</v>
      </c>
      <c r="D1278" s="6" t="s">
        <v>800</v>
      </c>
      <c r="E1278" s="8" t="str">
        <f>IFERROR(VLOOKUP(LOG_RESEAU[[#This Row],[Cell_ID]],Registre_Maintenance!A:B,2,FALSE),"Non trouvé")</f>
        <v>Sud-Ubangi</v>
      </c>
      <c r="F1278" s="8">
        <f>IFERROR(VLOOKUP(LOG_RESEAU[[#This Row],[Cell_ID]],Registre_Maintenance!A:C,3,FALSE),"Non trouvé")</f>
        <v>3.611561</v>
      </c>
      <c r="G1278" s="8">
        <f>IFERROR(VLOOKUP(LOG_RESEAU[[#This Row],[Cell_ID]],Registre_Maintenance!A:D,4,FALSE),"Non trouvé")</f>
        <v>17.725974999999998</v>
      </c>
      <c r="H1278" s="6" t="str">
        <f>IFERROR(VLOOKUP(LOG_RESEAU[[#This Row],[Cell_ID]],Registre_Maintenance!A:E,5,FALSE),"Non trouvé")</f>
        <v>3G</v>
      </c>
      <c r="I1278" s="6" t="str">
        <f>IFERROR(VLOOKUP(LOG_RESEAU[[#This Row],[Cell_ID]],Registre_Maintenance!A:F,6,FALSE),"Non trouvé")</f>
        <v>ZTE</v>
      </c>
      <c r="J1278" s="6" t="str">
        <f t="shared" si="57"/>
        <v>OK</v>
      </c>
      <c r="K1278" s="6">
        <f t="shared" si="58"/>
        <v>1</v>
      </c>
      <c r="L1278" s="6">
        <f t="shared" si="59"/>
        <v>42</v>
      </c>
    </row>
    <row r="1279" spans="1:12" ht="15.75" x14ac:dyDescent="0.25">
      <c r="A1279" s="6" t="s">
        <v>1353</v>
      </c>
      <c r="B1279" s="7">
        <v>45212.680555555547</v>
      </c>
      <c r="C1279" s="6">
        <v>63</v>
      </c>
      <c r="D1279" s="6" t="s">
        <v>794</v>
      </c>
      <c r="E1279" s="8" t="str">
        <f>IFERROR(VLOOKUP(LOG_RESEAU[[#This Row],[Cell_ID]],Registre_Maintenance!A:B,2,FALSE),"Non trouvé")</f>
        <v>Non trouvé</v>
      </c>
      <c r="F1279" s="8" t="str">
        <f>IFERROR(VLOOKUP(LOG_RESEAU[[#This Row],[Cell_ID]],Registre_Maintenance!A:C,3,FALSE),"Non trouvé")</f>
        <v>Non trouvé</v>
      </c>
      <c r="G1279" s="8" t="str">
        <f>IFERROR(VLOOKUP(LOG_RESEAU[[#This Row],[Cell_ID]],Registre_Maintenance!A:D,4,FALSE),"Non trouvé")</f>
        <v>Non trouvé</v>
      </c>
      <c r="H1279" s="6" t="str">
        <f>IFERROR(VLOOKUP(LOG_RESEAU[[#This Row],[Cell_ID]],Registre_Maintenance!A:E,5,FALSE),"Non trouvé")</f>
        <v>Non trouvé</v>
      </c>
      <c r="I1279" s="6" t="str">
        <f>IFERROR(VLOOKUP(LOG_RESEAU[[#This Row],[Cell_ID]],Registre_Maintenance!A:F,6,FALSE),"Non trouvé")</f>
        <v>Non trouvé</v>
      </c>
      <c r="J1279" s="6" t="str">
        <f t="shared" si="57"/>
        <v>Antenne inconnue</v>
      </c>
      <c r="K1279" s="6">
        <f t="shared" si="58"/>
        <v>1</v>
      </c>
      <c r="L1279" s="6">
        <f t="shared" si="59"/>
        <v>63</v>
      </c>
    </row>
    <row r="1280" spans="1:12" ht="15.75" x14ac:dyDescent="0.25">
      <c r="A1280" s="6" t="s">
        <v>1436</v>
      </c>
      <c r="B1280" s="7">
        <v>45222.777777777781</v>
      </c>
      <c r="C1280" s="6">
        <v>102</v>
      </c>
      <c r="D1280" s="6" t="s">
        <v>792</v>
      </c>
      <c r="E1280" s="8" t="str">
        <f>IFERROR(VLOOKUP(LOG_RESEAU[[#This Row],[Cell_ID]],Registre_Maintenance!A:B,2,FALSE),"Non trouvé")</f>
        <v>Haut-Lomami</v>
      </c>
      <c r="F1280" s="8">
        <f>IFERROR(VLOOKUP(LOG_RESEAU[[#This Row],[Cell_ID]],Registre_Maintenance!A:C,3,FALSE),"Non trouvé")</f>
        <v>-1.3938550000000001</v>
      </c>
      <c r="G1280" s="8">
        <f>IFERROR(VLOOKUP(LOG_RESEAU[[#This Row],[Cell_ID]],Registre_Maintenance!A:D,4,FALSE),"Non trouvé")</f>
        <v>15.097554000000001</v>
      </c>
      <c r="H1280" s="6" t="str">
        <f>IFERROR(VLOOKUP(LOG_RESEAU[[#This Row],[Cell_ID]],Registre_Maintenance!A:E,5,FALSE),"Non trouvé")</f>
        <v>4G</v>
      </c>
      <c r="I1280" s="6" t="str">
        <f>IFERROR(VLOOKUP(LOG_RESEAU[[#This Row],[Cell_ID]],Registre_Maintenance!A:F,6,FALSE),"Non trouvé")</f>
        <v>Huawei</v>
      </c>
      <c r="J1280" s="6" t="str">
        <f t="shared" si="57"/>
        <v>OK</v>
      </c>
      <c r="K1280" s="6">
        <f t="shared" si="58"/>
        <v>2</v>
      </c>
      <c r="L1280" s="6">
        <f t="shared" si="59"/>
        <v>167</v>
      </c>
    </row>
    <row r="1281" spans="1:12" ht="15.75" x14ac:dyDescent="0.25">
      <c r="A1281" s="6" t="s">
        <v>1436</v>
      </c>
      <c r="B1281" s="7">
        <v>45220.222916666673</v>
      </c>
      <c r="C1281" s="6">
        <v>65</v>
      </c>
      <c r="D1281" s="6" t="s">
        <v>792</v>
      </c>
      <c r="E1281" s="8" t="str">
        <f>IFERROR(VLOOKUP(LOG_RESEAU[[#This Row],[Cell_ID]],Registre_Maintenance!A:B,2,FALSE),"Non trouvé")</f>
        <v>Haut-Lomami</v>
      </c>
      <c r="F1281" s="8">
        <f>IFERROR(VLOOKUP(LOG_RESEAU[[#This Row],[Cell_ID]],Registre_Maintenance!A:C,3,FALSE),"Non trouvé")</f>
        <v>-1.3938550000000001</v>
      </c>
      <c r="G1281" s="8">
        <f>IFERROR(VLOOKUP(LOG_RESEAU[[#This Row],[Cell_ID]],Registre_Maintenance!A:D,4,FALSE),"Non trouvé")</f>
        <v>15.097554000000001</v>
      </c>
      <c r="H1281" s="6" t="str">
        <f>IFERROR(VLOOKUP(LOG_RESEAU[[#This Row],[Cell_ID]],Registre_Maintenance!A:E,5,FALSE),"Non trouvé")</f>
        <v>4G</v>
      </c>
      <c r="I1281" s="6" t="str">
        <f>IFERROR(VLOOKUP(LOG_RESEAU[[#This Row],[Cell_ID]],Registre_Maintenance!A:F,6,FALSE),"Non trouvé")</f>
        <v>Huawei</v>
      </c>
      <c r="J1281" s="6" t="str">
        <f t="shared" si="57"/>
        <v>OK</v>
      </c>
      <c r="K1281" s="6">
        <f t="shared" si="58"/>
        <v>2</v>
      </c>
      <c r="L1281" s="6">
        <f t="shared" si="59"/>
        <v>167</v>
      </c>
    </row>
    <row r="1282" spans="1:12" ht="15.75" x14ac:dyDescent="0.25">
      <c r="A1282" s="6" t="s">
        <v>1163</v>
      </c>
      <c r="B1282" s="7">
        <v>45209.777083333327</v>
      </c>
      <c r="C1282" s="6">
        <v>40</v>
      </c>
      <c r="D1282" s="6" t="s">
        <v>792</v>
      </c>
      <c r="E1282" s="8" t="str">
        <f>IFERROR(VLOOKUP(LOG_RESEAU[[#This Row],[Cell_ID]],Registre_Maintenance!A:B,2,FALSE),"Non trouvé")</f>
        <v>Lualaba</v>
      </c>
      <c r="F1282" s="8">
        <f>IFERROR(VLOOKUP(LOG_RESEAU[[#This Row],[Cell_ID]],Registre_Maintenance!A:C,3,FALSE),"Non trouvé")</f>
        <v>-9.5243310000000001</v>
      </c>
      <c r="G1282" s="8">
        <f>IFERROR(VLOOKUP(LOG_RESEAU[[#This Row],[Cell_ID]],Registre_Maintenance!A:D,4,FALSE),"Non trouvé")</f>
        <v>30.541212000000002</v>
      </c>
      <c r="H1282" s="6" t="str">
        <f>IFERROR(VLOOKUP(LOG_RESEAU[[#This Row],[Cell_ID]],Registre_Maintenance!A:E,5,FALSE),"Non trouvé")</f>
        <v>3G</v>
      </c>
      <c r="I1282" s="6" t="str">
        <f>IFERROR(VLOOKUP(LOG_RESEAU[[#This Row],[Cell_ID]],Registre_Maintenance!A:F,6,FALSE),"Non trouvé")</f>
        <v>Ericsson</v>
      </c>
      <c r="J1282" s="6" t="str">
        <f t="shared" ref="J1282:J1345" si="60">IF(ISERROR(SEARCH("Non trouvé",F1282)),"OK","Antenne inconnue")</f>
        <v>OK</v>
      </c>
      <c r="K1282" s="6">
        <f t="shared" ref="K1282:K1345" si="61">COUNTIF(A:A,A1282)</f>
        <v>3</v>
      </c>
      <c r="L1282" s="6">
        <f t="shared" ref="L1282:L1345" si="62">SUMIF(A:A,A1282,C:C)</f>
        <v>126</v>
      </c>
    </row>
    <row r="1283" spans="1:12" ht="15.75" x14ac:dyDescent="0.25">
      <c r="A1283" s="6" t="s">
        <v>1163</v>
      </c>
      <c r="B1283" s="7">
        <v>45216.729861111111</v>
      </c>
      <c r="C1283" s="6">
        <v>78</v>
      </c>
      <c r="D1283" s="6" t="s">
        <v>800</v>
      </c>
      <c r="E1283" s="8" t="str">
        <f>IFERROR(VLOOKUP(LOG_RESEAU[[#This Row],[Cell_ID]],Registre_Maintenance!A:B,2,FALSE),"Non trouvé")</f>
        <v>Lualaba</v>
      </c>
      <c r="F1283" s="8">
        <f>IFERROR(VLOOKUP(LOG_RESEAU[[#This Row],[Cell_ID]],Registre_Maintenance!A:C,3,FALSE),"Non trouvé")</f>
        <v>-9.5243310000000001</v>
      </c>
      <c r="G1283" s="8">
        <f>IFERROR(VLOOKUP(LOG_RESEAU[[#This Row],[Cell_ID]],Registre_Maintenance!A:D,4,FALSE),"Non trouvé")</f>
        <v>30.541212000000002</v>
      </c>
      <c r="H1283" s="6" t="str">
        <f>IFERROR(VLOOKUP(LOG_RESEAU[[#This Row],[Cell_ID]],Registre_Maintenance!A:E,5,FALSE),"Non trouvé")</f>
        <v>3G</v>
      </c>
      <c r="I1283" s="6" t="str">
        <f>IFERROR(VLOOKUP(LOG_RESEAU[[#This Row],[Cell_ID]],Registre_Maintenance!A:F,6,FALSE),"Non trouvé")</f>
        <v>Ericsson</v>
      </c>
      <c r="J1283" s="6" t="str">
        <f t="shared" si="60"/>
        <v>OK</v>
      </c>
      <c r="K1283" s="6">
        <f t="shared" si="61"/>
        <v>3</v>
      </c>
      <c r="L1283" s="6">
        <f t="shared" si="62"/>
        <v>126</v>
      </c>
    </row>
    <row r="1284" spans="1:12" ht="15.75" x14ac:dyDescent="0.25">
      <c r="A1284" s="6" t="s">
        <v>1163</v>
      </c>
      <c r="B1284" s="7">
        <v>45230.119444444441</v>
      </c>
      <c r="C1284" s="6">
        <v>8</v>
      </c>
      <c r="D1284" s="6" t="s">
        <v>800</v>
      </c>
      <c r="E1284" s="8" t="str">
        <f>IFERROR(VLOOKUP(LOG_RESEAU[[#This Row],[Cell_ID]],Registre_Maintenance!A:B,2,FALSE),"Non trouvé")</f>
        <v>Lualaba</v>
      </c>
      <c r="F1284" s="8">
        <f>IFERROR(VLOOKUP(LOG_RESEAU[[#This Row],[Cell_ID]],Registre_Maintenance!A:C,3,FALSE),"Non trouvé")</f>
        <v>-9.5243310000000001</v>
      </c>
      <c r="G1284" s="8">
        <f>IFERROR(VLOOKUP(LOG_RESEAU[[#This Row],[Cell_ID]],Registre_Maintenance!A:D,4,FALSE),"Non trouvé")</f>
        <v>30.541212000000002</v>
      </c>
      <c r="H1284" s="6" t="str">
        <f>IFERROR(VLOOKUP(LOG_RESEAU[[#This Row],[Cell_ID]],Registre_Maintenance!A:E,5,FALSE),"Non trouvé")</f>
        <v>3G</v>
      </c>
      <c r="I1284" s="6" t="str">
        <f>IFERROR(VLOOKUP(LOG_RESEAU[[#This Row],[Cell_ID]],Registre_Maintenance!A:F,6,FALSE),"Non trouvé")</f>
        <v>Ericsson</v>
      </c>
      <c r="J1284" s="6" t="str">
        <f t="shared" si="60"/>
        <v>OK</v>
      </c>
      <c r="K1284" s="6">
        <f t="shared" si="61"/>
        <v>3</v>
      </c>
      <c r="L1284" s="6">
        <f t="shared" si="62"/>
        <v>126</v>
      </c>
    </row>
    <row r="1285" spans="1:12" ht="15.75" x14ac:dyDescent="0.25">
      <c r="A1285" s="6" t="s">
        <v>1197</v>
      </c>
      <c r="B1285" s="7">
        <v>45203.864583333343</v>
      </c>
      <c r="C1285" s="6">
        <v>100</v>
      </c>
      <c r="D1285" s="6" t="s">
        <v>792</v>
      </c>
      <c r="E1285" s="8" t="str">
        <f>IFERROR(VLOOKUP(LOG_RESEAU[[#This Row],[Cell_ID]],Registre_Maintenance!A:B,2,FALSE),"Non trouvé")</f>
        <v>Non trouvé</v>
      </c>
      <c r="F1285" s="8" t="str">
        <f>IFERROR(VLOOKUP(LOG_RESEAU[[#This Row],[Cell_ID]],Registre_Maintenance!A:C,3,FALSE),"Non trouvé")</f>
        <v>Non trouvé</v>
      </c>
      <c r="G1285" s="8" t="str">
        <f>IFERROR(VLOOKUP(LOG_RESEAU[[#This Row],[Cell_ID]],Registre_Maintenance!A:D,4,FALSE),"Non trouvé")</f>
        <v>Non trouvé</v>
      </c>
      <c r="H1285" s="6" t="str">
        <f>IFERROR(VLOOKUP(LOG_RESEAU[[#This Row],[Cell_ID]],Registre_Maintenance!A:E,5,FALSE),"Non trouvé")</f>
        <v>Non trouvé</v>
      </c>
      <c r="I1285" s="6" t="str">
        <f>IFERROR(VLOOKUP(LOG_RESEAU[[#This Row],[Cell_ID]],Registre_Maintenance!A:F,6,FALSE),"Non trouvé")</f>
        <v>Non trouvé</v>
      </c>
      <c r="J1285" s="6" t="str">
        <f t="shared" si="60"/>
        <v>Antenne inconnue</v>
      </c>
      <c r="K1285" s="6">
        <f t="shared" si="61"/>
        <v>1</v>
      </c>
      <c r="L1285" s="6">
        <f t="shared" si="62"/>
        <v>100</v>
      </c>
    </row>
    <row r="1286" spans="1:12" ht="15.75" x14ac:dyDescent="0.25">
      <c r="A1286" s="6" t="s">
        <v>1494</v>
      </c>
      <c r="B1286" s="7">
        <v>45208.762499999997</v>
      </c>
      <c r="C1286" s="6">
        <v>101</v>
      </c>
      <c r="D1286" s="6" t="s">
        <v>794</v>
      </c>
      <c r="E1286" s="8" t="str">
        <f>IFERROR(VLOOKUP(LOG_RESEAU[[#This Row],[Cell_ID]],Registre_Maintenance!A:B,2,FALSE),"Non trouvé")</f>
        <v>Non trouvé</v>
      </c>
      <c r="F1286" s="8" t="str">
        <f>IFERROR(VLOOKUP(LOG_RESEAU[[#This Row],[Cell_ID]],Registre_Maintenance!A:C,3,FALSE),"Non trouvé")</f>
        <v>Non trouvé</v>
      </c>
      <c r="G1286" s="8" t="str">
        <f>IFERROR(VLOOKUP(LOG_RESEAU[[#This Row],[Cell_ID]],Registre_Maintenance!A:D,4,FALSE),"Non trouvé")</f>
        <v>Non trouvé</v>
      </c>
      <c r="H1286" s="6" t="str">
        <f>IFERROR(VLOOKUP(LOG_RESEAU[[#This Row],[Cell_ID]],Registre_Maintenance!A:E,5,FALSE),"Non trouvé")</f>
        <v>Non trouvé</v>
      </c>
      <c r="I1286" s="6" t="str">
        <f>IFERROR(VLOOKUP(LOG_RESEAU[[#This Row],[Cell_ID]],Registre_Maintenance!A:F,6,FALSE),"Non trouvé")</f>
        <v>Non trouvé</v>
      </c>
      <c r="J1286" s="6" t="str">
        <f t="shared" si="60"/>
        <v>Antenne inconnue</v>
      </c>
      <c r="K1286" s="6">
        <f t="shared" si="61"/>
        <v>1</v>
      </c>
      <c r="L1286" s="6">
        <f t="shared" si="62"/>
        <v>101</v>
      </c>
    </row>
    <row r="1287" spans="1:12" ht="15.75" x14ac:dyDescent="0.25">
      <c r="A1287" s="6" t="s">
        <v>1225</v>
      </c>
      <c r="B1287" s="7">
        <v>45213.960416666669</v>
      </c>
      <c r="C1287" s="6">
        <v>103</v>
      </c>
      <c r="D1287" s="6" t="s">
        <v>800</v>
      </c>
      <c r="E1287" s="8" t="str">
        <f>IFERROR(VLOOKUP(LOG_RESEAU[[#This Row],[Cell_ID]],Registre_Maintenance!A:B,2,FALSE),"Non trouvé")</f>
        <v>Non trouvé</v>
      </c>
      <c r="F1287" s="8" t="str">
        <f>IFERROR(VLOOKUP(LOG_RESEAU[[#This Row],[Cell_ID]],Registre_Maintenance!A:C,3,FALSE),"Non trouvé")</f>
        <v>Non trouvé</v>
      </c>
      <c r="G1287" s="8" t="str">
        <f>IFERROR(VLOOKUP(LOG_RESEAU[[#This Row],[Cell_ID]],Registre_Maintenance!A:D,4,FALSE),"Non trouvé")</f>
        <v>Non trouvé</v>
      </c>
      <c r="H1287" s="6" t="str">
        <f>IFERROR(VLOOKUP(LOG_RESEAU[[#This Row],[Cell_ID]],Registre_Maintenance!A:E,5,FALSE),"Non trouvé")</f>
        <v>Non trouvé</v>
      </c>
      <c r="I1287" s="6" t="str">
        <f>IFERROR(VLOOKUP(LOG_RESEAU[[#This Row],[Cell_ID]],Registre_Maintenance!A:F,6,FALSE),"Non trouvé")</f>
        <v>Non trouvé</v>
      </c>
      <c r="J1287" s="6" t="str">
        <f t="shared" si="60"/>
        <v>Antenne inconnue</v>
      </c>
      <c r="K1287" s="6">
        <f t="shared" si="61"/>
        <v>1</v>
      </c>
      <c r="L1287" s="6">
        <f t="shared" si="62"/>
        <v>103</v>
      </c>
    </row>
    <row r="1288" spans="1:12" ht="15.75" x14ac:dyDescent="0.25">
      <c r="A1288" s="6" t="s">
        <v>1257</v>
      </c>
      <c r="B1288" s="7">
        <v>45219.076388888891</v>
      </c>
      <c r="C1288" s="6">
        <v>93</v>
      </c>
      <c r="D1288" s="6" t="s">
        <v>792</v>
      </c>
      <c r="E1288" s="8" t="str">
        <f>IFERROR(VLOOKUP(LOG_RESEAU[[#This Row],[Cell_ID]],Registre_Maintenance!A:B,2,FALSE),"Non trouvé")</f>
        <v>Non trouvé</v>
      </c>
      <c r="F1288" s="8" t="str">
        <f>IFERROR(VLOOKUP(LOG_RESEAU[[#This Row],[Cell_ID]],Registre_Maintenance!A:C,3,FALSE),"Non trouvé")</f>
        <v>Non trouvé</v>
      </c>
      <c r="G1288" s="8" t="str">
        <f>IFERROR(VLOOKUP(LOG_RESEAU[[#This Row],[Cell_ID]],Registre_Maintenance!A:D,4,FALSE),"Non trouvé")</f>
        <v>Non trouvé</v>
      </c>
      <c r="H1288" s="6" t="str">
        <f>IFERROR(VLOOKUP(LOG_RESEAU[[#This Row],[Cell_ID]],Registre_Maintenance!A:E,5,FALSE),"Non trouvé")</f>
        <v>Non trouvé</v>
      </c>
      <c r="I1288" s="6" t="str">
        <f>IFERROR(VLOOKUP(LOG_RESEAU[[#This Row],[Cell_ID]],Registre_Maintenance!A:F,6,FALSE),"Non trouvé")</f>
        <v>Non trouvé</v>
      </c>
      <c r="J1288" s="6" t="str">
        <f t="shared" si="60"/>
        <v>Antenne inconnue</v>
      </c>
      <c r="K1288" s="6">
        <f t="shared" si="61"/>
        <v>3</v>
      </c>
      <c r="L1288" s="6">
        <f t="shared" si="62"/>
        <v>204</v>
      </c>
    </row>
    <row r="1289" spans="1:12" ht="15.75" x14ac:dyDescent="0.25">
      <c r="A1289" s="6" t="s">
        <v>1257</v>
      </c>
      <c r="B1289" s="7">
        <v>45217.193749999999</v>
      </c>
      <c r="C1289" s="6">
        <v>56</v>
      </c>
      <c r="D1289" s="6" t="s">
        <v>794</v>
      </c>
      <c r="E1289" s="8" t="str">
        <f>IFERROR(VLOOKUP(LOG_RESEAU[[#This Row],[Cell_ID]],Registre_Maintenance!A:B,2,FALSE),"Non trouvé")</f>
        <v>Non trouvé</v>
      </c>
      <c r="F1289" s="8" t="str">
        <f>IFERROR(VLOOKUP(LOG_RESEAU[[#This Row],[Cell_ID]],Registre_Maintenance!A:C,3,FALSE),"Non trouvé")</f>
        <v>Non trouvé</v>
      </c>
      <c r="G1289" s="8" t="str">
        <f>IFERROR(VLOOKUP(LOG_RESEAU[[#This Row],[Cell_ID]],Registre_Maintenance!A:D,4,FALSE),"Non trouvé")</f>
        <v>Non trouvé</v>
      </c>
      <c r="H1289" s="6" t="str">
        <f>IFERROR(VLOOKUP(LOG_RESEAU[[#This Row],[Cell_ID]],Registre_Maintenance!A:E,5,FALSE),"Non trouvé")</f>
        <v>Non trouvé</v>
      </c>
      <c r="I1289" s="6" t="str">
        <f>IFERROR(VLOOKUP(LOG_RESEAU[[#This Row],[Cell_ID]],Registre_Maintenance!A:F,6,FALSE),"Non trouvé")</f>
        <v>Non trouvé</v>
      </c>
      <c r="J1289" s="6" t="str">
        <f t="shared" si="60"/>
        <v>Antenne inconnue</v>
      </c>
      <c r="K1289" s="6">
        <f t="shared" si="61"/>
        <v>3</v>
      </c>
      <c r="L1289" s="6">
        <f t="shared" si="62"/>
        <v>204</v>
      </c>
    </row>
    <row r="1290" spans="1:12" ht="15.75" x14ac:dyDescent="0.25">
      <c r="A1290" s="6" t="s">
        <v>1257</v>
      </c>
      <c r="B1290" s="7">
        <v>45217.504166666673</v>
      </c>
      <c r="C1290" s="6">
        <v>55</v>
      </c>
      <c r="D1290" s="6" t="s">
        <v>792</v>
      </c>
      <c r="E1290" s="8" t="str">
        <f>IFERROR(VLOOKUP(LOG_RESEAU[[#This Row],[Cell_ID]],Registre_Maintenance!A:B,2,FALSE),"Non trouvé")</f>
        <v>Non trouvé</v>
      </c>
      <c r="F1290" s="8" t="str">
        <f>IFERROR(VLOOKUP(LOG_RESEAU[[#This Row],[Cell_ID]],Registre_Maintenance!A:C,3,FALSE),"Non trouvé")</f>
        <v>Non trouvé</v>
      </c>
      <c r="G1290" s="8" t="str">
        <f>IFERROR(VLOOKUP(LOG_RESEAU[[#This Row],[Cell_ID]],Registre_Maintenance!A:D,4,FALSE),"Non trouvé")</f>
        <v>Non trouvé</v>
      </c>
      <c r="H1290" s="6" t="str">
        <f>IFERROR(VLOOKUP(LOG_RESEAU[[#This Row],[Cell_ID]],Registre_Maintenance!A:E,5,FALSE),"Non trouvé")</f>
        <v>Non trouvé</v>
      </c>
      <c r="I1290" s="6" t="str">
        <f>IFERROR(VLOOKUP(LOG_RESEAU[[#This Row],[Cell_ID]],Registre_Maintenance!A:F,6,FALSE),"Non trouvé")</f>
        <v>Non trouvé</v>
      </c>
      <c r="J1290" s="6" t="str">
        <f t="shared" si="60"/>
        <v>Antenne inconnue</v>
      </c>
      <c r="K1290" s="6">
        <f t="shared" si="61"/>
        <v>3</v>
      </c>
      <c r="L1290" s="6">
        <f t="shared" si="62"/>
        <v>204</v>
      </c>
    </row>
    <row r="1291" spans="1:12" ht="15.75" x14ac:dyDescent="0.25">
      <c r="A1291" s="6" t="s">
        <v>1352</v>
      </c>
      <c r="B1291" s="7">
        <v>45200.511111111111</v>
      </c>
      <c r="C1291" s="6">
        <v>22</v>
      </c>
      <c r="D1291" s="6" t="s">
        <v>792</v>
      </c>
      <c r="E1291" s="8" t="str">
        <f>IFERROR(VLOOKUP(LOG_RESEAU[[#This Row],[Cell_ID]],Registre_Maintenance!A:B,2,FALSE),"Non trouvé")</f>
        <v>Kwilu</v>
      </c>
      <c r="F1291" s="8">
        <f>IFERROR(VLOOKUP(LOG_RESEAU[[#This Row],[Cell_ID]],Registre_Maintenance!A:C,3,FALSE),"Non trouvé")</f>
        <v>-10.939712999999999</v>
      </c>
      <c r="G1291" s="8">
        <f>IFERROR(VLOOKUP(LOG_RESEAU[[#This Row],[Cell_ID]],Registre_Maintenance!A:D,4,FALSE),"Non trouvé")</f>
        <v>18.276230999999999</v>
      </c>
      <c r="H1291" s="6" t="str">
        <f>IFERROR(VLOOKUP(LOG_RESEAU[[#This Row],[Cell_ID]],Registre_Maintenance!A:E,5,FALSE),"Non trouvé")</f>
        <v>4G</v>
      </c>
      <c r="I1291" s="6" t="str">
        <f>IFERROR(VLOOKUP(LOG_RESEAU[[#This Row],[Cell_ID]],Registre_Maintenance!A:F,6,FALSE),"Non trouvé")</f>
        <v>ZTE</v>
      </c>
      <c r="J1291" s="6" t="str">
        <f t="shared" si="60"/>
        <v>OK</v>
      </c>
      <c r="K1291" s="6">
        <f t="shared" si="61"/>
        <v>2</v>
      </c>
      <c r="L1291" s="6">
        <f t="shared" si="62"/>
        <v>127</v>
      </c>
    </row>
    <row r="1292" spans="1:12" ht="15.75" x14ac:dyDescent="0.25">
      <c r="A1292" s="6" t="s">
        <v>1352</v>
      </c>
      <c r="B1292" s="7">
        <v>45213.145138888889</v>
      </c>
      <c r="C1292" s="6">
        <v>105</v>
      </c>
      <c r="D1292" s="6" t="s">
        <v>800</v>
      </c>
      <c r="E1292" s="8" t="str">
        <f>IFERROR(VLOOKUP(LOG_RESEAU[[#This Row],[Cell_ID]],Registre_Maintenance!A:B,2,FALSE),"Non trouvé")</f>
        <v>Kwilu</v>
      </c>
      <c r="F1292" s="8">
        <f>IFERROR(VLOOKUP(LOG_RESEAU[[#This Row],[Cell_ID]],Registre_Maintenance!A:C,3,FALSE),"Non trouvé")</f>
        <v>-10.939712999999999</v>
      </c>
      <c r="G1292" s="8">
        <f>IFERROR(VLOOKUP(LOG_RESEAU[[#This Row],[Cell_ID]],Registre_Maintenance!A:D,4,FALSE),"Non trouvé")</f>
        <v>18.276230999999999</v>
      </c>
      <c r="H1292" s="6" t="str">
        <f>IFERROR(VLOOKUP(LOG_RESEAU[[#This Row],[Cell_ID]],Registre_Maintenance!A:E,5,FALSE),"Non trouvé")</f>
        <v>4G</v>
      </c>
      <c r="I1292" s="6" t="str">
        <f>IFERROR(VLOOKUP(LOG_RESEAU[[#This Row],[Cell_ID]],Registre_Maintenance!A:F,6,FALSE),"Non trouvé")</f>
        <v>ZTE</v>
      </c>
      <c r="J1292" s="6" t="str">
        <f t="shared" si="60"/>
        <v>OK</v>
      </c>
      <c r="K1292" s="6">
        <f t="shared" si="61"/>
        <v>2</v>
      </c>
      <c r="L1292" s="6">
        <f t="shared" si="62"/>
        <v>127</v>
      </c>
    </row>
    <row r="1293" spans="1:12" ht="15.75" x14ac:dyDescent="0.25">
      <c r="A1293" s="6" t="s">
        <v>1501</v>
      </c>
      <c r="B1293" s="7">
        <v>45206.23333333333</v>
      </c>
      <c r="C1293" s="6">
        <v>26</v>
      </c>
      <c r="D1293" s="6" t="s">
        <v>792</v>
      </c>
      <c r="E1293" s="8" t="str">
        <f>IFERROR(VLOOKUP(LOG_RESEAU[[#This Row],[Cell_ID]],Registre_Maintenance!A:B,2,FALSE),"Non trouvé")</f>
        <v>Mai-Ndombe</v>
      </c>
      <c r="F1293" s="8">
        <f>IFERROR(VLOOKUP(LOG_RESEAU[[#This Row],[Cell_ID]],Registre_Maintenance!A:C,3,FALSE),"Non trouvé")</f>
        <v>-4.6311460000000002</v>
      </c>
      <c r="G1293" s="8">
        <f>IFERROR(VLOOKUP(LOG_RESEAU[[#This Row],[Cell_ID]],Registre_Maintenance!A:D,4,FALSE),"Non trouvé")</f>
        <v>25.314723000000001</v>
      </c>
      <c r="H1293" s="6" t="str">
        <f>IFERROR(VLOOKUP(LOG_RESEAU[[#This Row],[Cell_ID]],Registre_Maintenance!A:E,5,FALSE),"Non trouvé")</f>
        <v>4G</v>
      </c>
      <c r="I1293" s="6" t="str">
        <f>IFERROR(VLOOKUP(LOG_RESEAU[[#This Row],[Cell_ID]],Registre_Maintenance!A:F,6,FALSE),"Non trouvé")</f>
        <v>Huawei</v>
      </c>
      <c r="J1293" s="6" t="str">
        <f t="shared" si="60"/>
        <v>OK</v>
      </c>
      <c r="K1293" s="6">
        <f t="shared" si="61"/>
        <v>1</v>
      </c>
      <c r="L1293" s="6">
        <f t="shared" si="62"/>
        <v>26</v>
      </c>
    </row>
    <row r="1294" spans="1:12" ht="15.75" x14ac:dyDescent="0.25">
      <c r="A1294" s="6" t="s">
        <v>1058</v>
      </c>
      <c r="B1294" s="7">
        <v>45205.353472222218</v>
      </c>
      <c r="C1294" s="6">
        <v>52</v>
      </c>
      <c r="D1294" s="6" t="s">
        <v>800</v>
      </c>
      <c r="E1294" s="8" t="str">
        <f>IFERROR(VLOOKUP(LOG_RESEAU[[#This Row],[Cell_ID]],Registre_Maintenance!A:B,2,FALSE),"Non trouvé")</f>
        <v>Tanganyika</v>
      </c>
      <c r="F1294" s="8">
        <f>IFERROR(VLOOKUP(LOG_RESEAU[[#This Row],[Cell_ID]],Registre_Maintenance!A:C,3,FALSE),"Non trouvé")</f>
        <v>3.1362930000000002</v>
      </c>
      <c r="G1294" s="8">
        <f>IFERROR(VLOOKUP(LOG_RESEAU[[#This Row],[Cell_ID]],Registre_Maintenance!A:D,4,FALSE),"Non trouvé")</f>
        <v>16.190878000000001</v>
      </c>
      <c r="H1294" s="6" t="str">
        <f>IFERROR(VLOOKUP(LOG_RESEAU[[#This Row],[Cell_ID]],Registre_Maintenance!A:E,5,FALSE),"Non trouvé")</f>
        <v>3G</v>
      </c>
      <c r="I1294" s="6" t="str">
        <f>IFERROR(VLOOKUP(LOG_RESEAU[[#This Row],[Cell_ID]],Registre_Maintenance!A:F,6,FALSE),"Non trouvé")</f>
        <v>Nokia</v>
      </c>
      <c r="J1294" s="6" t="str">
        <f t="shared" si="60"/>
        <v>OK</v>
      </c>
      <c r="K1294" s="6">
        <f t="shared" si="61"/>
        <v>1</v>
      </c>
      <c r="L1294" s="6">
        <f t="shared" si="62"/>
        <v>52</v>
      </c>
    </row>
    <row r="1295" spans="1:12" ht="15.75" x14ac:dyDescent="0.25">
      <c r="A1295" s="6" t="s">
        <v>1342</v>
      </c>
      <c r="B1295" s="7">
        <v>45215.743750000001</v>
      </c>
      <c r="C1295" s="6">
        <v>103</v>
      </c>
      <c r="D1295" s="6" t="s">
        <v>794</v>
      </c>
      <c r="E1295" s="8" t="str">
        <f>IFERROR(VLOOKUP(LOG_RESEAU[[#This Row],[Cell_ID]],Registre_Maintenance!A:B,2,FALSE),"Non trouvé")</f>
        <v>Non trouvé</v>
      </c>
      <c r="F1295" s="8" t="str">
        <f>IFERROR(VLOOKUP(LOG_RESEAU[[#This Row],[Cell_ID]],Registre_Maintenance!A:C,3,FALSE),"Non trouvé")</f>
        <v>Non trouvé</v>
      </c>
      <c r="G1295" s="8" t="str">
        <f>IFERROR(VLOOKUP(LOG_RESEAU[[#This Row],[Cell_ID]],Registre_Maintenance!A:D,4,FALSE),"Non trouvé")</f>
        <v>Non trouvé</v>
      </c>
      <c r="H1295" s="6" t="str">
        <f>IFERROR(VLOOKUP(LOG_RESEAU[[#This Row],[Cell_ID]],Registre_Maintenance!A:E,5,FALSE),"Non trouvé")</f>
        <v>Non trouvé</v>
      </c>
      <c r="I1295" s="6" t="str">
        <f>IFERROR(VLOOKUP(LOG_RESEAU[[#This Row],[Cell_ID]],Registre_Maintenance!A:F,6,FALSE),"Non trouvé")</f>
        <v>Non trouvé</v>
      </c>
      <c r="J1295" s="6" t="str">
        <f t="shared" si="60"/>
        <v>Antenne inconnue</v>
      </c>
      <c r="K1295" s="6">
        <f t="shared" si="61"/>
        <v>1</v>
      </c>
      <c r="L1295" s="6">
        <f t="shared" si="62"/>
        <v>103</v>
      </c>
    </row>
    <row r="1296" spans="1:12" ht="15.75" x14ac:dyDescent="0.25">
      <c r="A1296" s="6" t="s">
        <v>1148</v>
      </c>
      <c r="B1296" s="7">
        <v>45227.577777777777</v>
      </c>
      <c r="C1296" s="6">
        <v>50</v>
      </c>
      <c r="D1296" s="6" t="s">
        <v>792</v>
      </c>
      <c r="E1296" s="8" t="str">
        <f>IFERROR(VLOOKUP(LOG_RESEAU[[#This Row],[Cell_ID]],Registre_Maintenance!A:B,2,FALSE),"Non trouvé")</f>
        <v>Tshopo</v>
      </c>
      <c r="F1296" s="8">
        <f>IFERROR(VLOOKUP(LOG_RESEAU[[#This Row],[Cell_ID]],Registre_Maintenance!A:C,3,FALSE),"Non trouvé")</f>
        <v>-4.5603610000000003</v>
      </c>
      <c r="G1296" s="8">
        <f>IFERROR(VLOOKUP(LOG_RESEAU[[#This Row],[Cell_ID]],Registre_Maintenance!A:D,4,FALSE),"Non trouvé")</f>
        <v>24.113918999999999</v>
      </c>
      <c r="H1296" s="6" t="str">
        <f>IFERROR(VLOOKUP(LOG_RESEAU[[#This Row],[Cell_ID]],Registre_Maintenance!A:E,5,FALSE),"Non trouvé")</f>
        <v>5G</v>
      </c>
      <c r="I1296" s="6" t="str">
        <f>IFERROR(VLOOKUP(LOG_RESEAU[[#This Row],[Cell_ID]],Registre_Maintenance!A:F,6,FALSE),"Non trouvé")</f>
        <v>ZTE</v>
      </c>
      <c r="J1296" s="6" t="str">
        <f t="shared" si="60"/>
        <v>OK</v>
      </c>
      <c r="K1296" s="6">
        <f t="shared" si="61"/>
        <v>2</v>
      </c>
      <c r="L1296" s="6">
        <f t="shared" si="62"/>
        <v>107</v>
      </c>
    </row>
    <row r="1297" spans="1:12" ht="15.75" x14ac:dyDescent="0.25">
      <c r="A1297" s="6" t="s">
        <v>1148</v>
      </c>
      <c r="B1297" s="7">
        <v>45211.425000000003</v>
      </c>
      <c r="C1297" s="6">
        <v>57</v>
      </c>
      <c r="D1297" s="6" t="s">
        <v>800</v>
      </c>
      <c r="E1297" s="8" t="str">
        <f>IFERROR(VLOOKUP(LOG_RESEAU[[#This Row],[Cell_ID]],Registre_Maintenance!A:B,2,FALSE),"Non trouvé")</f>
        <v>Tshopo</v>
      </c>
      <c r="F1297" s="8">
        <f>IFERROR(VLOOKUP(LOG_RESEAU[[#This Row],[Cell_ID]],Registre_Maintenance!A:C,3,FALSE),"Non trouvé")</f>
        <v>-4.5603610000000003</v>
      </c>
      <c r="G1297" s="8">
        <f>IFERROR(VLOOKUP(LOG_RESEAU[[#This Row],[Cell_ID]],Registre_Maintenance!A:D,4,FALSE),"Non trouvé")</f>
        <v>24.113918999999999</v>
      </c>
      <c r="H1297" s="6" t="str">
        <f>IFERROR(VLOOKUP(LOG_RESEAU[[#This Row],[Cell_ID]],Registre_Maintenance!A:E,5,FALSE),"Non trouvé")</f>
        <v>5G</v>
      </c>
      <c r="I1297" s="6" t="str">
        <f>IFERROR(VLOOKUP(LOG_RESEAU[[#This Row],[Cell_ID]],Registre_Maintenance!A:F,6,FALSE),"Non trouvé")</f>
        <v>ZTE</v>
      </c>
      <c r="J1297" s="6" t="str">
        <f t="shared" si="60"/>
        <v>OK</v>
      </c>
      <c r="K1297" s="6">
        <f t="shared" si="61"/>
        <v>2</v>
      </c>
      <c r="L1297" s="6">
        <f t="shared" si="62"/>
        <v>107</v>
      </c>
    </row>
    <row r="1298" spans="1:12" ht="15.75" x14ac:dyDescent="0.25">
      <c r="A1298" s="6" t="s">
        <v>1093</v>
      </c>
      <c r="B1298" s="7">
        <v>45221.265972222223</v>
      </c>
      <c r="C1298" s="6">
        <v>88</v>
      </c>
      <c r="D1298" s="6" t="s">
        <v>800</v>
      </c>
      <c r="E1298" s="8" t="str">
        <f>IFERROR(VLOOKUP(LOG_RESEAU[[#This Row],[Cell_ID]],Registre_Maintenance!A:B,2,FALSE),"Non trouvé")</f>
        <v>Kinshasa</v>
      </c>
      <c r="F1298" s="8">
        <f>IFERROR(VLOOKUP(LOG_RESEAU[[#This Row],[Cell_ID]],Registre_Maintenance!A:C,3,FALSE),"Non trouvé")</f>
        <v>-1.339734</v>
      </c>
      <c r="G1298" s="8">
        <f>IFERROR(VLOOKUP(LOG_RESEAU[[#This Row],[Cell_ID]],Registre_Maintenance!A:D,4,FALSE),"Non trouvé")</f>
        <v>15.243098</v>
      </c>
      <c r="H1298" s="6" t="str">
        <f>IFERROR(VLOOKUP(LOG_RESEAU[[#This Row],[Cell_ID]],Registre_Maintenance!A:E,5,FALSE),"Non trouvé")</f>
        <v>3G</v>
      </c>
      <c r="I1298" s="6" t="str">
        <f>IFERROR(VLOOKUP(LOG_RESEAU[[#This Row],[Cell_ID]],Registre_Maintenance!A:F,6,FALSE),"Non trouvé")</f>
        <v>Nokia</v>
      </c>
      <c r="J1298" s="6" t="str">
        <f t="shared" si="60"/>
        <v>OK</v>
      </c>
      <c r="K1298" s="6">
        <f t="shared" si="61"/>
        <v>1</v>
      </c>
      <c r="L1298" s="6">
        <f t="shared" si="62"/>
        <v>88</v>
      </c>
    </row>
    <row r="1299" spans="1:12" ht="15.75" x14ac:dyDescent="0.25">
      <c r="A1299" s="6" t="s">
        <v>1069</v>
      </c>
      <c r="B1299" s="7">
        <v>45230.067361111112</v>
      </c>
      <c r="C1299" s="6">
        <v>75</v>
      </c>
      <c r="D1299" s="6" t="s">
        <v>794</v>
      </c>
      <c r="E1299" s="8" t="str">
        <f>IFERROR(VLOOKUP(LOG_RESEAU[[#This Row],[Cell_ID]],Registre_Maintenance!A:B,2,FALSE),"Non trouvé")</f>
        <v>Non trouvé</v>
      </c>
      <c r="F1299" s="8" t="str">
        <f>IFERROR(VLOOKUP(LOG_RESEAU[[#This Row],[Cell_ID]],Registre_Maintenance!A:C,3,FALSE),"Non trouvé")</f>
        <v>Non trouvé</v>
      </c>
      <c r="G1299" s="8" t="str">
        <f>IFERROR(VLOOKUP(LOG_RESEAU[[#This Row],[Cell_ID]],Registre_Maintenance!A:D,4,FALSE),"Non trouvé")</f>
        <v>Non trouvé</v>
      </c>
      <c r="H1299" s="6" t="str">
        <f>IFERROR(VLOOKUP(LOG_RESEAU[[#This Row],[Cell_ID]],Registre_Maintenance!A:E,5,FALSE),"Non trouvé")</f>
        <v>Non trouvé</v>
      </c>
      <c r="I1299" s="6" t="str">
        <f>IFERROR(VLOOKUP(LOG_RESEAU[[#This Row],[Cell_ID]],Registre_Maintenance!A:F,6,FALSE),"Non trouvé")</f>
        <v>Non trouvé</v>
      </c>
      <c r="J1299" s="6" t="str">
        <f t="shared" si="60"/>
        <v>Antenne inconnue</v>
      </c>
      <c r="K1299" s="6">
        <f t="shared" si="61"/>
        <v>1</v>
      </c>
      <c r="L1299" s="6">
        <f t="shared" si="62"/>
        <v>75</v>
      </c>
    </row>
    <row r="1300" spans="1:12" ht="15.75" x14ac:dyDescent="0.25">
      <c r="A1300" s="6" t="s">
        <v>1525</v>
      </c>
      <c r="B1300" s="7">
        <v>45218.665972222218</v>
      </c>
      <c r="C1300" s="6">
        <v>90</v>
      </c>
      <c r="D1300" s="6" t="s">
        <v>792</v>
      </c>
      <c r="E1300" s="8" t="str">
        <f>IFERROR(VLOOKUP(LOG_RESEAU[[#This Row],[Cell_ID]],Registre_Maintenance!A:B,2,FALSE),"Non trouvé")</f>
        <v>Non trouvé</v>
      </c>
      <c r="F1300" s="8" t="str">
        <f>IFERROR(VLOOKUP(LOG_RESEAU[[#This Row],[Cell_ID]],Registre_Maintenance!A:C,3,FALSE),"Non trouvé")</f>
        <v>Non trouvé</v>
      </c>
      <c r="G1300" s="8" t="str">
        <f>IFERROR(VLOOKUP(LOG_RESEAU[[#This Row],[Cell_ID]],Registre_Maintenance!A:D,4,FALSE),"Non trouvé")</f>
        <v>Non trouvé</v>
      </c>
      <c r="H1300" s="6" t="str">
        <f>IFERROR(VLOOKUP(LOG_RESEAU[[#This Row],[Cell_ID]],Registre_Maintenance!A:E,5,FALSE),"Non trouvé")</f>
        <v>Non trouvé</v>
      </c>
      <c r="I1300" s="6" t="str">
        <f>IFERROR(VLOOKUP(LOG_RESEAU[[#This Row],[Cell_ID]],Registre_Maintenance!A:F,6,FALSE),"Non trouvé")</f>
        <v>Non trouvé</v>
      </c>
      <c r="J1300" s="6" t="str">
        <f t="shared" si="60"/>
        <v>Antenne inconnue</v>
      </c>
      <c r="K1300" s="6">
        <f t="shared" si="61"/>
        <v>1</v>
      </c>
      <c r="L1300" s="6">
        <f t="shared" si="62"/>
        <v>90</v>
      </c>
    </row>
    <row r="1301" spans="1:12" ht="15.75" x14ac:dyDescent="0.25">
      <c r="A1301" s="6" t="s">
        <v>1080</v>
      </c>
      <c r="B1301" s="7">
        <v>45221.84652777778</v>
      </c>
      <c r="C1301" s="6">
        <v>96</v>
      </c>
      <c r="D1301" s="6" t="s">
        <v>792</v>
      </c>
      <c r="E1301" s="8" t="str">
        <f>IFERROR(VLOOKUP(LOG_RESEAU[[#This Row],[Cell_ID]],Registre_Maintenance!A:B,2,FALSE),"Non trouvé")</f>
        <v>Sud-Kivu</v>
      </c>
      <c r="F1301" s="8">
        <f>IFERROR(VLOOKUP(LOG_RESEAU[[#This Row],[Cell_ID]],Registre_Maintenance!A:C,3,FALSE),"Non trouvé")</f>
        <v>-5.2526849999999996</v>
      </c>
      <c r="G1301" s="8">
        <f>IFERROR(VLOOKUP(LOG_RESEAU[[#This Row],[Cell_ID]],Registre_Maintenance!A:D,4,FALSE),"Non trouvé")</f>
        <v>12.374528</v>
      </c>
      <c r="H1301" s="6" t="str">
        <f>IFERROR(VLOOKUP(LOG_RESEAU[[#This Row],[Cell_ID]],Registre_Maintenance!A:E,5,FALSE),"Non trouvé")</f>
        <v>3G</v>
      </c>
      <c r="I1301" s="6" t="str">
        <f>IFERROR(VLOOKUP(LOG_RESEAU[[#This Row],[Cell_ID]],Registre_Maintenance!A:F,6,FALSE),"Non trouvé")</f>
        <v>Nokia</v>
      </c>
      <c r="J1301" s="6" t="str">
        <f t="shared" si="60"/>
        <v>OK</v>
      </c>
      <c r="K1301" s="6">
        <f t="shared" si="61"/>
        <v>3</v>
      </c>
      <c r="L1301" s="6">
        <f t="shared" si="62"/>
        <v>195</v>
      </c>
    </row>
    <row r="1302" spans="1:12" ht="15.75" x14ac:dyDescent="0.25">
      <c r="A1302" s="6" t="s">
        <v>1080</v>
      </c>
      <c r="B1302" s="7">
        <v>45205.154166666667</v>
      </c>
      <c r="C1302" s="6">
        <v>12</v>
      </c>
      <c r="D1302" s="6" t="s">
        <v>794</v>
      </c>
      <c r="E1302" s="8" t="str">
        <f>IFERROR(VLOOKUP(LOG_RESEAU[[#This Row],[Cell_ID]],Registre_Maintenance!A:B,2,FALSE),"Non trouvé")</f>
        <v>Sud-Kivu</v>
      </c>
      <c r="F1302" s="8">
        <f>IFERROR(VLOOKUP(LOG_RESEAU[[#This Row],[Cell_ID]],Registre_Maintenance!A:C,3,FALSE),"Non trouvé")</f>
        <v>-5.2526849999999996</v>
      </c>
      <c r="G1302" s="8">
        <f>IFERROR(VLOOKUP(LOG_RESEAU[[#This Row],[Cell_ID]],Registre_Maintenance!A:D,4,FALSE),"Non trouvé")</f>
        <v>12.374528</v>
      </c>
      <c r="H1302" s="6" t="str">
        <f>IFERROR(VLOOKUP(LOG_RESEAU[[#This Row],[Cell_ID]],Registre_Maintenance!A:E,5,FALSE),"Non trouvé")</f>
        <v>3G</v>
      </c>
      <c r="I1302" s="6" t="str">
        <f>IFERROR(VLOOKUP(LOG_RESEAU[[#This Row],[Cell_ID]],Registre_Maintenance!A:F,6,FALSE),"Non trouvé")</f>
        <v>Nokia</v>
      </c>
      <c r="J1302" s="6" t="str">
        <f t="shared" si="60"/>
        <v>OK</v>
      </c>
      <c r="K1302" s="6">
        <f t="shared" si="61"/>
        <v>3</v>
      </c>
      <c r="L1302" s="6">
        <f t="shared" si="62"/>
        <v>195</v>
      </c>
    </row>
    <row r="1303" spans="1:12" ht="15.75" x14ac:dyDescent="0.25">
      <c r="A1303" s="6" t="s">
        <v>1080</v>
      </c>
      <c r="B1303" s="7">
        <v>45211.106944444437</v>
      </c>
      <c r="C1303" s="6">
        <v>87</v>
      </c>
      <c r="D1303" s="6" t="s">
        <v>792</v>
      </c>
      <c r="E1303" s="8" t="str">
        <f>IFERROR(VLOOKUP(LOG_RESEAU[[#This Row],[Cell_ID]],Registre_Maintenance!A:B,2,FALSE),"Non trouvé")</f>
        <v>Sud-Kivu</v>
      </c>
      <c r="F1303" s="8">
        <f>IFERROR(VLOOKUP(LOG_RESEAU[[#This Row],[Cell_ID]],Registre_Maintenance!A:C,3,FALSE),"Non trouvé")</f>
        <v>-5.2526849999999996</v>
      </c>
      <c r="G1303" s="8">
        <f>IFERROR(VLOOKUP(LOG_RESEAU[[#This Row],[Cell_ID]],Registre_Maintenance!A:D,4,FALSE),"Non trouvé")</f>
        <v>12.374528</v>
      </c>
      <c r="H1303" s="6" t="str">
        <f>IFERROR(VLOOKUP(LOG_RESEAU[[#This Row],[Cell_ID]],Registre_Maintenance!A:E,5,FALSE),"Non trouvé")</f>
        <v>3G</v>
      </c>
      <c r="I1303" s="6" t="str">
        <f>IFERROR(VLOOKUP(LOG_RESEAU[[#This Row],[Cell_ID]],Registre_Maintenance!A:F,6,FALSE),"Non trouvé")</f>
        <v>Nokia</v>
      </c>
      <c r="J1303" s="6" t="str">
        <f t="shared" si="60"/>
        <v>OK</v>
      </c>
      <c r="K1303" s="6">
        <f t="shared" si="61"/>
        <v>3</v>
      </c>
      <c r="L1303" s="6">
        <f t="shared" si="62"/>
        <v>195</v>
      </c>
    </row>
    <row r="1304" spans="1:12" ht="15.75" x14ac:dyDescent="0.25">
      <c r="A1304" s="6" t="s">
        <v>1277</v>
      </c>
      <c r="B1304" s="7">
        <v>45211.316666666673</v>
      </c>
      <c r="C1304" s="6">
        <v>93</v>
      </c>
      <c r="D1304" s="6" t="s">
        <v>792</v>
      </c>
      <c r="E1304" s="8" t="str">
        <f>IFERROR(VLOOKUP(LOG_RESEAU[[#This Row],[Cell_ID]],Registre_Maintenance!A:B,2,FALSE),"Non trouvé")</f>
        <v>Lualaba</v>
      </c>
      <c r="F1304" s="8">
        <f>IFERROR(VLOOKUP(LOG_RESEAU[[#This Row],[Cell_ID]],Registre_Maintenance!A:C,3,FALSE),"Non trouvé")</f>
        <v>1.286548</v>
      </c>
      <c r="G1304" s="8">
        <f>IFERROR(VLOOKUP(LOG_RESEAU[[#This Row],[Cell_ID]],Registre_Maintenance!A:D,4,FALSE),"Non trouvé")</f>
        <v>29.823702999999998</v>
      </c>
      <c r="H1304" s="6" t="str">
        <f>IFERROR(VLOOKUP(LOG_RESEAU[[#This Row],[Cell_ID]],Registre_Maintenance!A:E,5,FALSE),"Non trouvé")</f>
        <v>4G</v>
      </c>
      <c r="I1304" s="6" t="str">
        <f>IFERROR(VLOOKUP(LOG_RESEAU[[#This Row],[Cell_ID]],Registre_Maintenance!A:F,6,FALSE),"Non trouvé")</f>
        <v>ZTE</v>
      </c>
      <c r="J1304" s="6" t="str">
        <f t="shared" si="60"/>
        <v>OK</v>
      </c>
      <c r="K1304" s="6">
        <f t="shared" si="61"/>
        <v>2</v>
      </c>
      <c r="L1304" s="6">
        <f t="shared" si="62"/>
        <v>146</v>
      </c>
    </row>
    <row r="1305" spans="1:12" ht="15.75" x14ac:dyDescent="0.25">
      <c r="A1305" s="6" t="s">
        <v>1277</v>
      </c>
      <c r="B1305" s="7">
        <v>45221.049305555563</v>
      </c>
      <c r="C1305" s="6">
        <v>53</v>
      </c>
      <c r="D1305" s="6" t="s">
        <v>800</v>
      </c>
      <c r="E1305" s="8" t="str">
        <f>IFERROR(VLOOKUP(LOG_RESEAU[[#This Row],[Cell_ID]],Registre_Maintenance!A:B,2,FALSE),"Non trouvé")</f>
        <v>Lualaba</v>
      </c>
      <c r="F1305" s="8">
        <f>IFERROR(VLOOKUP(LOG_RESEAU[[#This Row],[Cell_ID]],Registre_Maintenance!A:C,3,FALSE),"Non trouvé")</f>
        <v>1.286548</v>
      </c>
      <c r="G1305" s="8">
        <f>IFERROR(VLOOKUP(LOG_RESEAU[[#This Row],[Cell_ID]],Registre_Maintenance!A:D,4,FALSE),"Non trouvé")</f>
        <v>29.823702999999998</v>
      </c>
      <c r="H1305" s="6" t="str">
        <f>IFERROR(VLOOKUP(LOG_RESEAU[[#This Row],[Cell_ID]],Registre_Maintenance!A:E,5,FALSE),"Non trouvé")</f>
        <v>4G</v>
      </c>
      <c r="I1305" s="6" t="str">
        <f>IFERROR(VLOOKUP(LOG_RESEAU[[#This Row],[Cell_ID]],Registre_Maintenance!A:F,6,FALSE),"Non trouvé")</f>
        <v>ZTE</v>
      </c>
      <c r="J1305" s="6" t="str">
        <f t="shared" si="60"/>
        <v>OK</v>
      </c>
      <c r="K1305" s="6">
        <f t="shared" si="61"/>
        <v>2</v>
      </c>
      <c r="L1305" s="6">
        <f t="shared" si="62"/>
        <v>146</v>
      </c>
    </row>
    <row r="1306" spans="1:12" ht="15.75" x14ac:dyDescent="0.25">
      <c r="A1306" s="6" t="s">
        <v>1234</v>
      </c>
      <c r="B1306" s="7">
        <v>45213.597916666673</v>
      </c>
      <c r="C1306" s="6">
        <v>108</v>
      </c>
      <c r="D1306" s="6" t="s">
        <v>800</v>
      </c>
      <c r="E1306" s="8" t="str">
        <f>IFERROR(VLOOKUP(LOG_RESEAU[[#This Row],[Cell_ID]],Registre_Maintenance!A:B,2,FALSE),"Non trouvé")</f>
        <v>Non trouvé</v>
      </c>
      <c r="F1306" s="8" t="str">
        <f>IFERROR(VLOOKUP(LOG_RESEAU[[#This Row],[Cell_ID]],Registre_Maintenance!A:C,3,FALSE),"Non trouvé")</f>
        <v>Non trouvé</v>
      </c>
      <c r="G1306" s="8" t="str">
        <f>IFERROR(VLOOKUP(LOG_RESEAU[[#This Row],[Cell_ID]],Registre_Maintenance!A:D,4,FALSE),"Non trouvé")</f>
        <v>Non trouvé</v>
      </c>
      <c r="H1306" s="6" t="str">
        <f>IFERROR(VLOOKUP(LOG_RESEAU[[#This Row],[Cell_ID]],Registre_Maintenance!A:E,5,FALSE),"Non trouvé")</f>
        <v>Non trouvé</v>
      </c>
      <c r="I1306" s="6" t="str">
        <f>IFERROR(VLOOKUP(LOG_RESEAU[[#This Row],[Cell_ID]],Registre_Maintenance!A:F,6,FALSE),"Non trouvé")</f>
        <v>Non trouvé</v>
      </c>
      <c r="J1306" s="6" t="str">
        <f t="shared" si="60"/>
        <v>Antenne inconnue</v>
      </c>
      <c r="K1306" s="6">
        <f t="shared" si="61"/>
        <v>1</v>
      </c>
      <c r="L1306" s="6">
        <f t="shared" si="62"/>
        <v>108</v>
      </c>
    </row>
    <row r="1307" spans="1:12" ht="15.75" x14ac:dyDescent="0.25">
      <c r="A1307" s="6" t="s">
        <v>1232</v>
      </c>
      <c r="B1307" s="7">
        <v>45221.50277777778</v>
      </c>
      <c r="C1307" s="6">
        <v>69</v>
      </c>
      <c r="D1307" s="6" t="s">
        <v>794</v>
      </c>
      <c r="E1307" s="8" t="str">
        <f>IFERROR(VLOOKUP(LOG_RESEAU[[#This Row],[Cell_ID]],Registre_Maintenance!A:B,2,FALSE),"Non trouvé")</f>
        <v>Non trouvé</v>
      </c>
      <c r="F1307" s="8" t="str">
        <f>IFERROR(VLOOKUP(LOG_RESEAU[[#This Row],[Cell_ID]],Registre_Maintenance!A:C,3,FALSE),"Non trouvé")</f>
        <v>Non trouvé</v>
      </c>
      <c r="G1307" s="8" t="str">
        <f>IFERROR(VLOOKUP(LOG_RESEAU[[#This Row],[Cell_ID]],Registre_Maintenance!A:D,4,FALSE),"Non trouvé")</f>
        <v>Non trouvé</v>
      </c>
      <c r="H1307" s="6" t="str">
        <f>IFERROR(VLOOKUP(LOG_RESEAU[[#This Row],[Cell_ID]],Registre_Maintenance!A:E,5,FALSE),"Non trouvé")</f>
        <v>Non trouvé</v>
      </c>
      <c r="I1307" s="6" t="str">
        <f>IFERROR(VLOOKUP(LOG_RESEAU[[#This Row],[Cell_ID]],Registre_Maintenance!A:F,6,FALSE),"Non trouvé")</f>
        <v>Non trouvé</v>
      </c>
      <c r="J1307" s="6" t="str">
        <f t="shared" si="60"/>
        <v>Antenne inconnue</v>
      </c>
      <c r="K1307" s="6">
        <f t="shared" si="61"/>
        <v>1</v>
      </c>
      <c r="L1307" s="6">
        <f t="shared" si="62"/>
        <v>69</v>
      </c>
    </row>
    <row r="1308" spans="1:12" ht="15.75" x14ac:dyDescent="0.25">
      <c r="A1308" s="6" t="s">
        <v>1175</v>
      </c>
      <c r="B1308" s="7">
        <v>45201.243055555547</v>
      </c>
      <c r="C1308" s="6">
        <v>57</v>
      </c>
      <c r="D1308" s="6" t="s">
        <v>792</v>
      </c>
      <c r="E1308" s="8" t="str">
        <f>IFERROR(VLOOKUP(LOG_RESEAU[[#This Row],[Cell_ID]],Registre_Maintenance!A:B,2,FALSE),"Non trouvé")</f>
        <v>Non trouvé</v>
      </c>
      <c r="F1308" s="8" t="str">
        <f>IFERROR(VLOOKUP(LOG_RESEAU[[#This Row],[Cell_ID]],Registre_Maintenance!A:C,3,FALSE),"Non trouvé")</f>
        <v>Non trouvé</v>
      </c>
      <c r="G1308" s="8" t="str">
        <f>IFERROR(VLOOKUP(LOG_RESEAU[[#This Row],[Cell_ID]],Registre_Maintenance!A:D,4,FALSE),"Non trouvé")</f>
        <v>Non trouvé</v>
      </c>
      <c r="H1308" s="6" t="str">
        <f>IFERROR(VLOOKUP(LOG_RESEAU[[#This Row],[Cell_ID]],Registre_Maintenance!A:E,5,FALSE),"Non trouvé")</f>
        <v>Non trouvé</v>
      </c>
      <c r="I1308" s="6" t="str">
        <f>IFERROR(VLOOKUP(LOG_RESEAU[[#This Row],[Cell_ID]],Registre_Maintenance!A:F,6,FALSE),"Non trouvé")</f>
        <v>Non trouvé</v>
      </c>
      <c r="J1308" s="6" t="str">
        <f t="shared" si="60"/>
        <v>Antenne inconnue</v>
      </c>
      <c r="K1308" s="6">
        <f t="shared" si="61"/>
        <v>3</v>
      </c>
      <c r="L1308" s="6">
        <f t="shared" si="62"/>
        <v>144</v>
      </c>
    </row>
    <row r="1309" spans="1:12" ht="15.75" x14ac:dyDescent="0.25">
      <c r="A1309" s="6" t="s">
        <v>1175</v>
      </c>
      <c r="B1309" s="7">
        <v>45209.684027777781</v>
      </c>
      <c r="C1309" s="6">
        <v>44</v>
      </c>
      <c r="D1309" s="6" t="s">
        <v>792</v>
      </c>
      <c r="E1309" s="8" t="str">
        <f>IFERROR(VLOOKUP(LOG_RESEAU[[#This Row],[Cell_ID]],Registre_Maintenance!A:B,2,FALSE),"Non trouvé")</f>
        <v>Non trouvé</v>
      </c>
      <c r="F1309" s="8" t="str">
        <f>IFERROR(VLOOKUP(LOG_RESEAU[[#This Row],[Cell_ID]],Registre_Maintenance!A:C,3,FALSE),"Non trouvé")</f>
        <v>Non trouvé</v>
      </c>
      <c r="G1309" s="8" t="str">
        <f>IFERROR(VLOOKUP(LOG_RESEAU[[#This Row],[Cell_ID]],Registre_Maintenance!A:D,4,FALSE),"Non trouvé")</f>
        <v>Non trouvé</v>
      </c>
      <c r="H1309" s="6" t="str">
        <f>IFERROR(VLOOKUP(LOG_RESEAU[[#This Row],[Cell_ID]],Registre_Maintenance!A:E,5,FALSE),"Non trouvé")</f>
        <v>Non trouvé</v>
      </c>
      <c r="I1309" s="6" t="str">
        <f>IFERROR(VLOOKUP(LOG_RESEAU[[#This Row],[Cell_ID]],Registre_Maintenance!A:F,6,FALSE),"Non trouvé")</f>
        <v>Non trouvé</v>
      </c>
      <c r="J1309" s="6" t="str">
        <f t="shared" si="60"/>
        <v>Antenne inconnue</v>
      </c>
      <c r="K1309" s="6">
        <f t="shared" si="61"/>
        <v>3</v>
      </c>
      <c r="L1309" s="6">
        <f t="shared" si="62"/>
        <v>144</v>
      </c>
    </row>
    <row r="1310" spans="1:12" ht="15.75" x14ac:dyDescent="0.25">
      <c r="A1310" s="6" t="s">
        <v>1175</v>
      </c>
      <c r="B1310" s="7">
        <v>45217.68472222222</v>
      </c>
      <c r="C1310" s="6">
        <v>43</v>
      </c>
      <c r="D1310" s="6" t="s">
        <v>794</v>
      </c>
      <c r="E1310" s="8" t="str">
        <f>IFERROR(VLOOKUP(LOG_RESEAU[[#This Row],[Cell_ID]],Registre_Maintenance!A:B,2,FALSE),"Non trouvé")</f>
        <v>Non trouvé</v>
      </c>
      <c r="F1310" s="8" t="str">
        <f>IFERROR(VLOOKUP(LOG_RESEAU[[#This Row],[Cell_ID]],Registre_Maintenance!A:C,3,FALSE),"Non trouvé")</f>
        <v>Non trouvé</v>
      </c>
      <c r="G1310" s="8" t="str">
        <f>IFERROR(VLOOKUP(LOG_RESEAU[[#This Row],[Cell_ID]],Registre_Maintenance!A:D,4,FALSE),"Non trouvé")</f>
        <v>Non trouvé</v>
      </c>
      <c r="H1310" s="6" t="str">
        <f>IFERROR(VLOOKUP(LOG_RESEAU[[#This Row],[Cell_ID]],Registre_Maintenance!A:E,5,FALSE),"Non trouvé")</f>
        <v>Non trouvé</v>
      </c>
      <c r="I1310" s="6" t="str">
        <f>IFERROR(VLOOKUP(LOG_RESEAU[[#This Row],[Cell_ID]],Registre_Maintenance!A:F,6,FALSE),"Non trouvé")</f>
        <v>Non trouvé</v>
      </c>
      <c r="J1310" s="6" t="str">
        <f t="shared" si="60"/>
        <v>Antenne inconnue</v>
      </c>
      <c r="K1310" s="6">
        <f t="shared" si="61"/>
        <v>3</v>
      </c>
      <c r="L1310" s="6">
        <f t="shared" si="62"/>
        <v>144</v>
      </c>
    </row>
    <row r="1311" spans="1:12" ht="15.75" x14ac:dyDescent="0.25">
      <c r="A1311" s="6" t="s">
        <v>1411</v>
      </c>
      <c r="B1311" s="7">
        <v>45204.76666666667</v>
      </c>
      <c r="C1311" s="6">
        <v>9</v>
      </c>
      <c r="D1311" s="6" t="s">
        <v>792</v>
      </c>
      <c r="E1311" s="8" t="str">
        <f>IFERROR(VLOOKUP(LOG_RESEAU[[#This Row],[Cell_ID]],Registre_Maintenance!A:B,2,FALSE),"Non trouvé")</f>
        <v>Kasai-Central</v>
      </c>
      <c r="F1311" s="8">
        <f>IFERROR(VLOOKUP(LOG_RESEAU[[#This Row],[Cell_ID]],Registre_Maintenance!A:C,3,FALSE),"Non trouvé")</f>
        <v>-12.560556999999999</v>
      </c>
      <c r="G1311" s="8">
        <f>IFERROR(VLOOKUP(LOG_RESEAU[[#This Row],[Cell_ID]],Registre_Maintenance!A:D,4,FALSE),"Non trouvé")</f>
        <v>13.204014000000001</v>
      </c>
      <c r="H1311" s="6" t="str">
        <f>IFERROR(VLOOKUP(LOG_RESEAU[[#This Row],[Cell_ID]],Registre_Maintenance!A:E,5,FALSE),"Non trouvé")</f>
        <v>4G</v>
      </c>
      <c r="I1311" s="6" t="str">
        <f>IFERROR(VLOOKUP(LOG_RESEAU[[#This Row],[Cell_ID]],Registre_Maintenance!A:F,6,FALSE),"Non trouvé")</f>
        <v>Ericsson</v>
      </c>
      <c r="J1311" s="6" t="str">
        <f t="shared" si="60"/>
        <v>OK</v>
      </c>
      <c r="K1311" s="6">
        <f t="shared" si="61"/>
        <v>1</v>
      </c>
      <c r="L1311" s="6">
        <f t="shared" si="62"/>
        <v>9</v>
      </c>
    </row>
    <row r="1312" spans="1:12" ht="15.75" x14ac:dyDescent="0.25">
      <c r="A1312" s="6" t="s">
        <v>1114</v>
      </c>
      <c r="B1312" s="7">
        <v>45209.32708333333</v>
      </c>
      <c r="C1312" s="6">
        <v>107</v>
      </c>
      <c r="D1312" s="6" t="s">
        <v>800</v>
      </c>
      <c r="E1312" s="8" t="str">
        <f>IFERROR(VLOOKUP(LOG_RESEAU[[#This Row],[Cell_ID]],Registre_Maintenance!A:B,2,FALSE),"Non trouvé")</f>
        <v>Equateur</v>
      </c>
      <c r="F1312" s="8">
        <f>IFERROR(VLOOKUP(LOG_RESEAU[[#This Row],[Cell_ID]],Registre_Maintenance!A:C,3,FALSE),"Non trouvé")</f>
        <v>-5.0402180000000003</v>
      </c>
      <c r="G1312" s="8">
        <f>IFERROR(VLOOKUP(LOG_RESEAU[[#This Row],[Cell_ID]],Registre_Maintenance!A:D,4,FALSE),"Non trouvé")</f>
        <v>13.892471</v>
      </c>
      <c r="H1312" s="6" t="str">
        <f>IFERROR(VLOOKUP(LOG_RESEAU[[#This Row],[Cell_ID]],Registre_Maintenance!A:E,5,FALSE),"Non trouvé")</f>
        <v>3G</v>
      </c>
      <c r="I1312" s="6" t="str">
        <f>IFERROR(VLOOKUP(LOG_RESEAU[[#This Row],[Cell_ID]],Registre_Maintenance!A:F,6,FALSE),"Non trouvé")</f>
        <v>ZTE</v>
      </c>
      <c r="J1312" s="6" t="str">
        <f t="shared" si="60"/>
        <v>OK</v>
      </c>
      <c r="K1312" s="6">
        <f t="shared" si="61"/>
        <v>1</v>
      </c>
      <c r="L1312" s="6">
        <f t="shared" si="62"/>
        <v>107</v>
      </c>
    </row>
    <row r="1313" spans="1:12" ht="15.75" x14ac:dyDescent="0.25">
      <c r="A1313" s="6" t="s">
        <v>1189</v>
      </c>
      <c r="B1313" s="7">
        <v>45202.659722222219</v>
      </c>
      <c r="C1313" s="6">
        <v>42</v>
      </c>
      <c r="D1313" s="6" t="s">
        <v>794</v>
      </c>
      <c r="E1313" s="8" t="str">
        <f>IFERROR(VLOOKUP(LOG_RESEAU[[#This Row],[Cell_ID]],Registre_Maintenance!A:B,2,FALSE),"Non trouvé")</f>
        <v>Non trouvé</v>
      </c>
      <c r="F1313" s="8" t="str">
        <f>IFERROR(VLOOKUP(LOG_RESEAU[[#This Row],[Cell_ID]],Registre_Maintenance!A:C,3,FALSE),"Non trouvé")</f>
        <v>Non trouvé</v>
      </c>
      <c r="G1313" s="8" t="str">
        <f>IFERROR(VLOOKUP(LOG_RESEAU[[#This Row],[Cell_ID]],Registre_Maintenance!A:D,4,FALSE),"Non trouvé")</f>
        <v>Non trouvé</v>
      </c>
      <c r="H1313" s="6" t="str">
        <f>IFERROR(VLOOKUP(LOG_RESEAU[[#This Row],[Cell_ID]],Registre_Maintenance!A:E,5,FALSE),"Non trouvé")</f>
        <v>Non trouvé</v>
      </c>
      <c r="I1313" s="6" t="str">
        <f>IFERROR(VLOOKUP(LOG_RESEAU[[#This Row],[Cell_ID]],Registre_Maintenance!A:F,6,FALSE),"Non trouvé")</f>
        <v>Non trouvé</v>
      </c>
      <c r="J1313" s="6" t="str">
        <f t="shared" si="60"/>
        <v>Antenne inconnue</v>
      </c>
      <c r="K1313" s="6">
        <f t="shared" si="61"/>
        <v>3</v>
      </c>
      <c r="L1313" s="6">
        <f t="shared" si="62"/>
        <v>195</v>
      </c>
    </row>
    <row r="1314" spans="1:12" ht="15.75" x14ac:dyDescent="0.25">
      <c r="A1314" s="6" t="s">
        <v>1189</v>
      </c>
      <c r="B1314" s="7">
        <v>45203.447916666657</v>
      </c>
      <c r="C1314" s="6">
        <v>84</v>
      </c>
      <c r="D1314" s="6" t="s">
        <v>792</v>
      </c>
      <c r="E1314" s="8" t="str">
        <f>IFERROR(VLOOKUP(LOG_RESEAU[[#This Row],[Cell_ID]],Registre_Maintenance!A:B,2,FALSE),"Non trouvé")</f>
        <v>Non trouvé</v>
      </c>
      <c r="F1314" s="8" t="str">
        <f>IFERROR(VLOOKUP(LOG_RESEAU[[#This Row],[Cell_ID]],Registre_Maintenance!A:C,3,FALSE),"Non trouvé")</f>
        <v>Non trouvé</v>
      </c>
      <c r="G1314" s="8" t="str">
        <f>IFERROR(VLOOKUP(LOG_RESEAU[[#This Row],[Cell_ID]],Registre_Maintenance!A:D,4,FALSE),"Non trouvé")</f>
        <v>Non trouvé</v>
      </c>
      <c r="H1314" s="6" t="str">
        <f>IFERROR(VLOOKUP(LOG_RESEAU[[#This Row],[Cell_ID]],Registre_Maintenance!A:E,5,FALSE),"Non trouvé")</f>
        <v>Non trouvé</v>
      </c>
      <c r="I1314" s="6" t="str">
        <f>IFERROR(VLOOKUP(LOG_RESEAU[[#This Row],[Cell_ID]],Registre_Maintenance!A:F,6,FALSE),"Non trouvé")</f>
        <v>Non trouvé</v>
      </c>
      <c r="J1314" s="6" t="str">
        <f t="shared" si="60"/>
        <v>Antenne inconnue</v>
      </c>
      <c r="K1314" s="6">
        <f t="shared" si="61"/>
        <v>3</v>
      </c>
      <c r="L1314" s="6">
        <f t="shared" si="62"/>
        <v>195</v>
      </c>
    </row>
    <row r="1315" spans="1:12" ht="15.75" x14ac:dyDescent="0.25">
      <c r="A1315" s="6" t="s">
        <v>1189</v>
      </c>
      <c r="B1315" s="7">
        <v>45206.366666666669</v>
      </c>
      <c r="C1315" s="6">
        <v>69</v>
      </c>
      <c r="D1315" s="6" t="s">
        <v>800</v>
      </c>
      <c r="E1315" s="8" t="str">
        <f>IFERROR(VLOOKUP(LOG_RESEAU[[#This Row],[Cell_ID]],Registre_Maintenance!A:B,2,FALSE),"Non trouvé")</f>
        <v>Non trouvé</v>
      </c>
      <c r="F1315" s="8" t="str">
        <f>IFERROR(VLOOKUP(LOG_RESEAU[[#This Row],[Cell_ID]],Registre_Maintenance!A:C,3,FALSE),"Non trouvé")</f>
        <v>Non trouvé</v>
      </c>
      <c r="G1315" s="8" t="str">
        <f>IFERROR(VLOOKUP(LOG_RESEAU[[#This Row],[Cell_ID]],Registre_Maintenance!A:D,4,FALSE),"Non trouvé")</f>
        <v>Non trouvé</v>
      </c>
      <c r="H1315" s="6" t="str">
        <f>IFERROR(VLOOKUP(LOG_RESEAU[[#This Row],[Cell_ID]],Registre_Maintenance!A:E,5,FALSE),"Non trouvé")</f>
        <v>Non trouvé</v>
      </c>
      <c r="I1315" s="6" t="str">
        <f>IFERROR(VLOOKUP(LOG_RESEAU[[#This Row],[Cell_ID]],Registre_Maintenance!A:F,6,FALSE),"Non trouvé")</f>
        <v>Non trouvé</v>
      </c>
      <c r="J1315" s="6" t="str">
        <f t="shared" si="60"/>
        <v>Antenne inconnue</v>
      </c>
      <c r="K1315" s="6">
        <f t="shared" si="61"/>
        <v>3</v>
      </c>
      <c r="L1315" s="6">
        <f t="shared" si="62"/>
        <v>195</v>
      </c>
    </row>
    <row r="1316" spans="1:12" ht="15.75" x14ac:dyDescent="0.25">
      <c r="A1316" s="6" t="s">
        <v>1066</v>
      </c>
      <c r="B1316" s="7">
        <v>45225.737500000003</v>
      </c>
      <c r="C1316" s="6">
        <v>6</v>
      </c>
      <c r="D1316" s="6" t="s">
        <v>800</v>
      </c>
      <c r="E1316" s="8" t="str">
        <f>IFERROR(VLOOKUP(LOG_RESEAU[[#This Row],[Cell_ID]],Registre_Maintenance!A:B,2,FALSE),"Non trouvé")</f>
        <v>Non trouvé</v>
      </c>
      <c r="F1316" s="8" t="str">
        <f>IFERROR(VLOOKUP(LOG_RESEAU[[#This Row],[Cell_ID]],Registre_Maintenance!A:C,3,FALSE),"Non trouvé")</f>
        <v>Non trouvé</v>
      </c>
      <c r="G1316" s="8" t="str">
        <f>IFERROR(VLOOKUP(LOG_RESEAU[[#This Row],[Cell_ID]],Registre_Maintenance!A:D,4,FALSE),"Non trouvé")</f>
        <v>Non trouvé</v>
      </c>
      <c r="H1316" s="6" t="str">
        <f>IFERROR(VLOOKUP(LOG_RESEAU[[#This Row],[Cell_ID]],Registre_Maintenance!A:E,5,FALSE),"Non trouvé")</f>
        <v>Non trouvé</v>
      </c>
      <c r="I1316" s="6" t="str">
        <f>IFERROR(VLOOKUP(LOG_RESEAU[[#This Row],[Cell_ID]],Registre_Maintenance!A:F,6,FALSE),"Non trouvé")</f>
        <v>Non trouvé</v>
      </c>
      <c r="J1316" s="6" t="str">
        <f t="shared" si="60"/>
        <v>Antenne inconnue</v>
      </c>
      <c r="K1316" s="6">
        <f t="shared" si="61"/>
        <v>2</v>
      </c>
      <c r="L1316" s="6">
        <f t="shared" si="62"/>
        <v>55</v>
      </c>
    </row>
    <row r="1317" spans="1:12" ht="15.75" x14ac:dyDescent="0.25">
      <c r="A1317" s="6" t="s">
        <v>1066</v>
      </c>
      <c r="B1317" s="7">
        <v>45207.40625</v>
      </c>
      <c r="C1317" s="6">
        <v>49</v>
      </c>
      <c r="D1317" s="6" t="s">
        <v>800</v>
      </c>
      <c r="E1317" s="8" t="str">
        <f>IFERROR(VLOOKUP(LOG_RESEAU[[#This Row],[Cell_ID]],Registre_Maintenance!A:B,2,FALSE),"Non trouvé")</f>
        <v>Non trouvé</v>
      </c>
      <c r="F1317" s="8" t="str">
        <f>IFERROR(VLOOKUP(LOG_RESEAU[[#This Row],[Cell_ID]],Registre_Maintenance!A:C,3,FALSE),"Non trouvé")</f>
        <v>Non trouvé</v>
      </c>
      <c r="G1317" s="8" t="str">
        <f>IFERROR(VLOOKUP(LOG_RESEAU[[#This Row],[Cell_ID]],Registre_Maintenance!A:D,4,FALSE),"Non trouvé")</f>
        <v>Non trouvé</v>
      </c>
      <c r="H1317" s="6" t="str">
        <f>IFERROR(VLOOKUP(LOG_RESEAU[[#This Row],[Cell_ID]],Registre_Maintenance!A:E,5,FALSE),"Non trouvé")</f>
        <v>Non trouvé</v>
      </c>
      <c r="I1317" s="6" t="str">
        <f>IFERROR(VLOOKUP(LOG_RESEAU[[#This Row],[Cell_ID]],Registre_Maintenance!A:F,6,FALSE),"Non trouvé")</f>
        <v>Non trouvé</v>
      </c>
      <c r="J1317" s="6" t="str">
        <f t="shared" si="60"/>
        <v>Antenne inconnue</v>
      </c>
      <c r="K1317" s="6">
        <f t="shared" si="61"/>
        <v>2</v>
      </c>
      <c r="L1317" s="6">
        <f t="shared" si="62"/>
        <v>55</v>
      </c>
    </row>
    <row r="1318" spans="1:12" ht="15.75" x14ac:dyDescent="0.25">
      <c r="A1318" s="6" t="s">
        <v>1088</v>
      </c>
      <c r="B1318" s="7">
        <v>45216.14166666667</v>
      </c>
      <c r="C1318" s="6">
        <v>94</v>
      </c>
      <c r="D1318" s="6" t="s">
        <v>794</v>
      </c>
      <c r="E1318" s="8" t="str">
        <f>IFERROR(VLOOKUP(LOG_RESEAU[[#This Row],[Cell_ID]],Registre_Maintenance!A:B,2,FALSE),"Non trouvé")</f>
        <v>Nord-Kivu</v>
      </c>
      <c r="F1318" s="8">
        <f>IFERROR(VLOOKUP(LOG_RESEAU[[#This Row],[Cell_ID]],Registre_Maintenance!A:C,3,FALSE),"Non trouvé")</f>
        <v>1.8103860000000001</v>
      </c>
      <c r="G1318" s="8">
        <f>IFERROR(VLOOKUP(LOG_RESEAU[[#This Row],[Cell_ID]],Registre_Maintenance!A:D,4,FALSE),"Non trouvé")</f>
        <v>15.175582</v>
      </c>
      <c r="H1318" s="6" t="str">
        <f>IFERROR(VLOOKUP(LOG_RESEAU[[#This Row],[Cell_ID]],Registre_Maintenance!A:E,5,FALSE),"Non trouvé")</f>
        <v>3G</v>
      </c>
      <c r="I1318" s="6" t="str">
        <f>IFERROR(VLOOKUP(LOG_RESEAU[[#This Row],[Cell_ID]],Registre_Maintenance!A:F,6,FALSE),"Non trouvé")</f>
        <v>Huawei</v>
      </c>
      <c r="J1318" s="6" t="str">
        <f t="shared" si="60"/>
        <v>OK</v>
      </c>
      <c r="K1318" s="6">
        <f t="shared" si="61"/>
        <v>1</v>
      </c>
      <c r="L1318" s="6">
        <f t="shared" si="62"/>
        <v>94</v>
      </c>
    </row>
    <row r="1319" spans="1:12" ht="15.75" x14ac:dyDescent="0.25">
      <c r="A1319" s="6" t="s">
        <v>1212</v>
      </c>
      <c r="B1319" s="7">
        <v>45218.990277777782</v>
      </c>
      <c r="C1319" s="6">
        <v>100</v>
      </c>
      <c r="D1319" s="6" t="s">
        <v>794</v>
      </c>
      <c r="E1319" s="8" t="str">
        <f>IFERROR(VLOOKUP(LOG_RESEAU[[#This Row],[Cell_ID]],Registre_Maintenance!A:B,2,FALSE),"Non trouvé")</f>
        <v>Non trouvé</v>
      </c>
      <c r="F1319" s="8" t="str">
        <f>IFERROR(VLOOKUP(LOG_RESEAU[[#This Row],[Cell_ID]],Registre_Maintenance!A:C,3,FALSE),"Non trouvé")</f>
        <v>Non trouvé</v>
      </c>
      <c r="G1319" s="8" t="str">
        <f>IFERROR(VLOOKUP(LOG_RESEAU[[#This Row],[Cell_ID]],Registre_Maintenance!A:D,4,FALSE),"Non trouvé")</f>
        <v>Non trouvé</v>
      </c>
      <c r="H1319" s="6" t="str">
        <f>IFERROR(VLOOKUP(LOG_RESEAU[[#This Row],[Cell_ID]],Registre_Maintenance!A:E,5,FALSE),"Non trouvé")</f>
        <v>Non trouvé</v>
      </c>
      <c r="I1319" s="6" t="str">
        <f>IFERROR(VLOOKUP(LOG_RESEAU[[#This Row],[Cell_ID]],Registre_Maintenance!A:F,6,FALSE),"Non trouvé")</f>
        <v>Non trouvé</v>
      </c>
      <c r="J1319" s="6" t="str">
        <f t="shared" si="60"/>
        <v>Antenne inconnue</v>
      </c>
      <c r="K1319" s="6">
        <f t="shared" si="61"/>
        <v>3</v>
      </c>
      <c r="L1319" s="6">
        <f t="shared" si="62"/>
        <v>247</v>
      </c>
    </row>
    <row r="1320" spans="1:12" ht="15.75" x14ac:dyDescent="0.25">
      <c r="A1320" s="6" t="s">
        <v>1212</v>
      </c>
      <c r="B1320" s="7">
        <v>45207.379861111112</v>
      </c>
      <c r="C1320" s="6">
        <v>118</v>
      </c>
      <c r="D1320" s="6" t="s">
        <v>792</v>
      </c>
      <c r="E1320" s="8" t="str">
        <f>IFERROR(VLOOKUP(LOG_RESEAU[[#This Row],[Cell_ID]],Registre_Maintenance!A:B,2,FALSE),"Non trouvé")</f>
        <v>Non trouvé</v>
      </c>
      <c r="F1320" s="8" t="str">
        <f>IFERROR(VLOOKUP(LOG_RESEAU[[#This Row],[Cell_ID]],Registre_Maintenance!A:C,3,FALSE),"Non trouvé")</f>
        <v>Non trouvé</v>
      </c>
      <c r="G1320" s="8" t="str">
        <f>IFERROR(VLOOKUP(LOG_RESEAU[[#This Row],[Cell_ID]],Registre_Maintenance!A:D,4,FALSE),"Non trouvé")</f>
        <v>Non trouvé</v>
      </c>
      <c r="H1320" s="6" t="str">
        <f>IFERROR(VLOOKUP(LOG_RESEAU[[#This Row],[Cell_ID]],Registre_Maintenance!A:E,5,FALSE),"Non trouvé")</f>
        <v>Non trouvé</v>
      </c>
      <c r="I1320" s="6" t="str">
        <f>IFERROR(VLOOKUP(LOG_RESEAU[[#This Row],[Cell_ID]],Registre_Maintenance!A:F,6,FALSE),"Non trouvé")</f>
        <v>Non trouvé</v>
      </c>
      <c r="J1320" s="6" t="str">
        <f t="shared" si="60"/>
        <v>Antenne inconnue</v>
      </c>
      <c r="K1320" s="6">
        <f t="shared" si="61"/>
        <v>3</v>
      </c>
      <c r="L1320" s="6">
        <f t="shared" si="62"/>
        <v>247</v>
      </c>
    </row>
    <row r="1321" spans="1:12" ht="15.75" x14ac:dyDescent="0.25">
      <c r="A1321" s="6" t="s">
        <v>1212</v>
      </c>
      <c r="B1321" s="7">
        <v>45214.145833333343</v>
      </c>
      <c r="C1321" s="6">
        <v>29</v>
      </c>
      <c r="D1321" s="6" t="s">
        <v>792</v>
      </c>
      <c r="E1321" s="8" t="str">
        <f>IFERROR(VLOOKUP(LOG_RESEAU[[#This Row],[Cell_ID]],Registre_Maintenance!A:B,2,FALSE),"Non trouvé")</f>
        <v>Non trouvé</v>
      </c>
      <c r="F1321" s="8" t="str">
        <f>IFERROR(VLOOKUP(LOG_RESEAU[[#This Row],[Cell_ID]],Registre_Maintenance!A:C,3,FALSE),"Non trouvé")</f>
        <v>Non trouvé</v>
      </c>
      <c r="G1321" s="8" t="str">
        <f>IFERROR(VLOOKUP(LOG_RESEAU[[#This Row],[Cell_ID]],Registre_Maintenance!A:D,4,FALSE),"Non trouvé")</f>
        <v>Non trouvé</v>
      </c>
      <c r="H1321" s="6" t="str">
        <f>IFERROR(VLOOKUP(LOG_RESEAU[[#This Row],[Cell_ID]],Registre_Maintenance!A:E,5,FALSE),"Non trouvé")</f>
        <v>Non trouvé</v>
      </c>
      <c r="I1321" s="6" t="str">
        <f>IFERROR(VLOOKUP(LOG_RESEAU[[#This Row],[Cell_ID]],Registre_Maintenance!A:F,6,FALSE),"Non trouvé")</f>
        <v>Non trouvé</v>
      </c>
      <c r="J1321" s="6" t="str">
        <f t="shared" si="60"/>
        <v>Antenne inconnue</v>
      </c>
      <c r="K1321" s="6">
        <f t="shared" si="61"/>
        <v>3</v>
      </c>
      <c r="L1321" s="6">
        <f t="shared" si="62"/>
        <v>247</v>
      </c>
    </row>
    <row r="1322" spans="1:12" ht="15.75" x14ac:dyDescent="0.25">
      <c r="A1322" s="6" t="s">
        <v>1097</v>
      </c>
      <c r="B1322" s="7">
        <v>45203.997916666667</v>
      </c>
      <c r="C1322" s="6">
        <v>101</v>
      </c>
      <c r="D1322" s="6" t="s">
        <v>792</v>
      </c>
      <c r="E1322" s="8" t="str">
        <f>IFERROR(VLOOKUP(LOG_RESEAU[[#This Row],[Cell_ID]],Registre_Maintenance!A:B,2,FALSE),"Non trouvé")</f>
        <v>Nord-Kivu</v>
      </c>
      <c r="F1322" s="8">
        <f>IFERROR(VLOOKUP(LOG_RESEAU[[#This Row],[Cell_ID]],Registre_Maintenance!A:C,3,FALSE),"Non trouvé")</f>
        <v>-6.3148239999999998</v>
      </c>
      <c r="G1322" s="8">
        <f>IFERROR(VLOOKUP(LOG_RESEAU[[#This Row],[Cell_ID]],Registre_Maintenance!A:D,4,FALSE),"Non trouvé")</f>
        <v>24.507498999999999</v>
      </c>
      <c r="H1322" s="6" t="str">
        <f>IFERROR(VLOOKUP(LOG_RESEAU[[#This Row],[Cell_ID]],Registre_Maintenance!A:E,5,FALSE),"Non trouvé")</f>
        <v>3G</v>
      </c>
      <c r="I1322" s="6" t="str">
        <f>IFERROR(VLOOKUP(LOG_RESEAU[[#This Row],[Cell_ID]],Registre_Maintenance!A:F,6,FALSE),"Non trouvé")</f>
        <v>ZTE</v>
      </c>
      <c r="J1322" s="6" t="str">
        <f t="shared" si="60"/>
        <v>OK</v>
      </c>
      <c r="K1322" s="6">
        <f t="shared" si="61"/>
        <v>1</v>
      </c>
      <c r="L1322" s="6">
        <f t="shared" si="62"/>
        <v>101</v>
      </c>
    </row>
    <row r="1323" spans="1:12" ht="15.75" x14ac:dyDescent="0.25">
      <c r="A1323" s="6" t="s">
        <v>1272</v>
      </c>
      <c r="B1323" s="7">
        <v>45220.811805555553</v>
      </c>
      <c r="C1323" s="6">
        <v>100</v>
      </c>
      <c r="D1323" s="6" t="s">
        <v>792</v>
      </c>
      <c r="E1323" s="8" t="str">
        <f>IFERROR(VLOOKUP(LOG_RESEAU[[#This Row],[Cell_ID]],Registre_Maintenance!A:B,2,FALSE),"Non trouvé")</f>
        <v>Kwilu</v>
      </c>
      <c r="F1323" s="8">
        <f>IFERROR(VLOOKUP(LOG_RESEAU[[#This Row],[Cell_ID]],Registre_Maintenance!A:C,3,FALSE),"Non trouvé")</f>
        <v>-0.98830399999999996</v>
      </c>
      <c r="G1323" s="8">
        <f>IFERROR(VLOOKUP(LOG_RESEAU[[#This Row],[Cell_ID]],Registre_Maintenance!A:D,4,FALSE),"Non trouvé")</f>
        <v>28.099966999999999</v>
      </c>
      <c r="H1323" s="6" t="str">
        <f>IFERROR(VLOOKUP(LOG_RESEAU[[#This Row],[Cell_ID]],Registre_Maintenance!A:E,5,FALSE),"Non trouvé")</f>
        <v>3G</v>
      </c>
      <c r="I1323" s="6" t="str">
        <f>IFERROR(VLOOKUP(LOG_RESEAU[[#This Row],[Cell_ID]],Registre_Maintenance!A:F,6,FALSE),"Non trouvé")</f>
        <v>Huawei</v>
      </c>
      <c r="J1323" s="6" t="str">
        <f t="shared" si="60"/>
        <v>OK</v>
      </c>
      <c r="K1323" s="6">
        <f t="shared" si="61"/>
        <v>1</v>
      </c>
      <c r="L1323" s="6">
        <f t="shared" si="62"/>
        <v>100</v>
      </c>
    </row>
    <row r="1324" spans="1:12" ht="15.75" x14ac:dyDescent="0.25">
      <c r="A1324" s="6" t="s">
        <v>1134</v>
      </c>
      <c r="B1324" s="7">
        <v>45222.367361111108</v>
      </c>
      <c r="C1324" s="6">
        <v>117</v>
      </c>
      <c r="D1324" s="6" t="s">
        <v>800</v>
      </c>
      <c r="E1324" s="8" t="str">
        <f>IFERROR(VLOOKUP(LOG_RESEAU[[#This Row],[Cell_ID]],Registre_Maintenance!A:B,2,FALSE),"Non trouvé")</f>
        <v>Non trouvé</v>
      </c>
      <c r="F1324" s="8" t="str">
        <f>IFERROR(VLOOKUP(LOG_RESEAU[[#This Row],[Cell_ID]],Registre_Maintenance!A:C,3,FALSE),"Non trouvé")</f>
        <v>Non trouvé</v>
      </c>
      <c r="G1324" s="8" t="str">
        <f>IFERROR(VLOOKUP(LOG_RESEAU[[#This Row],[Cell_ID]],Registre_Maintenance!A:D,4,FALSE),"Non trouvé")</f>
        <v>Non trouvé</v>
      </c>
      <c r="H1324" s="6" t="str">
        <f>IFERROR(VLOOKUP(LOG_RESEAU[[#This Row],[Cell_ID]],Registre_Maintenance!A:E,5,FALSE),"Non trouvé")</f>
        <v>Non trouvé</v>
      </c>
      <c r="I1324" s="6" t="str">
        <f>IFERROR(VLOOKUP(LOG_RESEAU[[#This Row],[Cell_ID]],Registre_Maintenance!A:F,6,FALSE),"Non trouvé")</f>
        <v>Non trouvé</v>
      </c>
      <c r="J1324" s="6" t="str">
        <f t="shared" si="60"/>
        <v>Antenne inconnue</v>
      </c>
      <c r="K1324" s="6">
        <f t="shared" si="61"/>
        <v>1</v>
      </c>
      <c r="L1324" s="6">
        <f t="shared" si="62"/>
        <v>117</v>
      </c>
    </row>
    <row r="1325" spans="1:12" ht="15.75" x14ac:dyDescent="0.25">
      <c r="A1325" s="6" t="s">
        <v>1102</v>
      </c>
      <c r="B1325" s="7">
        <v>45221.997916666667</v>
      </c>
      <c r="C1325" s="6">
        <v>59</v>
      </c>
      <c r="D1325" s="6" t="s">
        <v>794</v>
      </c>
      <c r="E1325" s="8" t="str">
        <f>IFERROR(VLOOKUP(LOG_RESEAU[[#This Row],[Cell_ID]],Registre_Maintenance!A:B,2,FALSE),"Non trouvé")</f>
        <v>Non trouvé</v>
      </c>
      <c r="F1325" s="8" t="str">
        <f>IFERROR(VLOOKUP(LOG_RESEAU[[#This Row],[Cell_ID]],Registre_Maintenance!A:C,3,FALSE),"Non trouvé")</f>
        <v>Non trouvé</v>
      </c>
      <c r="G1325" s="8" t="str">
        <f>IFERROR(VLOOKUP(LOG_RESEAU[[#This Row],[Cell_ID]],Registre_Maintenance!A:D,4,FALSE),"Non trouvé")</f>
        <v>Non trouvé</v>
      </c>
      <c r="H1325" s="6" t="str">
        <f>IFERROR(VLOOKUP(LOG_RESEAU[[#This Row],[Cell_ID]],Registre_Maintenance!A:E,5,FALSE),"Non trouvé")</f>
        <v>Non trouvé</v>
      </c>
      <c r="I1325" s="6" t="str">
        <f>IFERROR(VLOOKUP(LOG_RESEAU[[#This Row],[Cell_ID]],Registre_Maintenance!A:F,6,FALSE),"Non trouvé")</f>
        <v>Non trouvé</v>
      </c>
      <c r="J1325" s="6" t="str">
        <f t="shared" si="60"/>
        <v>Antenne inconnue</v>
      </c>
      <c r="K1325" s="6">
        <f t="shared" si="61"/>
        <v>3</v>
      </c>
      <c r="L1325" s="6">
        <f t="shared" si="62"/>
        <v>221</v>
      </c>
    </row>
    <row r="1326" spans="1:12" ht="15.75" x14ac:dyDescent="0.25">
      <c r="A1326" s="6" t="s">
        <v>1102</v>
      </c>
      <c r="B1326" s="7">
        <v>45222.107638888891</v>
      </c>
      <c r="C1326" s="6">
        <v>85</v>
      </c>
      <c r="D1326" s="6" t="s">
        <v>794</v>
      </c>
      <c r="E1326" s="8" t="str">
        <f>IFERROR(VLOOKUP(LOG_RESEAU[[#This Row],[Cell_ID]],Registre_Maintenance!A:B,2,FALSE),"Non trouvé")</f>
        <v>Non trouvé</v>
      </c>
      <c r="F1326" s="8" t="str">
        <f>IFERROR(VLOOKUP(LOG_RESEAU[[#This Row],[Cell_ID]],Registre_Maintenance!A:C,3,FALSE),"Non trouvé")</f>
        <v>Non trouvé</v>
      </c>
      <c r="G1326" s="8" t="str">
        <f>IFERROR(VLOOKUP(LOG_RESEAU[[#This Row],[Cell_ID]],Registre_Maintenance!A:D,4,FALSE),"Non trouvé")</f>
        <v>Non trouvé</v>
      </c>
      <c r="H1326" s="6" t="str">
        <f>IFERROR(VLOOKUP(LOG_RESEAU[[#This Row],[Cell_ID]],Registre_Maintenance!A:E,5,FALSE),"Non trouvé")</f>
        <v>Non trouvé</v>
      </c>
      <c r="I1326" s="6" t="str">
        <f>IFERROR(VLOOKUP(LOG_RESEAU[[#This Row],[Cell_ID]],Registre_Maintenance!A:F,6,FALSE),"Non trouvé")</f>
        <v>Non trouvé</v>
      </c>
      <c r="J1326" s="6" t="str">
        <f t="shared" si="60"/>
        <v>Antenne inconnue</v>
      </c>
      <c r="K1326" s="6">
        <f t="shared" si="61"/>
        <v>3</v>
      </c>
      <c r="L1326" s="6">
        <f t="shared" si="62"/>
        <v>221</v>
      </c>
    </row>
    <row r="1327" spans="1:12" ht="15.75" x14ac:dyDescent="0.25">
      <c r="A1327" s="6" t="s">
        <v>1102</v>
      </c>
      <c r="B1327" s="7">
        <v>45219.753472222219</v>
      </c>
      <c r="C1327" s="6">
        <v>77</v>
      </c>
      <c r="D1327" s="6" t="s">
        <v>794</v>
      </c>
      <c r="E1327" s="8" t="str">
        <f>IFERROR(VLOOKUP(LOG_RESEAU[[#This Row],[Cell_ID]],Registre_Maintenance!A:B,2,FALSE),"Non trouvé")</f>
        <v>Non trouvé</v>
      </c>
      <c r="F1327" s="8" t="str">
        <f>IFERROR(VLOOKUP(LOG_RESEAU[[#This Row],[Cell_ID]],Registre_Maintenance!A:C,3,FALSE),"Non trouvé")</f>
        <v>Non trouvé</v>
      </c>
      <c r="G1327" s="8" t="str">
        <f>IFERROR(VLOOKUP(LOG_RESEAU[[#This Row],[Cell_ID]],Registre_Maintenance!A:D,4,FALSE),"Non trouvé")</f>
        <v>Non trouvé</v>
      </c>
      <c r="H1327" s="6" t="str">
        <f>IFERROR(VLOOKUP(LOG_RESEAU[[#This Row],[Cell_ID]],Registre_Maintenance!A:E,5,FALSE),"Non trouvé")</f>
        <v>Non trouvé</v>
      </c>
      <c r="I1327" s="6" t="str">
        <f>IFERROR(VLOOKUP(LOG_RESEAU[[#This Row],[Cell_ID]],Registre_Maintenance!A:F,6,FALSE),"Non trouvé")</f>
        <v>Non trouvé</v>
      </c>
      <c r="J1327" s="6" t="str">
        <f t="shared" si="60"/>
        <v>Antenne inconnue</v>
      </c>
      <c r="K1327" s="6">
        <f t="shared" si="61"/>
        <v>3</v>
      </c>
      <c r="L1327" s="6">
        <f t="shared" si="62"/>
        <v>221</v>
      </c>
    </row>
    <row r="1328" spans="1:12" ht="15.75" x14ac:dyDescent="0.25">
      <c r="A1328" s="6" t="s">
        <v>1014</v>
      </c>
      <c r="B1328" s="7">
        <v>45203.032638888893</v>
      </c>
      <c r="C1328" s="6">
        <v>73</v>
      </c>
      <c r="D1328" s="6" t="s">
        <v>794</v>
      </c>
      <c r="E1328" s="8" t="str">
        <f>IFERROR(VLOOKUP(LOG_RESEAU[[#This Row],[Cell_ID]],Registre_Maintenance!A:B,2,FALSE),"Non trouvé")</f>
        <v>Tanganyika</v>
      </c>
      <c r="F1328" s="8">
        <f>IFERROR(VLOOKUP(LOG_RESEAU[[#This Row],[Cell_ID]],Registre_Maintenance!A:C,3,FALSE),"Non trouvé")</f>
        <v>-11.144149000000001</v>
      </c>
      <c r="G1328" s="8">
        <f>IFERROR(VLOOKUP(LOG_RESEAU[[#This Row],[Cell_ID]],Registre_Maintenance!A:D,4,FALSE),"Non trouvé")</f>
        <v>27.244658999999999</v>
      </c>
      <c r="H1328" s="6" t="str">
        <f>IFERROR(VLOOKUP(LOG_RESEAU[[#This Row],[Cell_ID]],Registre_Maintenance!A:E,5,FALSE),"Non trouvé")</f>
        <v>4G</v>
      </c>
      <c r="I1328" s="6" t="str">
        <f>IFERROR(VLOOKUP(LOG_RESEAU[[#This Row],[Cell_ID]],Registre_Maintenance!A:F,6,FALSE),"Non trouvé")</f>
        <v>Nokia</v>
      </c>
      <c r="J1328" s="6" t="str">
        <f t="shared" si="60"/>
        <v>OK</v>
      </c>
      <c r="K1328" s="6">
        <f t="shared" si="61"/>
        <v>2</v>
      </c>
      <c r="L1328" s="6">
        <f t="shared" si="62"/>
        <v>136</v>
      </c>
    </row>
    <row r="1329" spans="1:12" ht="15.75" x14ac:dyDescent="0.25">
      <c r="A1329" s="6" t="s">
        <v>1014</v>
      </c>
      <c r="B1329" s="7">
        <v>45228.791666666657</v>
      </c>
      <c r="C1329" s="6">
        <v>63</v>
      </c>
      <c r="D1329" s="6" t="s">
        <v>794</v>
      </c>
      <c r="E1329" s="8" t="str">
        <f>IFERROR(VLOOKUP(LOG_RESEAU[[#This Row],[Cell_ID]],Registre_Maintenance!A:B,2,FALSE),"Non trouvé")</f>
        <v>Tanganyika</v>
      </c>
      <c r="F1329" s="8">
        <f>IFERROR(VLOOKUP(LOG_RESEAU[[#This Row],[Cell_ID]],Registre_Maintenance!A:C,3,FALSE),"Non trouvé")</f>
        <v>-11.144149000000001</v>
      </c>
      <c r="G1329" s="8">
        <f>IFERROR(VLOOKUP(LOG_RESEAU[[#This Row],[Cell_ID]],Registre_Maintenance!A:D,4,FALSE),"Non trouvé")</f>
        <v>27.244658999999999</v>
      </c>
      <c r="H1329" s="6" t="str">
        <f>IFERROR(VLOOKUP(LOG_RESEAU[[#This Row],[Cell_ID]],Registre_Maintenance!A:E,5,FALSE),"Non trouvé")</f>
        <v>4G</v>
      </c>
      <c r="I1329" s="6" t="str">
        <f>IFERROR(VLOOKUP(LOG_RESEAU[[#This Row],[Cell_ID]],Registre_Maintenance!A:F,6,FALSE),"Non trouvé")</f>
        <v>Nokia</v>
      </c>
      <c r="J1329" s="6" t="str">
        <f t="shared" si="60"/>
        <v>OK</v>
      </c>
      <c r="K1329" s="6">
        <f t="shared" si="61"/>
        <v>2</v>
      </c>
      <c r="L1329" s="6">
        <f t="shared" si="62"/>
        <v>136</v>
      </c>
    </row>
    <row r="1330" spans="1:12" ht="15.75" x14ac:dyDescent="0.25">
      <c r="A1330" s="6" t="s">
        <v>1519</v>
      </c>
      <c r="B1330" s="7">
        <v>45222.943749999999</v>
      </c>
      <c r="C1330" s="6">
        <v>114</v>
      </c>
      <c r="D1330" s="6" t="s">
        <v>794</v>
      </c>
      <c r="E1330" s="8" t="str">
        <f>IFERROR(VLOOKUP(LOG_RESEAU[[#This Row],[Cell_ID]],Registre_Maintenance!A:B,2,FALSE),"Non trouvé")</f>
        <v>Haut-Lomami</v>
      </c>
      <c r="F1330" s="8">
        <f>IFERROR(VLOOKUP(LOG_RESEAU[[#This Row],[Cell_ID]],Registre_Maintenance!A:C,3,FALSE),"Non trouvé")</f>
        <v>-9.6407190000000007</v>
      </c>
      <c r="G1330" s="8">
        <f>IFERROR(VLOOKUP(LOG_RESEAU[[#This Row],[Cell_ID]],Registre_Maintenance!A:D,4,FALSE),"Non trouvé")</f>
        <v>21.336704999999998</v>
      </c>
      <c r="H1330" s="6" t="str">
        <f>IFERROR(VLOOKUP(LOG_RESEAU[[#This Row],[Cell_ID]],Registre_Maintenance!A:E,5,FALSE),"Non trouvé")</f>
        <v>4G</v>
      </c>
      <c r="I1330" s="6" t="str">
        <f>IFERROR(VLOOKUP(LOG_RESEAU[[#This Row],[Cell_ID]],Registre_Maintenance!A:F,6,FALSE),"Non trouvé")</f>
        <v>ZTE</v>
      </c>
      <c r="J1330" s="6" t="str">
        <f t="shared" si="60"/>
        <v>OK</v>
      </c>
      <c r="K1330" s="6">
        <f t="shared" si="61"/>
        <v>1</v>
      </c>
      <c r="L1330" s="6">
        <f t="shared" si="62"/>
        <v>114</v>
      </c>
    </row>
    <row r="1331" spans="1:12" ht="15.75" x14ac:dyDescent="0.25">
      <c r="A1331" s="6" t="s">
        <v>1516</v>
      </c>
      <c r="B1331" s="7">
        <v>45215.163888888892</v>
      </c>
      <c r="C1331" s="6">
        <v>109</v>
      </c>
      <c r="D1331" s="6" t="s">
        <v>800</v>
      </c>
      <c r="E1331" s="8" t="str">
        <f>IFERROR(VLOOKUP(LOG_RESEAU[[#This Row],[Cell_ID]],Registre_Maintenance!A:B,2,FALSE),"Non trouvé")</f>
        <v>Non trouvé</v>
      </c>
      <c r="F1331" s="8" t="str">
        <f>IFERROR(VLOOKUP(LOG_RESEAU[[#This Row],[Cell_ID]],Registre_Maintenance!A:C,3,FALSE),"Non trouvé")</f>
        <v>Non trouvé</v>
      </c>
      <c r="G1331" s="8" t="str">
        <f>IFERROR(VLOOKUP(LOG_RESEAU[[#This Row],[Cell_ID]],Registre_Maintenance!A:D,4,FALSE),"Non trouvé")</f>
        <v>Non trouvé</v>
      </c>
      <c r="H1331" s="6" t="str">
        <f>IFERROR(VLOOKUP(LOG_RESEAU[[#This Row],[Cell_ID]],Registre_Maintenance!A:E,5,FALSE),"Non trouvé")</f>
        <v>Non trouvé</v>
      </c>
      <c r="I1331" s="6" t="str">
        <f>IFERROR(VLOOKUP(LOG_RESEAU[[#This Row],[Cell_ID]],Registre_Maintenance!A:F,6,FALSE),"Non trouvé")</f>
        <v>Non trouvé</v>
      </c>
      <c r="J1331" s="6" t="str">
        <f t="shared" si="60"/>
        <v>Antenne inconnue</v>
      </c>
      <c r="K1331" s="6">
        <f t="shared" si="61"/>
        <v>1</v>
      </c>
      <c r="L1331" s="6">
        <f t="shared" si="62"/>
        <v>109</v>
      </c>
    </row>
    <row r="1332" spans="1:12" ht="15.75" x14ac:dyDescent="0.25">
      <c r="A1332" s="6" t="s">
        <v>1311</v>
      </c>
      <c r="B1332" s="7">
        <v>45226.003472222219</v>
      </c>
      <c r="C1332" s="6">
        <v>76</v>
      </c>
      <c r="D1332" s="6" t="s">
        <v>794</v>
      </c>
      <c r="E1332" s="8" t="str">
        <f>IFERROR(VLOOKUP(LOG_RESEAU[[#This Row],[Cell_ID]],Registre_Maintenance!A:B,2,FALSE),"Non trouvé")</f>
        <v>Non trouvé</v>
      </c>
      <c r="F1332" s="8" t="str">
        <f>IFERROR(VLOOKUP(LOG_RESEAU[[#This Row],[Cell_ID]],Registre_Maintenance!A:C,3,FALSE),"Non trouvé")</f>
        <v>Non trouvé</v>
      </c>
      <c r="G1332" s="8" t="str">
        <f>IFERROR(VLOOKUP(LOG_RESEAU[[#This Row],[Cell_ID]],Registre_Maintenance!A:D,4,FALSE),"Non trouvé")</f>
        <v>Non trouvé</v>
      </c>
      <c r="H1332" s="6" t="str">
        <f>IFERROR(VLOOKUP(LOG_RESEAU[[#This Row],[Cell_ID]],Registre_Maintenance!A:E,5,FALSE),"Non trouvé")</f>
        <v>Non trouvé</v>
      </c>
      <c r="I1332" s="6" t="str">
        <f>IFERROR(VLOOKUP(LOG_RESEAU[[#This Row],[Cell_ID]],Registre_Maintenance!A:F,6,FALSE),"Non trouvé")</f>
        <v>Non trouvé</v>
      </c>
      <c r="J1332" s="6" t="str">
        <f t="shared" si="60"/>
        <v>Antenne inconnue</v>
      </c>
      <c r="K1332" s="6">
        <f t="shared" si="61"/>
        <v>2</v>
      </c>
      <c r="L1332" s="6">
        <f t="shared" si="62"/>
        <v>163</v>
      </c>
    </row>
    <row r="1333" spans="1:12" ht="15.75" x14ac:dyDescent="0.25">
      <c r="A1333" s="6" t="s">
        <v>1311</v>
      </c>
      <c r="B1333" s="7">
        <v>45230.088194444441</v>
      </c>
      <c r="C1333" s="6">
        <v>87</v>
      </c>
      <c r="D1333" s="6" t="s">
        <v>792</v>
      </c>
      <c r="E1333" s="8" t="str">
        <f>IFERROR(VLOOKUP(LOG_RESEAU[[#This Row],[Cell_ID]],Registre_Maintenance!A:B,2,FALSE),"Non trouvé")</f>
        <v>Non trouvé</v>
      </c>
      <c r="F1333" s="8" t="str">
        <f>IFERROR(VLOOKUP(LOG_RESEAU[[#This Row],[Cell_ID]],Registre_Maintenance!A:C,3,FALSE),"Non trouvé")</f>
        <v>Non trouvé</v>
      </c>
      <c r="G1333" s="8" t="str">
        <f>IFERROR(VLOOKUP(LOG_RESEAU[[#This Row],[Cell_ID]],Registre_Maintenance!A:D,4,FALSE),"Non trouvé")</f>
        <v>Non trouvé</v>
      </c>
      <c r="H1333" s="6" t="str">
        <f>IFERROR(VLOOKUP(LOG_RESEAU[[#This Row],[Cell_ID]],Registre_Maintenance!A:E,5,FALSE),"Non trouvé")</f>
        <v>Non trouvé</v>
      </c>
      <c r="I1333" s="6" t="str">
        <f>IFERROR(VLOOKUP(LOG_RESEAU[[#This Row],[Cell_ID]],Registre_Maintenance!A:F,6,FALSE),"Non trouvé")</f>
        <v>Non trouvé</v>
      </c>
      <c r="J1333" s="6" t="str">
        <f t="shared" si="60"/>
        <v>Antenne inconnue</v>
      </c>
      <c r="K1333" s="6">
        <f t="shared" si="61"/>
        <v>2</v>
      </c>
      <c r="L1333" s="6">
        <f t="shared" si="62"/>
        <v>163</v>
      </c>
    </row>
    <row r="1334" spans="1:12" ht="15.75" x14ac:dyDescent="0.25">
      <c r="A1334" s="6" t="s">
        <v>1440</v>
      </c>
      <c r="B1334" s="7">
        <v>45211.219444444447</v>
      </c>
      <c r="C1334" s="6">
        <v>5</v>
      </c>
      <c r="D1334" s="6" t="s">
        <v>794</v>
      </c>
      <c r="E1334" s="8" t="str">
        <f>IFERROR(VLOOKUP(LOG_RESEAU[[#This Row],[Cell_ID]],Registre_Maintenance!A:B,2,FALSE),"Non trouvé")</f>
        <v>Nord-Kivu</v>
      </c>
      <c r="F1334" s="8">
        <f>IFERROR(VLOOKUP(LOG_RESEAU[[#This Row],[Cell_ID]],Registre_Maintenance!A:C,3,FALSE),"Non trouvé")</f>
        <v>-8.9586360000000003</v>
      </c>
      <c r="G1334" s="8">
        <f>IFERROR(VLOOKUP(LOG_RESEAU[[#This Row],[Cell_ID]],Registre_Maintenance!A:D,4,FALSE),"Non trouvé")</f>
        <v>17.157720000000001</v>
      </c>
      <c r="H1334" s="6" t="str">
        <f>IFERROR(VLOOKUP(LOG_RESEAU[[#This Row],[Cell_ID]],Registre_Maintenance!A:E,5,FALSE),"Non trouvé")</f>
        <v>3G</v>
      </c>
      <c r="I1334" s="6" t="str">
        <f>IFERROR(VLOOKUP(LOG_RESEAU[[#This Row],[Cell_ID]],Registre_Maintenance!A:F,6,FALSE),"Non trouvé")</f>
        <v>Nokia</v>
      </c>
      <c r="J1334" s="6" t="str">
        <f t="shared" si="60"/>
        <v>OK</v>
      </c>
      <c r="K1334" s="6">
        <f t="shared" si="61"/>
        <v>1</v>
      </c>
      <c r="L1334" s="6">
        <f t="shared" si="62"/>
        <v>5</v>
      </c>
    </row>
    <row r="1335" spans="1:12" ht="15.75" x14ac:dyDescent="0.25">
      <c r="A1335" s="6" t="s">
        <v>1367</v>
      </c>
      <c r="B1335" s="7">
        <v>45227.324305555558</v>
      </c>
      <c r="C1335" s="6">
        <v>52</v>
      </c>
      <c r="D1335" s="6" t="s">
        <v>794</v>
      </c>
      <c r="E1335" s="8" t="str">
        <f>IFERROR(VLOOKUP(LOG_RESEAU[[#This Row],[Cell_ID]],Registre_Maintenance!A:B,2,FALSE),"Non trouvé")</f>
        <v>Non trouvé</v>
      </c>
      <c r="F1335" s="8" t="str">
        <f>IFERROR(VLOOKUP(LOG_RESEAU[[#This Row],[Cell_ID]],Registre_Maintenance!A:C,3,FALSE),"Non trouvé")</f>
        <v>Non trouvé</v>
      </c>
      <c r="G1335" s="8" t="str">
        <f>IFERROR(VLOOKUP(LOG_RESEAU[[#This Row],[Cell_ID]],Registre_Maintenance!A:D,4,FALSE),"Non trouvé")</f>
        <v>Non trouvé</v>
      </c>
      <c r="H1335" s="6" t="str">
        <f>IFERROR(VLOOKUP(LOG_RESEAU[[#This Row],[Cell_ID]],Registre_Maintenance!A:E,5,FALSE),"Non trouvé")</f>
        <v>Non trouvé</v>
      </c>
      <c r="I1335" s="6" t="str">
        <f>IFERROR(VLOOKUP(LOG_RESEAU[[#This Row],[Cell_ID]],Registre_Maintenance!A:F,6,FALSE),"Non trouvé")</f>
        <v>Non trouvé</v>
      </c>
      <c r="J1335" s="6" t="str">
        <f t="shared" si="60"/>
        <v>Antenne inconnue</v>
      </c>
      <c r="K1335" s="6">
        <f t="shared" si="61"/>
        <v>1</v>
      </c>
      <c r="L1335" s="6">
        <f t="shared" si="62"/>
        <v>52</v>
      </c>
    </row>
    <row r="1336" spans="1:12" ht="15.75" x14ac:dyDescent="0.25">
      <c r="A1336" s="6" t="s">
        <v>1229</v>
      </c>
      <c r="B1336" s="7">
        <v>45200.832638888889</v>
      </c>
      <c r="C1336" s="6">
        <v>27</v>
      </c>
      <c r="D1336" s="6" t="s">
        <v>794</v>
      </c>
      <c r="E1336" s="8" t="str">
        <f>IFERROR(VLOOKUP(LOG_RESEAU[[#This Row],[Cell_ID]],Registre_Maintenance!A:B,2,FALSE),"Non trouvé")</f>
        <v>Sud-Kivu</v>
      </c>
      <c r="F1336" s="8">
        <f>IFERROR(VLOOKUP(LOG_RESEAU[[#This Row],[Cell_ID]],Registre_Maintenance!A:C,3,FALSE),"Non trouvé")</f>
        <v>1.2419519999999999</v>
      </c>
      <c r="G1336" s="8">
        <f>IFERROR(VLOOKUP(LOG_RESEAU[[#This Row],[Cell_ID]],Registre_Maintenance!A:D,4,FALSE),"Non trouvé")</f>
        <v>25.261382999999999</v>
      </c>
      <c r="H1336" s="6" t="str">
        <f>IFERROR(VLOOKUP(LOG_RESEAU[[#This Row],[Cell_ID]],Registre_Maintenance!A:E,5,FALSE),"Non trouvé")</f>
        <v>4G</v>
      </c>
      <c r="I1336" s="6" t="str">
        <f>IFERROR(VLOOKUP(LOG_RESEAU[[#This Row],[Cell_ID]],Registre_Maintenance!A:F,6,FALSE),"Non trouvé")</f>
        <v>Huawei</v>
      </c>
      <c r="J1336" s="6" t="str">
        <f t="shared" si="60"/>
        <v>OK</v>
      </c>
      <c r="K1336" s="6">
        <f t="shared" si="61"/>
        <v>2</v>
      </c>
      <c r="L1336" s="6">
        <f t="shared" si="62"/>
        <v>85</v>
      </c>
    </row>
    <row r="1337" spans="1:12" ht="15.75" x14ac:dyDescent="0.25">
      <c r="A1337" s="6" t="s">
        <v>1229</v>
      </c>
      <c r="B1337" s="7">
        <v>45218.127083333333</v>
      </c>
      <c r="C1337" s="6">
        <v>58</v>
      </c>
      <c r="D1337" s="6" t="s">
        <v>800</v>
      </c>
      <c r="E1337" s="8" t="str">
        <f>IFERROR(VLOOKUP(LOG_RESEAU[[#This Row],[Cell_ID]],Registre_Maintenance!A:B,2,FALSE),"Non trouvé")</f>
        <v>Sud-Kivu</v>
      </c>
      <c r="F1337" s="8">
        <f>IFERROR(VLOOKUP(LOG_RESEAU[[#This Row],[Cell_ID]],Registre_Maintenance!A:C,3,FALSE),"Non trouvé")</f>
        <v>1.2419519999999999</v>
      </c>
      <c r="G1337" s="8">
        <f>IFERROR(VLOOKUP(LOG_RESEAU[[#This Row],[Cell_ID]],Registre_Maintenance!A:D,4,FALSE),"Non trouvé")</f>
        <v>25.261382999999999</v>
      </c>
      <c r="H1337" s="6" t="str">
        <f>IFERROR(VLOOKUP(LOG_RESEAU[[#This Row],[Cell_ID]],Registre_Maintenance!A:E,5,FALSE),"Non trouvé")</f>
        <v>4G</v>
      </c>
      <c r="I1337" s="6" t="str">
        <f>IFERROR(VLOOKUP(LOG_RESEAU[[#This Row],[Cell_ID]],Registre_Maintenance!A:F,6,FALSE),"Non trouvé")</f>
        <v>Huawei</v>
      </c>
      <c r="J1337" s="6" t="str">
        <f t="shared" si="60"/>
        <v>OK</v>
      </c>
      <c r="K1337" s="6">
        <f t="shared" si="61"/>
        <v>2</v>
      </c>
      <c r="L1337" s="6">
        <f t="shared" si="62"/>
        <v>85</v>
      </c>
    </row>
    <row r="1338" spans="1:12" ht="15.75" x14ac:dyDescent="0.25">
      <c r="A1338" s="6" t="s">
        <v>1251</v>
      </c>
      <c r="B1338" s="7">
        <v>45202.695138888892</v>
      </c>
      <c r="C1338" s="6">
        <v>21</v>
      </c>
      <c r="D1338" s="6" t="s">
        <v>794</v>
      </c>
      <c r="E1338" s="8" t="str">
        <f>IFERROR(VLOOKUP(LOG_RESEAU[[#This Row],[Cell_ID]],Registre_Maintenance!A:B,2,FALSE),"Non trouvé")</f>
        <v>Non trouvé</v>
      </c>
      <c r="F1338" s="8" t="str">
        <f>IFERROR(VLOOKUP(LOG_RESEAU[[#This Row],[Cell_ID]],Registre_Maintenance!A:C,3,FALSE),"Non trouvé")</f>
        <v>Non trouvé</v>
      </c>
      <c r="G1338" s="8" t="str">
        <f>IFERROR(VLOOKUP(LOG_RESEAU[[#This Row],[Cell_ID]],Registre_Maintenance!A:D,4,FALSE),"Non trouvé")</f>
        <v>Non trouvé</v>
      </c>
      <c r="H1338" s="6" t="str">
        <f>IFERROR(VLOOKUP(LOG_RESEAU[[#This Row],[Cell_ID]],Registre_Maintenance!A:E,5,FALSE),"Non trouvé")</f>
        <v>Non trouvé</v>
      </c>
      <c r="I1338" s="6" t="str">
        <f>IFERROR(VLOOKUP(LOG_RESEAU[[#This Row],[Cell_ID]],Registre_Maintenance!A:F,6,FALSE),"Non trouvé")</f>
        <v>Non trouvé</v>
      </c>
      <c r="J1338" s="6" t="str">
        <f t="shared" si="60"/>
        <v>Antenne inconnue</v>
      </c>
      <c r="K1338" s="6">
        <f t="shared" si="61"/>
        <v>3</v>
      </c>
      <c r="L1338" s="6">
        <f t="shared" si="62"/>
        <v>209</v>
      </c>
    </row>
    <row r="1339" spans="1:12" ht="15.75" x14ac:dyDescent="0.25">
      <c r="A1339" s="6" t="s">
        <v>1251</v>
      </c>
      <c r="B1339" s="7">
        <v>45200.394444444442</v>
      </c>
      <c r="C1339" s="6">
        <v>115</v>
      </c>
      <c r="D1339" s="6" t="s">
        <v>800</v>
      </c>
      <c r="E1339" s="8" t="str">
        <f>IFERROR(VLOOKUP(LOG_RESEAU[[#This Row],[Cell_ID]],Registre_Maintenance!A:B,2,FALSE),"Non trouvé")</f>
        <v>Non trouvé</v>
      </c>
      <c r="F1339" s="8" t="str">
        <f>IFERROR(VLOOKUP(LOG_RESEAU[[#This Row],[Cell_ID]],Registre_Maintenance!A:C,3,FALSE),"Non trouvé")</f>
        <v>Non trouvé</v>
      </c>
      <c r="G1339" s="8" t="str">
        <f>IFERROR(VLOOKUP(LOG_RESEAU[[#This Row],[Cell_ID]],Registre_Maintenance!A:D,4,FALSE),"Non trouvé")</f>
        <v>Non trouvé</v>
      </c>
      <c r="H1339" s="6" t="str">
        <f>IFERROR(VLOOKUP(LOG_RESEAU[[#This Row],[Cell_ID]],Registre_Maintenance!A:E,5,FALSE),"Non trouvé")</f>
        <v>Non trouvé</v>
      </c>
      <c r="I1339" s="6" t="str">
        <f>IFERROR(VLOOKUP(LOG_RESEAU[[#This Row],[Cell_ID]],Registre_Maintenance!A:F,6,FALSE),"Non trouvé")</f>
        <v>Non trouvé</v>
      </c>
      <c r="J1339" s="6" t="str">
        <f t="shared" si="60"/>
        <v>Antenne inconnue</v>
      </c>
      <c r="K1339" s="6">
        <f t="shared" si="61"/>
        <v>3</v>
      </c>
      <c r="L1339" s="6">
        <f t="shared" si="62"/>
        <v>209</v>
      </c>
    </row>
    <row r="1340" spans="1:12" ht="15.75" x14ac:dyDescent="0.25">
      <c r="A1340" s="6" t="s">
        <v>1251</v>
      </c>
      <c r="B1340" s="7">
        <v>45201.243055555547</v>
      </c>
      <c r="C1340" s="6">
        <v>73</v>
      </c>
      <c r="D1340" s="6" t="s">
        <v>800</v>
      </c>
      <c r="E1340" s="8" t="str">
        <f>IFERROR(VLOOKUP(LOG_RESEAU[[#This Row],[Cell_ID]],Registre_Maintenance!A:B,2,FALSE),"Non trouvé")</f>
        <v>Non trouvé</v>
      </c>
      <c r="F1340" s="8" t="str">
        <f>IFERROR(VLOOKUP(LOG_RESEAU[[#This Row],[Cell_ID]],Registre_Maintenance!A:C,3,FALSE),"Non trouvé")</f>
        <v>Non trouvé</v>
      </c>
      <c r="G1340" s="8" t="str">
        <f>IFERROR(VLOOKUP(LOG_RESEAU[[#This Row],[Cell_ID]],Registre_Maintenance!A:D,4,FALSE),"Non trouvé")</f>
        <v>Non trouvé</v>
      </c>
      <c r="H1340" s="6" t="str">
        <f>IFERROR(VLOOKUP(LOG_RESEAU[[#This Row],[Cell_ID]],Registre_Maintenance!A:E,5,FALSE),"Non trouvé")</f>
        <v>Non trouvé</v>
      </c>
      <c r="I1340" s="6" t="str">
        <f>IFERROR(VLOOKUP(LOG_RESEAU[[#This Row],[Cell_ID]],Registre_Maintenance!A:F,6,FALSE),"Non trouvé")</f>
        <v>Non trouvé</v>
      </c>
      <c r="J1340" s="6" t="str">
        <f t="shared" si="60"/>
        <v>Antenne inconnue</v>
      </c>
      <c r="K1340" s="6">
        <f t="shared" si="61"/>
        <v>3</v>
      </c>
      <c r="L1340" s="6">
        <f t="shared" si="62"/>
        <v>209</v>
      </c>
    </row>
    <row r="1341" spans="1:12" ht="15.75" x14ac:dyDescent="0.25">
      <c r="A1341" s="6" t="s">
        <v>1162</v>
      </c>
      <c r="B1341" s="7">
        <v>45227.768750000003</v>
      </c>
      <c r="C1341" s="6">
        <v>61</v>
      </c>
      <c r="D1341" s="6" t="s">
        <v>800</v>
      </c>
      <c r="E1341" s="8" t="str">
        <f>IFERROR(VLOOKUP(LOG_RESEAU[[#This Row],[Cell_ID]],Registre_Maintenance!A:B,2,FALSE),"Non trouvé")</f>
        <v>Non trouvé</v>
      </c>
      <c r="F1341" s="8" t="str">
        <f>IFERROR(VLOOKUP(LOG_RESEAU[[#This Row],[Cell_ID]],Registre_Maintenance!A:C,3,FALSE),"Non trouvé")</f>
        <v>Non trouvé</v>
      </c>
      <c r="G1341" s="8" t="str">
        <f>IFERROR(VLOOKUP(LOG_RESEAU[[#This Row],[Cell_ID]],Registre_Maintenance!A:D,4,FALSE),"Non trouvé")</f>
        <v>Non trouvé</v>
      </c>
      <c r="H1341" s="6" t="str">
        <f>IFERROR(VLOOKUP(LOG_RESEAU[[#This Row],[Cell_ID]],Registre_Maintenance!A:E,5,FALSE),"Non trouvé")</f>
        <v>Non trouvé</v>
      </c>
      <c r="I1341" s="6" t="str">
        <f>IFERROR(VLOOKUP(LOG_RESEAU[[#This Row],[Cell_ID]],Registre_Maintenance!A:F,6,FALSE),"Non trouvé")</f>
        <v>Non trouvé</v>
      </c>
      <c r="J1341" s="6" t="str">
        <f t="shared" si="60"/>
        <v>Antenne inconnue</v>
      </c>
      <c r="K1341" s="6">
        <f t="shared" si="61"/>
        <v>1</v>
      </c>
      <c r="L1341" s="6">
        <f t="shared" si="62"/>
        <v>61</v>
      </c>
    </row>
    <row r="1342" spans="1:12" ht="15.75" x14ac:dyDescent="0.25">
      <c r="A1342" s="6" t="s">
        <v>1339</v>
      </c>
      <c r="B1342" s="7">
        <v>45230.1875</v>
      </c>
      <c r="C1342" s="6">
        <v>9</v>
      </c>
      <c r="D1342" s="6" t="s">
        <v>792</v>
      </c>
      <c r="E1342" s="8" t="str">
        <f>IFERROR(VLOOKUP(LOG_RESEAU[[#This Row],[Cell_ID]],Registre_Maintenance!A:B,2,FALSE),"Non trouvé")</f>
        <v>Non trouvé</v>
      </c>
      <c r="F1342" s="8" t="str">
        <f>IFERROR(VLOOKUP(LOG_RESEAU[[#This Row],[Cell_ID]],Registre_Maintenance!A:C,3,FALSE),"Non trouvé")</f>
        <v>Non trouvé</v>
      </c>
      <c r="G1342" s="8" t="str">
        <f>IFERROR(VLOOKUP(LOG_RESEAU[[#This Row],[Cell_ID]],Registre_Maintenance!A:D,4,FALSE),"Non trouvé")</f>
        <v>Non trouvé</v>
      </c>
      <c r="H1342" s="6" t="str">
        <f>IFERROR(VLOOKUP(LOG_RESEAU[[#This Row],[Cell_ID]],Registre_Maintenance!A:E,5,FALSE),"Non trouvé")</f>
        <v>Non trouvé</v>
      </c>
      <c r="I1342" s="6" t="str">
        <f>IFERROR(VLOOKUP(LOG_RESEAU[[#This Row],[Cell_ID]],Registre_Maintenance!A:F,6,FALSE),"Non trouvé")</f>
        <v>Non trouvé</v>
      </c>
      <c r="J1342" s="6" t="str">
        <f t="shared" si="60"/>
        <v>Antenne inconnue</v>
      </c>
      <c r="K1342" s="6">
        <f t="shared" si="61"/>
        <v>1</v>
      </c>
      <c r="L1342" s="6">
        <f t="shared" si="62"/>
        <v>9</v>
      </c>
    </row>
    <row r="1343" spans="1:12" ht="15.75" x14ac:dyDescent="0.25">
      <c r="A1343" s="6" t="s">
        <v>1529</v>
      </c>
      <c r="B1343" s="7">
        <v>45213.822222222218</v>
      </c>
      <c r="C1343" s="6">
        <v>100</v>
      </c>
      <c r="D1343" s="6" t="s">
        <v>800</v>
      </c>
      <c r="E1343" s="8" t="str">
        <f>IFERROR(VLOOKUP(LOG_RESEAU[[#This Row],[Cell_ID]],Registre_Maintenance!A:B,2,FALSE),"Non trouvé")</f>
        <v>Non trouvé</v>
      </c>
      <c r="F1343" s="8" t="str">
        <f>IFERROR(VLOOKUP(LOG_RESEAU[[#This Row],[Cell_ID]],Registre_Maintenance!A:C,3,FALSE),"Non trouvé")</f>
        <v>Non trouvé</v>
      </c>
      <c r="G1343" s="8" t="str">
        <f>IFERROR(VLOOKUP(LOG_RESEAU[[#This Row],[Cell_ID]],Registre_Maintenance!A:D,4,FALSE),"Non trouvé")</f>
        <v>Non trouvé</v>
      </c>
      <c r="H1343" s="6" t="str">
        <f>IFERROR(VLOOKUP(LOG_RESEAU[[#This Row],[Cell_ID]],Registre_Maintenance!A:E,5,FALSE),"Non trouvé")</f>
        <v>Non trouvé</v>
      </c>
      <c r="I1343" s="6" t="str">
        <f>IFERROR(VLOOKUP(LOG_RESEAU[[#This Row],[Cell_ID]],Registre_Maintenance!A:F,6,FALSE),"Non trouvé")</f>
        <v>Non trouvé</v>
      </c>
      <c r="J1343" s="6" t="str">
        <f t="shared" si="60"/>
        <v>Antenne inconnue</v>
      </c>
      <c r="K1343" s="6">
        <f t="shared" si="61"/>
        <v>1</v>
      </c>
      <c r="L1343" s="6">
        <f t="shared" si="62"/>
        <v>100</v>
      </c>
    </row>
    <row r="1344" spans="1:12" ht="15.75" x14ac:dyDescent="0.25">
      <c r="A1344" s="6" t="s">
        <v>1306</v>
      </c>
      <c r="B1344" s="7">
        <v>45209.094444444447</v>
      </c>
      <c r="C1344" s="6">
        <v>96</v>
      </c>
      <c r="D1344" s="6" t="s">
        <v>794</v>
      </c>
      <c r="E1344" s="8" t="str">
        <f>IFERROR(VLOOKUP(LOG_RESEAU[[#This Row],[Cell_ID]],Registre_Maintenance!A:B,2,FALSE),"Non trouvé")</f>
        <v>Non trouvé</v>
      </c>
      <c r="F1344" s="8" t="str">
        <f>IFERROR(VLOOKUP(LOG_RESEAU[[#This Row],[Cell_ID]],Registre_Maintenance!A:C,3,FALSE),"Non trouvé")</f>
        <v>Non trouvé</v>
      </c>
      <c r="G1344" s="8" t="str">
        <f>IFERROR(VLOOKUP(LOG_RESEAU[[#This Row],[Cell_ID]],Registre_Maintenance!A:D,4,FALSE),"Non trouvé")</f>
        <v>Non trouvé</v>
      </c>
      <c r="H1344" s="6" t="str">
        <f>IFERROR(VLOOKUP(LOG_RESEAU[[#This Row],[Cell_ID]],Registre_Maintenance!A:E,5,FALSE),"Non trouvé")</f>
        <v>Non trouvé</v>
      </c>
      <c r="I1344" s="6" t="str">
        <f>IFERROR(VLOOKUP(LOG_RESEAU[[#This Row],[Cell_ID]],Registre_Maintenance!A:F,6,FALSE),"Non trouvé")</f>
        <v>Non trouvé</v>
      </c>
      <c r="J1344" s="6" t="str">
        <f t="shared" si="60"/>
        <v>Antenne inconnue</v>
      </c>
      <c r="K1344" s="6">
        <f t="shared" si="61"/>
        <v>1</v>
      </c>
      <c r="L1344" s="6">
        <f t="shared" si="62"/>
        <v>96</v>
      </c>
    </row>
    <row r="1345" spans="1:12" ht="15.75" x14ac:dyDescent="0.25">
      <c r="A1345" s="6" t="s">
        <v>1246</v>
      </c>
      <c r="B1345" s="7">
        <v>45219.683333333327</v>
      </c>
      <c r="C1345" s="6">
        <v>99</v>
      </c>
      <c r="D1345" s="6" t="s">
        <v>800</v>
      </c>
      <c r="E1345" s="8" t="str">
        <f>IFERROR(VLOOKUP(LOG_RESEAU[[#This Row],[Cell_ID]],Registre_Maintenance!A:B,2,FALSE),"Non trouvé")</f>
        <v>Kongo-Central</v>
      </c>
      <c r="F1345" s="8">
        <f>IFERROR(VLOOKUP(LOG_RESEAU[[#This Row],[Cell_ID]],Registre_Maintenance!A:C,3,FALSE),"Non trouvé")</f>
        <v>-9.5840350000000001</v>
      </c>
      <c r="G1345" s="8">
        <f>IFERROR(VLOOKUP(LOG_RESEAU[[#This Row],[Cell_ID]],Registre_Maintenance!A:D,4,FALSE),"Non trouvé")</f>
        <v>15.966024000000001</v>
      </c>
      <c r="H1345" s="6" t="str">
        <f>IFERROR(VLOOKUP(LOG_RESEAU[[#This Row],[Cell_ID]],Registre_Maintenance!A:E,5,FALSE),"Non trouvé")</f>
        <v>5G</v>
      </c>
      <c r="I1345" s="6" t="str">
        <f>IFERROR(VLOOKUP(LOG_RESEAU[[#This Row],[Cell_ID]],Registre_Maintenance!A:F,6,FALSE),"Non trouvé")</f>
        <v>Nokia</v>
      </c>
      <c r="J1345" s="6" t="str">
        <f t="shared" si="60"/>
        <v>OK</v>
      </c>
      <c r="K1345" s="6">
        <f t="shared" si="61"/>
        <v>1</v>
      </c>
      <c r="L1345" s="6">
        <f t="shared" si="62"/>
        <v>99</v>
      </c>
    </row>
    <row r="1346" spans="1:12" ht="15.75" x14ac:dyDescent="0.25">
      <c r="A1346" s="6" t="s">
        <v>1320</v>
      </c>
      <c r="B1346" s="7">
        <v>45210.879861111112</v>
      </c>
      <c r="C1346" s="6">
        <v>53</v>
      </c>
      <c r="D1346" s="6" t="s">
        <v>794</v>
      </c>
      <c r="E1346" s="8" t="str">
        <f>IFERROR(VLOOKUP(LOG_RESEAU[[#This Row],[Cell_ID]],Registre_Maintenance!A:B,2,FALSE),"Non trouvé")</f>
        <v>Lomami</v>
      </c>
      <c r="F1346" s="8">
        <f>IFERROR(VLOOKUP(LOG_RESEAU[[#This Row],[Cell_ID]],Registre_Maintenance!A:C,3,FALSE),"Non trouvé")</f>
        <v>-7.8770429999999996</v>
      </c>
      <c r="G1346" s="8">
        <f>IFERROR(VLOOKUP(LOG_RESEAU[[#This Row],[Cell_ID]],Registre_Maintenance!A:D,4,FALSE),"Non trouvé")</f>
        <v>16.357762999999998</v>
      </c>
      <c r="H1346" s="6" t="str">
        <f>IFERROR(VLOOKUP(LOG_RESEAU[[#This Row],[Cell_ID]],Registre_Maintenance!A:E,5,FALSE),"Non trouvé")</f>
        <v>4G</v>
      </c>
      <c r="I1346" s="6" t="str">
        <f>IFERROR(VLOOKUP(LOG_RESEAU[[#This Row],[Cell_ID]],Registre_Maintenance!A:F,6,FALSE),"Non trouvé")</f>
        <v>Ericsson</v>
      </c>
      <c r="J1346" s="6" t="str">
        <f t="shared" ref="J1346:J1409" si="63">IF(ISERROR(SEARCH("Non trouvé",F1346)),"OK","Antenne inconnue")</f>
        <v>OK</v>
      </c>
      <c r="K1346" s="6">
        <f t="shared" ref="K1346:K1409" si="64">COUNTIF(A:A,A1346)</f>
        <v>1</v>
      </c>
      <c r="L1346" s="6">
        <f t="shared" ref="L1346:L1409" si="65">SUMIF(A:A,A1346,C:C)</f>
        <v>53</v>
      </c>
    </row>
    <row r="1347" spans="1:12" ht="15.75" x14ac:dyDescent="0.25">
      <c r="A1347" s="6" t="s">
        <v>1145</v>
      </c>
      <c r="B1347" s="7">
        <v>45218.056944444441</v>
      </c>
      <c r="C1347" s="6">
        <v>46</v>
      </c>
      <c r="D1347" s="6" t="s">
        <v>792</v>
      </c>
      <c r="E1347" s="8" t="str">
        <f>IFERROR(VLOOKUP(LOG_RESEAU[[#This Row],[Cell_ID]],Registre_Maintenance!A:B,2,FALSE),"Non trouvé")</f>
        <v>Non trouvé</v>
      </c>
      <c r="F1347" s="8" t="str">
        <f>IFERROR(VLOOKUP(LOG_RESEAU[[#This Row],[Cell_ID]],Registre_Maintenance!A:C,3,FALSE),"Non trouvé")</f>
        <v>Non trouvé</v>
      </c>
      <c r="G1347" s="8" t="str">
        <f>IFERROR(VLOOKUP(LOG_RESEAU[[#This Row],[Cell_ID]],Registre_Maintenance!A:D,4,FALSE),"Non trouvé")</f>
        <v>Non trouvé</v>
      </c>
      <c r="H1347" s="6" t="str">
        <f>IFERROR(VLOOKUP(LOG_RESEAU[[#This Row],[Cell_ID]],Registre_Maintenance!A:E,5,FALSE),"Non trouvé")</f>
        <v>Non trouvé</v>
      </c>
      <c r="I1347" s="6" t="str">
        <f>IFERROR(VLOOKUP(LOG_RESEAU[[#This Row],[Cell_ID]],Registre_Maintenance!A:F,6,FALSE),"Non trouvé")</f>
        <v>Non trouvé</v>
      </c>
      <c r="J1347" s="6" t="str">
        <f t="shared" si="63"/>
        <v>Antenne inconnue</v>
      </c>
      <c r="K1347" s="6">
        <f t="shared" si="64"/>
        <v>2</v>
      </c>
      <c r="L1347" s="6">
        <f t="shared" si="65"/>
        <v>146</v>
      </c>
    </row>
    <row r="1348" spans="1:12" ht="15.75" x14ac:dyDescent="0.25">
      <c r="A1348" s="6" t="s">
        <v>1145</v>
      </c>
      <c r="B1348" s="7">
        <v>45219.041666666657</v>
      </c>
      <c r="C1348" s="6">
        <v>100</v>
      </c>
      <c r="D1348" s="6" t="s">
        <v>792</v>
      </c>
      <c r="E1348" s="8" t="str">
        <f>IFERROR(VLOOKUP(LOG_RESEAU[[#This Row],[Cell_ID]],Registre_Maintenance!A:B,2,FALSE),"Non trouvé")</f>
        <v>Non trouvé</v>
      </c>
      <c r="F1348" s="8" t="str">
        <f>IFERROR(VLOOKUP(LOG_RESEAU[[#This Row],[Cell_ID]],Registre_Maintenance!A:C,3,FALSE),"Non trouvé")</f>
        <v>Non trouvé</v>
      </c>
      <c r="G1348" s="8" t="str">
        <f>IFERROR(VLOOKUP(LOG_RESEAU[[#This Row],[Cell_ID]],Registre_Maintenance!A:D,4,FALSE),"Non trouvé")</f>
        <v>Non trouvé</v>
      </c>
      <c r="H1348" s="6" t="str">
        <f>IFERROR(VLOOKUP(LOG_RESEAU[[#This Row],[Cell_ID]],Registre_Maintenance!A:E,5,FALSE),"Non trouvé")</f>
        <v>Non trouvé</v>
      </c>
      <c r="I1348" s="6" t="str">
        <f>IFERROR(VLOOKUP(LOG_RESEAU[[#This Row],[Cell_ID]],Registre_Maintenance!A:F,6,FALSE),"Non trouvé")</f>
        <v>Non trouvé</v>
      </c>
      <c r="J1348" s="6" t="str">
        <f t="shared" si="63"/>
        <v>Antenne inconnue</v>
      </c>
      <c r="K1348" s="6">
        <f t="shared" si="64"/>
        <v>2</v>
      </c>
      <c r="L1348" s="6">
        <f t="shared" si="65"/>
        <v>146</v>
      </c>
    </row>
    <row r="1349" spans="1:12" ht="15.75" x14ac:dyDescent="0.25">
      <c r="A1349" s="6" t="s">
        <v>1497</v>
      </c>
      <c r="B1349" s="7">
        <v>45216.393055555563</v>
      </c>
      <c r="C1349" s="6">
        <v>34</v>
      </c>
      <c r="D1349" s="6" t="s">
        <v>792</v>
      </c>
      <c r="E1349" s="8" t="str">
        <f>IFERROR(VLOOKUP(LOG_RESEAU[[#This Row],[Cell_ID]],Registre_Maintenance!A:B,2,FALSE),"Non trouvé")</f>
        <v>Non trouvé</v>
      </c>
      <c r="F1349" s="8" t="str">
        <f>IFERROR(VLOOKUP(LOG_RESEAU[[#This Row],[Cell_ID]],Registre_Maintenance!A:C,3,FALSE),"Non trouvé")</f>
        <v>Non trouvé</v>
      </c>
      <c r="G1349" s="8" t="str">
        <f>IFERROR(VLOOKUP(LOG_RESEAU[[#This Row],[Cell_ID]],Registre_Maintenance!A:D,4,FALSE),"Non trouvé")</f>
        <v>Non trouvé</v>
      </c>
      <c r="H1349" s="6" t="str">
        <f>IFERROR(VLOOKUP(LOG_RESEAU[[#This Row],[Cell_ID]],Registre_Maintenance!A:E,5,FALSE),"Non trouvé")</f>
        <v>Non trouvé</v>
      </c>
      <c r="I1349" s="6" t="str">
        <f>IFERROR(VLOOKUP(LOG_RESEAU[[#This Row],[Cell_ID]],Registre_Maintenance!A:F,6,FALSE),"Non trouvé")</f>
        <v>Non trouvé</v>
      </c>
      <c r="J1349" s="6" t="str">
        <f t="shared" si="63"/>
        <v>Antenne inconnue</v>
      </c>
      <c r="K1349" s="6">
        <f t="shared" si="64"/>
        <v>1</v>
      </c>
      <c r="L1349" s="6">
        <f t="shared" si="65"/>
        <v>34</v>
      </c>
    </row>
    <row r="1350" spans="1:12" ht="15.75" x14ac:dyDescent="0.25">
      <c r="A1350" s="6" t="s">
        <v>1101</v>
      </c>
      <c r="B1350" s="7">
        <v>45213.89166666667</v>
      </c>
      <c r="C1350" s="6">
        <v>104</v>
      </c>
      <c r="D1350" s="6" t="s">
        <v>794</v>
      </c>
      <c r="E1350" s="8" t="str">
        <f>IFERROR(VLOOKUP(LOG_RESEAU[[#This Row],[Cell_ID]],Registre_Maintenance!A:B,2,FALSE),"Non trouvé")</f>
        <v>Non trouvé</v>
      </c>
      <c r="F1350" s="8" t="str">
        <f>IFERROR(VLOOKUP(LOG_RESEAU[[#This Row],[Cell_ID]],Registre_Maintenance!A:C,3,FALSE),"Non trouvé")</f>
        <v>Non trouvé</v>
      </c>
      <c r="G1350" s="8" t="str">
        <f>IFERROR(VLOOKUP(LOG_RESEAU[[#This Row],[Cell_ID]],Registre_Maintenance!A:D,4,FALSE),"Non trouvé")</f>
        <v>Non trouvé</v>
      </c>
      <c r="H1350" s="6" t="str">
        <f>IFERROR(VLOOKUP(LOG_RESEAU[[#This Row],[Cell_ID]],Registre_Maintenance!A:E,5,FALSE),"Non trouvé")</f>
        <v>Non trouvé</v>
      </c>
      <c r="I1350" s="6" t="str">
        <f>IFERROR(VLOOKUP(LOG_RESEAU[[#This Row],[Cell_ID]],Registre_Maintenance!A:F,6,FALSE),"Non trouvé")</f>
        <v>Non trouvé</v>
      </c>
      <c r="J1350" s="6" t="str">
        <f t="shared" si="63"/>
        <v>Antenne inconnue</v>
      </c>
      <c r="K1350" s="6">
        <f t="shared" si="64"/>
        <v>2</v>
      </c>
      <c r="L1350" s="6">
        <f t="shared" si="65"/>
        <v>120</v>
      </c>
    </row>
    <row r="1351" spans="1:12" ht="15.75" x14ac:dyDescent="0.25">
      <c r="A1351" s="6" t="s">
        <v>1101</v>
      </c>
      <c r="B1351" s="7">
        <v>45200.427777777782</v>
      </c>
      <c r="C1351" s="6">
        <v>16</v>
      </c>
      <c r="D1351" s="6" t="s">
        <v>800</v>
      </c>
      <c r="E1351" s="8" t="str">
        <f>IFERROR(VLOOKUP(LOG_RESEAU[[#This Row],[Cell_ID]],Registre_Maintenance!A:B,2,FALSE),"Non trouvé")</f>
        <v>Non trouvé</v>
      </c>
      <c r="F1351" s="8" t="str">
        <f>IFERROR(VLOOKUP(LOG_RESEAU[[#This Row],[Cell_ID]],Registre_Maintenance!A:C,3,FALSE),"Non trouvé")</f>
        <v>Non trouvé</v>
      </c>
      <c r="G1351" s="8" t="str">
        <f>IFERROR(VLOOKUP(LOG_RESEAU[[#This Row],[Cell_ID]],Registre_Maintenance!A:D,4,FALSE),"Non trouvé")</f>
        <v>Non trouvé</v>
      </c>
      <c r="H1351" s="6" t="str">
        <f>IFERROR(VLOOKUP(LOG_RESEAU[[#This Row],[Cell_ID]],Registre_Maintenance!A:E,5,FALSE),"Non trouvé")</f>
        <v>Non trouvé</v>
      </c>
      <c r="I1351" s="6" t="str">
        <f>IFERROR(VLOOKUP(LOG_RESEAU[[#This Row],[Cell_ID]],Registre_Maintenance!A:F,6,FALSE),"Non trouvé")</f>
        <v>Non trouvé</v>
      </c>
      <c r="J1351" s="6" t="str">
        <f t="shared" si="63"/>
        <v>Antenne inconnue</v>
      </c>
      <c r="K1351" s="6">
        <f t="shared" si="64"/>
        <v>2</v>
      </c>
      <c r="L1351" s="6">
        <f t="shared" si="65"/>
        <v>120</v>
      </c>
    </row>
    <row r="1352" spans="1:12" ht="15.75" x14ac:dyDescent="0.25">
      <c r="A1352" s="6" t="s">
        <v>1130</v>
      </c>
      <c r="B1352" s="7">
        <v>45206.027083333327</v>
      </c>
      <c r="C1352" s="6">
        <v>36</v>
      </c>
      <c r="D1352" s="6" t="s">
        <v>792</v>
      </c>
      <c r="E1352" s="8" t="str">
        <f>IFERROR(VLOOKUP(LOG_RESEAU[[#This Row],[Cell_ID]],Registre_Maintenance!A:B,2,FALSE),"Non trouvé")</f>
        <v>Kasai-Central</v>
      </c>
      <c r="F1352" s="8">
        <f>IFERROR(VLOOKUP(LOG_RESEAU[[#This Row],[Cell_ID]],Registre_Maintenance!A:C,3,FALSE),"Non trouvé")</f>
        <v>-3.111418</v>
      </c>
      <c r="G1352" s="8">
        <f>IFERROR(VLOOKUP(LOG_RESEAU[[#This Row],[Cell_ID]],Registre_Maintenance!A:D,4,FALSE),"Non trouvé")</f>
        <v>14.144854</v>
      </c>
      <c r="H1352" s="6" t="str">
        <f>IFERROR(VLOOKUP(LOG_RESEAU[[#This Row],[Cell_ID]],Registre_Maintenance!A:E,5,FALSE),"Non trouvé")</f>
        <v>4G</v>
      </c>
      <c r="I1352" s="6" t="str">
        <f>IFERROR(VLOOKUP(LOG_RESEAU[[#This Row],[Cell_ID]],Registre_Maintenance!A:F,6,FALSE),"Non trouvé")</f>
        <v>ZTE</v>
      </c>
      <c r="J1352" s="6" t="str">
        <f t="shared" si="63"/>
        <v>OK</v>
      </c>
      <c r="K1352" s="6">
        <f t="shared" si="64"/>
        <v>3</v>
      </c>
      <c r="L1352" s="6">
        <f t="shared" si="65"/>
        <v>152</v>
      </c>
    </row>
    <row r="1353" spans="1:12" ht="15.75" x14ac:dyDescent="0.25">
      <c r="A1353" s="6" t="s">
        <v>1130</v>
      </c>
      <c r="B1353" s="7">
        <v>45204.572222222218</v>
      </c>
      <c r="C1353" s="6">
        <v>88</v>
      </c>
      <c r="D1353" s="6" t="s">
        <v>792</v>
      </c>
      <c r="E1353" s="8" t="str">
        <f>IFERROR(VLOOKUP(LOG_RESEAU[[#This Row],[Cell_ID]],Registre_Maintenance!A:B,2,FALSE),"Non trouvé")</f>
        <v>Kasai-Central</v>
      </c>
      <c r="F1353" s="8">
        <f>IFERROR(VLOOKUP(LOG_RESEAU[[#This Row],[Cell_ID]],Registre_Maintenance!A:C,3,FALSE),"Non trouvé")</f>
        <v>-3.111418</v>
      </c>
      <c r="G1353" s="8">
        <f>IFERROR(VLOOKUP(LOG_RESEAU[[#This Row],[Cell_ID]],Registre_Maintenance!A:D,4,FALSE),"Non trouvé")</f>
        <v>14.144854</v>
      </c>
      <c r="H1353" s="6" t="str">
        <f>IFERROR(VLOOKUP(LOG_RESEAU[[#This Row],[Cell_ID]],Registre_Maintenance!A:E,5,FALSE),"Non trouvé")</f>
        <v>4G</v>
      </c>
      <c r="I1353" s="6" t="str">
        <f>IFERROR(VLOOKUP(LOG_RESEAU[[#This Row],[Cell_ID]],Registre_Maintenance!A:F,6,FALSE),"Non trouvé")</f>
        <v>ZTE</v>
      </c>
      <c r="J1353" s="6" t="str">
        <f t="shared" si="63"/>
        <v>OK</v>
      </c>
      <c r="K1353" s="6">
        <f t="shared" si="64"/>
        <v>3</v>
      </c>
      <c r="L1353" s="6">
        <f t="shared" si="65"/>
        <v>152</v>
      </c>
    </row>
    <row r="1354" spans="1:12" ht="15.75" x14ac:dyDescent="0.25">
      <c r="A1354" s="6" t="s">
        <v>1130</v>
      </c>
      <c r="B1354" s="7">
        <v>45202.747916666667</v>
      </c>
      <c r="C1354" s="6">
        <v>28</v>
      </c>
      <c r="D1354" s="6" t="s">
        <v>800</v>
      </c>
      <c r="E1354" s="8" t="str">
        <f>IFERROR(VLOOKUP(LOG_RESEAU[[#This Row],[Cell_ID]],Registre_Maintenance!A:B,2,FALSE),"Non trouvé")</f>
        <v>Kasai-Central</v>
      </c>
      <c r="F1354" s="8">
        <f>IFERROR(VLOOKUP(LOG_RESEAU[[#This Row],[Cell_ID]],Registre_Maintenance!A:C,3,FALSE),"Non trouvé")</f>
        <v>-3.111418</v>
      </c>
      <c r="G1354" s="8">
        <f>IFERROR(VLOOKUP(LOG_RESEAU[[#This Row],[Cell_ID]],Registre_Maintenance!A:D,4,FALSE),"Non trouvé")</f>
        <v>14.144854</v>
      </c>
      <c r="H1354" s="6" t="str">
        <f>IFERROR(VLOOKUP(LOG_RESEAU[[#This Row],[Cell_ID]],Registre_Maintenance!A:E,5,FALSE),"Non trouvé")</f>
        <v>4G</v>
      </c>
      <c r="I1354" s="6" t="str">
        <f>IFERROR(VLOOKUP(LOG_RESEAU[[#This Row],[Cell_ID]],Registre_Maintenance!A:F,6,FALSE),"Non trouvé")</f>
        <v>ZTE</v>
      </c>
      <c r="J1354" s="6" t="str">
        <f t="shared" si="63"/>
        <v>OK</v>
      </c>
      <c r="K1354" s="6">
        <f t="shared" si="64"/>
        <v>3</v>
      </c>
      <c r="L1354" s="6">
        <f t="shared" si="65"/>
        <v>152</v>
      </c>
    </row>
    <row r="1355" spans="1:12" ht="15.75" x14ac:dyDescent="0.25">
      <c r="A1355" s="6" t="s">
        <v>1324</v>
      </c>
      <c r="B1355" s="7">
        <v>45206.563888888893</v>
      </c>
      <c r="C1355" s="6">
        <v>37</v>
      </c>
      <c r="D1355" s="6" t="s">
        <v>794</v>
      </c>
      <c r="E1355" s="8" t="str">
        <f>IFERROR(VLOOKUP(LOG_RESEAU[[#This Row],[Cell_ID]],Registre_Maintenance!A:B,2,FALSE),"Non trouvé")</f>
        <v>Haut-Uele</v>
      </c>
      <c r="F1355" s="8">
        <f>IFERROR(VLOOKUP(LOG_RESEAU[[#This Row],[Cell_ID]],Registre_Maintenance!A:C,3,FALSE),"Non trouvé")</f>
        <v>0.20866199999999999</v>
      </c>
      <c r="G1355" s="8">
        <f>IFERROR(VLOOKUP(LOG_RESEAU[[#This Row],[Cell_ID]],Registre_Maintenance!A:D,4,FALSE),"Non trouvé")</f>
        <v>18.556439000000001</v>
      </c>
      <c r="H1355" s="6" t="str">
        <f>IFERROR(VLOOKUP(LOG_RESEAU[[#This Row],[Cell_ID]],Registre_Maintenance!A:E,5,FALSE),"Non trouvé")</f>
        <v>4G</v>
      </c>
      <c r="I1355" s="6" t="str">
        <f>IFERROR(VLOOKUP(LOG_RESEAU[[#This Row],[Cell_ID]],Registre_Maintenance!A:F,6,FALSE),"Non trouvé")</f>
        <v>Nokia</v>
      </c>
      <c r="J1355" s="6" t="str">
        <f t="shared" si="63"/>
        <v>OK</v>
      </c>
      <c r="K1355" s="6">
        <f t="shared" si="64"/>
        <v>1</v>
      </c>
      <c r="L1355" s="6">
        <f t="shared" si="65"/>
        <v>37</v>
      </c>
    </row>
    <row r="1356" spans="1:12" ht="15.75" x14ac:dyDescent="0.25">
      <c r="A1356" s="6" t="s">
        <v>1463</v>
      </c>
      <c r="B1356" s="7">
        <v>45210.511805555558</v>
      </c>
      <c r="C1356" s="6">
        <v>27</v>
      </c>
      <c r="D1356" s="6" t="s">
        <v>800</v>
      </c>
      <c r="E1356" s="8" t="str">
        <f>IFERROR(VLOOKUP(LOG_RESEAU[[#This Row],[Cell_ID]],Registre_Maintenance!A:B,2,FALSE),"Non trouvé")</f>
        <v>Non trouvé</v>
      </c>
      <c r="F1356" s="8" t="str">
        <f>IFERROR(VLOOKUP(LOG_RESEAU[[#This Row],[Cell_ID]],Registre_Maintenance!A:C,3,FALSE),"Non trouvé")</f>
        <v>Non trouvé</v>
      </c>
      <c r="G1356" s="8" t="str">
        <f>IFERROR(VLOOKUP(LOG_RESEAU[[#This Row],[Cell_ID]],Registre_Maintenance!A:D,4,FALSE),"Non trouvé")</f>
        <v>Non trouvé</v>
      </c>
      <c r="H1356" s="6" t="str">
        <f>IFERROR(VLOOKUP(LOG_RESEAU[[#This Row],[Cell_ID]],Registre_Maintenance!A:E,5,FALSE),"Non trouvé")</f>
        <v>Non trouvé</v>
      </c>
      <c r="I1356" s="6" t="str">
        <f>IFERROR(VLOOKUP(LOG_RESEAU[[#This Row],[Cell_ID]],Registre_Maintenance!A:F,6,FALSE),"Non trouvé")</f>
        <v>Non trouvé</v>
      </c>
      <c r="J1356" s="6" t="str">
        <f t="shared" si="63"/>
        <v>Antenne inconnue</v>
      </c>
      <c r="K1356" s="6">
        <f t="shared" si="64"/>
        <v>1</v>
      </c>
      <c r="L1356" s="6">
        <f t="shared" si="65"/>
        <v>27</v>
      </c>
    </row>
    <row r="1357" spans="1:12" ht="15.75" x14ac:dyDescent="0.25">
      <c r="A1357" s="6" t="s">
        <v>1263</v>
      </c>
      <c r="B1357" s="7">
        <v>45209.724999999999</v>
      </c>
      <c r="C1357" s="6">
        <v>97</v>
      </c>
      <c r="D1357" s="6" t="s">
        <v>792</v>
      </c>
      <c r="E1357" s="8" t="str">
        <f>IFERROR(VLOOKUP(LOG_RESEAU[[#This Row],[Cell_ID]],Registre_Maintenance!A:B,2,FALSE),"Non trouvé")</f>
        <v>Non trouvé</v>
      </c>
      <c r="F1357" s="8" t="str">
        <f>IFERROR(VLOOKUP(LOG_RESEAU[[#This Row],[Cell_ID]],Registre_Maintenance!A:C,3,FALSE),"Non trouvé")</f>
        <v>Non trouvé</v>
      </c>
      <c r="G1357" s="8" t="str">
        <f>IFERROR(VLOOKUP(LOG_RESEAU[[#This Row],[Cell_ID]],Registre_Maintenance!A:D,4,FALSE),"Non trouvé")</f>
        <v>Non trouvé</v>
      </c>
      <c r="H1357" s="6" t="str">
        <f>IFERROR(VLOOKUP(LOG_RESEAU[[#This Row],[Cell_ID]],Registre_Maintenance!A:E,5,FALSE),"Non trouvé")</f>
        <v>Non trouvé</v>
      </c>
      <c r="I1357" s="6" t="str">
        <f>IFERROR(VLOOKUP(LOG_RESEAU[[#This Row],[Cell_ID]],Registre_Maintenance!A:F,6,FALSE),"Non trouvé")</f>
        <v>Non trouvé</v>
      </c>
      <c r="J1357" s="6" t="str">
        <f t="shared" si="63"/>
        <v>Antenne inconnue</v>
      </c>
      <c r="K1357" s="6">
        <f t="shared" si="64"/>
        <v>1</v>
      </c>
      <c r="L1357" s="6">
        <f t="shared" si="65"/>
        <v>97</v>
      </c>
    </row>
    <row r="1358" spans="1:12" ht="15.75" x14ac:dyDescent="0.25">
      <c r="A1358" s="6" t="s">
        <v>1208</v>
      </c>
      <c r="B1358" s="7">
        <v>45230.484027777777</v>
      </c>
      <c r="C1358" s="6">
        <v>37</v>
      </c>
      <c r="D1358" s="6" t="s">
        <v>800</v>
      </c>
      <c r="E1358" s="8" t="str">
        <f>IFERROR(VLOOKUP(LOG_RESEAU[[#This Row],[Cell_ID]],Registre_Maintenance!A:B,2,FALSE),"Non trouvé")</f>
        <v>Kongo-Central</v>
      </c>
      <c r="F1358" s="8">
        <f>IFERROR(VLOOKUP(LOG_RESEAU[[#This Row],[Cell_ID]],Registre_Maintenance!A:C,3,FALSE),"Non trouvé")</f>
        <v>-12.564277000000001</v>
      </c>
      <c r="G1358" s="8">
        <f>IFERROR(VLOOKUP(LOG_RESEAU[[#This Row],[Cell_ID]],Registre_Maintenance!A:D,4,FALSE),"Non trouvé")</f>
        <v>28.480798</v>
      </c>
      <c r="H1358" s="6" t="str">
        <f>IFERROR(VLOOKUP(LOG_RESEAU[[#This Row],[Cell_ID]],Registre_Maintenance!A:E,5,FALSE),"Non trouvé")</f>
        <v>5G</v>
      </c>
      <c r="I1358" s="6" t="str">
        <f>IFERROR(VLOOKUP(LOG_RESEAU[[#This Row],[Cell_ID]],Registre_Maintenance!A:F,6,FALSE),"Non trouvé")</f>
        <v>ZTE</v>
      </c>
      <c r="J1358" s="6" t="str">
        <f t="shared" si="63"/>
        <v>OK</v>
      </c>
      <c r="K1358" s="6">
        <f t="shared" si="64"/>
        <v>2</v>
      </c>
      <c r="L1358" s="6">
        <f t="shared" si="65"/>
        <v>144</v>
      </c>
    </row>
    <row r="1359" spans="1:12" ht="15.75" x14ac:dyDescent="0.25">
      <c r="A1359" s="6" t="s">
        <v>1208</v>
      </c>
      <c r="B1359" s="7">
        <v>45215.704861111109</v>
      </c>
      <c r="C1359" s="6">
        <v>107</v>
      </c>
      <c r="D1359" s="6" t="s">
        <v>794</v>
      </c>
      <c r="E1359" s="8" t="str">
        <f>IFERROR(VLOOKUP(LOG_RESEAU[[#This Row],[Cell_ID]],Registre_Maintenance!A:B,2,FALSE),"Non trouvé")</f>
        <v>Kongo-Central</v>
      </c>
      <c r="F1359" s="8">
        <f>IFERROR(VLOOKUP(LOG_RESEAU[[#This Row],[Cell_ID]],Registre_Maintenance!A:C,3,FALSE),"Non trouvé")</f>
        <v>-12.564277000000001</v>
      </c>
      <c r="G1359" s="8">
        <f>IFERROR(VLOOKUP(LOG_RESEAU[[#This Row],[Cell_ID]],Registre_Maintenance!A:D,4,FALSE),"Non trouvé")</f>
        <v>28.480798</v>
      </c>
      <c r="H1359" s="6" t="str">
        <f>IFERROR(VLOOKUP(LOG_RESEAU[[#This Row],[Cell_ID]],Registre_Maintenance!A:E,5,FALSE),"Non trouvé")</f>
        <v>5G</v>
      </c>
      <c r="I1359" s="6" t="str">
        <f>IFERROR(VLOOKUP(LOG_RESEAU[[#This Row],[Cell_ID]],Registre_Maintenance!A:F,6,FALSE),"Non trouvé")</f>
        <v>ZTE</v>
      </c>
      <c r="J1359" s="6" t="str">
        <f t="shared" si="63"/>
        <v>OK</v>
      </c>
      <c r="K1359" s="6">
        <f t="shared" si="64"/>
        <v>2</v>
      </c>
      <c r="L1359" s="6">
        <f t="shared" si="65"/>
        <v>144</v>
      </c>
    </row>
    <row r="1360" spans="1:12" ht="15.75" x14ac:dyDescent="0.25">
      <c r="A1360" s="6" t="s">
        <v>1110</v>
      </c>
      <c r="B1360" s="7">
        <v>45221.095833333333</v>
      </c>
      <c r="C1360" s="6">
        <v>113</v>
      </c>
      <c r="D1360" s="6" t="s">
        <v>792</v>
      </c>
      <c r="E1360" s="8" t="str">
        <f>IFERROR(VLOOKUP(LOG_RESEAU[[#This Row],[Cell_ID]],Registre_Maintenance!A:B,2,FALSE),"Non trouvé")</f>
        <v>Non trouvé</v>
      </c>
      <c r="F1360" s="8" t="str">
        <f>IFERROR(VLOOKUP(LOG_RESEAU[[#This Row],[Cell_ID]],Registre_Maintenance!A:C,3,FALSE),"Non trouvé")</f>
        <v>Non trouvé</v>
      </c>
      <c r="G1360" s="8" t="str">
        <f>IFERROR(VLOOKUP(LOG_RESEAU[[#This Row],[Cell_ID]],Registre_Maintenance!A:D,4,FALSE),"Non trouvé")</f>
        <v>Non trouvé</v>
      </c>
      <c r="H1360" s="6" t="str">
        <f>IFERROR(VLOOKUP(LOG_RESEAU[[#This Row],[Cell_ID]],Registre_Maintenance!A:E,5,FALSE),"Non trouvé")</f>
        <v>Non trouvé</v>
      </c>
      <c r="I1360" s="6" t="str">
        <f>IFERROR(VLOOKUP(LOG_RESEAU[[#This Row],[Cell_ID]],Registre_Maintenance!A:F,6,FALSE),"Non trouvé")</f>
        <v>Non trouvé</v>
      </c>
      <c r="J1360" s="6" t="str">
        <f t="shared" si="63"/>
        <v>Antenne inconnue</v>
      </c>
      <c r="K1360" s="6">
        <f t="shared" si="64"/>
        <v>2</v>
      </c>
      <c r="L1360" s="6">
        <f t="shared" si="65"/>
        <v>154</v>
      </c>
    </row>
    <row r="1361" spans="1:12" ht="15.75" x14ac:dyDescent="0.25">
      <c r="A1361" s="6" t="s">
        <v>1110</v>
      </c>
      <c r="B1361" s="7">
        <v>45209.588194444441</v>
      </c>
      <c r="C1361" s="6">
        <v>41</v>
      </c>
      <c r="D1361" s="6" t="s">
        <v>800</v>
      </c>
      <c r="E1361" s="8" t="str">
        <f>IFERROR(VLOOKUP(LOG_RESEAU[[#This Row],[Cell_ID]],Registre_Maintenance!A:B,2,FALSE),"Non trouvé")</f>
        <v>Non trouvé</v>
      </c>
      <c r="F1361" s="8" t="str">
        <f>IFERROR(VLOOKUP(LOG_RESEAU[[#This Row],[Cell_ID]],Registre_Maintenance!A:C,3,FALSE),"Non trouvé")</f>
        <v>Non trouvé</v>
      </c>
      <c r="G1361" s="8" t="str">
        <f>IFERROR(VLOOKUP(LOG_RESEAU[[#This Row],[Cell_ID]],Registre_Maintenance!A:D,4,FALSE),"Non trouvé")</f>
        <v>Non trouvé</v>
      </c>
      <c r="H1361" s="6" t="str">
        <f>IFERROR(VLOOKUP(LOG_RESEAU[[#This Row],[Cell_ID]],Registre_Maintenance!A:E,5,FALSE),"Non trouvé")</f>
        <v>Non trouvé</v>
      </c>
      <c r="I1361" s="6" t="str">
        <f>IFERROR(VLOOKUP(LOG_RESEAU[[#This Row],[Cell_ID]],Registre_Maintenance!A:F,6,FALSE),"Non trouvé")</f>
        <v>Non trouvé</v>
      </c>
      <c r="J1361" s="6" t="str">
        <f t="shared" si="63"/>
        <v>Antenne inconnue</v>
      </c>
      <c r="K1361" s="6">
        <f t="shared" si="64"/>
        <v>2</v>
      </c>
      <c r="L1361" s="6">
        <f t="shared" si="65"/>
        <v>154</v>
      </c>
    </row>
    <row r="1362" spans="1:12" ht="15.75" x14ac:dyDescent="0.25">
      <c r="A1362" s="6" t="s">
        <v>1543</v>
      </c>
      <c r="B1362" s="7">
        <v>45216.137499999997</v>
      </c>
      <c r="C1362" s="6">
        <v>120</v>
      </c>
      <c r="D1362" s="6" t="s">
        <v>800</v>
      </c>
      <c r="E1362" s="8" t="str">
        <f>IFERROR(VLOOKUP(LOG_RESEAU[[#This Row],[Cell_ID]],Registre_Maintenance!A:B,2,FALSE),"Non trouvé")</f>
        <v>Mongala</v>
      </c>
      <c r="F1362" s="8">
        <f>IFERROR(VLOOKUP(LOG_RESEAU[[#This Row],[Cell_ID]],Registre_Maintenance!A:C,3,FALSE),"Non trouvé")</f>
        <v>-7.2267089999999996</v>
      </c>
      <c r="G1362" s="8">
        <f>IFERROR(VLOOKUP(LOG_RESEAU[[#This Row],[Cell_ID]],Registre_Maintenance!A:D,4,FALSE),"Non trouvé")</f>
        <v>28.421362999999999</v>
      </c>
      <c r="H1362" s="6" t="str">
        <f>IFERROR(VLOOKUP(LOG_RESEAU[[#This Row],[Cell_ID]],Registre_Maintenance!A:E,5,FALSE),"Non trouvé")</f>
        <v>5G</v>
      </c>
      <c r="I1362" s="6" t="str">
        <f>IFERROR(VLOOKUP(LOG_RESEAU[[#This Row],[Cell_ID]],Registre_Maintenance!A:F,6,FALSE),"Non trouvé")</f>
        <v>Ericsson</v>
      </c>
      <c r="J1362" s="6" t="str">
        <f t="shared" si="63"/>
        <v>OK</v>
      </c>
      <c r="K1362" s="6">
        <f t="shared" si="64"/>
        <v>1</v>
      </c>
      <c r="L1362" s="6">
        <f t="shared" si="65"/>
        <v>120</v>
      </c>
    </row>
    <row r="1363" spans="1:12" ht="15.75" x14ac:dyDescent="0.25">
      <c r="A1363" s="6" t="s">
        <v>1040</v>
      </c>
      <c r="B1363" s="7">
        <v>45219.840277777781</v>
      </c>
      <c r="C1363" s="6">
        <v>92</v>
      </c>
      <c r="D1363" s="6" t="s">
        <v>794</v>
      </c>
      <c r="E1363" s="8" t="str">
        <f>IFERROR(VLOOKUP(LOG_RESEAU[[#This Row],[Cell_ID]],Registre_Maintenance!A:B,2,FALSE),"Non trouvé")</f>
        <v>Non trouvé</v>
      </c>
      <c r="F1363" s="8" t="str">
        <f>IFERROR(VLOOKUP(LOG_RESEAU[[#This Row],[Cell_ID]],Registre_Maintenance!A:C,3,FALSE),"Non trouvé")</f>
        <v>Non trouvé</v>
      </c>
      <c r="G1363" s="8" t="str">
        <f>IFERROR(VLOOKUP(LOG_RESEAU[[#This Row],[Cell_ID]],Registre_Maintenance!A:D,4,FALSE),"Non trouvé")</f>
        <v>Non trouvé</v>
      </c>
      <c r="H1363" s="6" t="str">
        <f>IFERROR(VLOOKUP(LOG_RESEAU[[#This Row],[Cell_ID]],Registre_Maintenance!A:E,5,FALSE),"Non trouvé")</f>
        <v>Non trouvé</v>
      </c>
      <c r="I1363" s="6" t="str">
        <f>IFERROR(VLOOKUP(LOG_RESEAU[[#This Row],[Cell_ID]],Registre_Maintenance!A:F,6,FALSE),"Non trouvé")</f>
        <v>Non trouvé</v>
      </c>
      <c r="J1363" s="6" t="str">
        <f t="shared" si="63"/>
        <v>Antenne inconnue</v>
      </c>
      <c r="K1363" s="6">
        <f t="shared" si="64"/>
        <v>3</v>
      </c>
      <c r="L1363" s="6">
        <f t="shared" si="65"/>
        <v>259</v>
      </c>
    </row>
    <row r="1364" spans="1:12" ht="15.75" x14ac:dyDescent="0.25">
      <c r="A1364" s="6" t="s">
        <v>1040</v>
      </c>
      <c r="B1364" s="7">
        <v>45211.55972222222</v>
      </c>
      <c r="C1364" s="6">
        <v>69</v>
      </c>
      <c r="D1364" s="6" t="s">
        <v>800</v>
      </c>
      <c r="E1364" s="8" t="str">
        <f>IFERROR(VLOOKUP(LOG_RESEAU[[#This Row],[Cell_ID]],Registre_Maintenance!A:B,2,FALSE),"Non trouvé")</f>
        <v>Non trouvé</v>
      </c>
      <c r="F1364" s="8" t="str">
        <f>IFERROR(VLOOKUP(LOG_RESEAU[[#This Row],[Cell_ID]],Registre_Maintenance!A:C,3,FALSE),"Non trouvé")</f>
        <v>Non trouvé</v>
      </c>
      <c r="G1364" s="8" t="str">
        <f>IFERROR(VLOOKUP(LOG_RESEAU[[#This Row],[Cell_ID]],Registre_Maintenance!A:D,4,FALSE),"Non trouvé")</f>
        <v>Non trouvé</v>
      </c>
      <c r="H1364" s="6" t="str">
        <f>IFERROR(VLOOKUP(LOG_RESEAU[[#This Row],[Cell_ID]],Registre_Maintenance!A:E,5,FALSE),"Non trouvé")</f>
        <v>Non trouvé</v>
      </c>
      <c r="I1364" s="6" t="str">
        <f>IFERROR(VLOOKUP(LOG_RESEAU[[#This Row],[Cell_ID]],Registre_Maintenance!A:F,6,FALSE),"Non trouvé")</f>
        <v>Non trouvé</v>
      </c>
      <c r="J1364" s="6" t="str">
        <f t="shared" si="63"/>
        <v>Antenne inconnue</v>
      </c>
      <c r="K1364" s="6">
        <f t="shared" si="64"/>
        <v>3</v>
      </c>
      <c r="L1364" s="6">
        <f t="shared" si="65"/>
        <v>259</v>
      </c>
    </row>
    <row r="1365" spans="1:12" ht="15.75" x14ac:dyDescent="0.25">
      <c r="A1365" s="6" t="s">
        <v>1040</v>
      </c>
      <c r="B1365" s="7">
        <v>45200.981944444437</v>
      </c>
      <c r="C1365" s="6">
        <v>98</v>
      </c>
      <c r="D1365" s="6" t="s">
        <v>794</v>
      </c>
      <c r="E1365" s="8" t="str">
        <f>IFERROR(VLOOKUP(LOG_RESEAU[[#This Row],[Cell_ID]],Registre_Maintenance!A:B,2,FALSE),"Non trouvé")</f>
        <v>Non trouvé</v>
      </c>
      <c r="F1365" s="8" t="str">
        <f>IFERROR(VLOOKUP(LOG_RESEAU[[#This Row],[Cell_ID]],Registre_Maintenance!A:C,3,FALSE),"Non trouvé")</f>
        <v>Non trouvé</v>
      </c>
      <c r="G1365" s="8" t="str">
        <f>IFERROR(VLOOKUP(LOG_RESEAU[[#This Row],[Cell_ID]],Registre_Maintenance!A:D,4,FALSE),"Non trouvé")</f>
        <v>Non trouvé</v>
      </c>
      <c r="H1365" s="6" t="str">
        <f>IFERROR(VLOOKUP(LOG_RESEAU[[#This Row],[Cell_ID]],Registre_Maintenance!A:E,5,FALSE),"Non trouvé")</f>
        <v>Non trouvé</v>
      </c>
      <c r="I1365" s="6" t="str">
        <f>IFERROR(VLOOKUP(LOG_RESEAU[[#This Row],[Cell_ID]],Registre_Maintenance!A:F,6,FALSE),"Non trouvé")</f>
        <v>Non trouvé</v>
      </c>
      <c r="J1365" s="6" t="str">
        <f t="shared" si="63"/>
        <v>Antenne inconnue</v>
      </c>
      <c r="K1365" s="6">
        <f t="shared" si="64"/>
        <v>3</v>
      </c>
      <c r="L1365" s="6">
        <f t="shared" si="65"/>
        <v>259</v>
      </c>
    </row>
    <row r="1366" spans="1:12" ht="15.75" x14ac:dyDescent="0.25">
      <c r="A1366" s="6" t="s">
        <v>1133</v>
      </c>
      <c r="B1366" s="7">
        <v>45218.270138888889</v>
      </c>
      <c r="C1366" s="6">
        <v>40</v>
      </c>
      <c r="D1366" s="6" t="s">
        <v>800</v>
      </c>
      <c r="E1366" s="8" t="str">
        <f>IFERROR(VLOOKUP(LOG_RESEAU[[#This Row],[Cell_ID]],Registre_Maintenance!A:B,2,FALSE),"Non trouvé")</f>
        <v>Haut-Uele</v>
      </c>
      <c r="F1366" s="8">
        <f>IFERROR(VLOOKUP(LOG_RESEAU[[#This Row],[Cell_ID]],Registre_Maintenance!A:C,3,FALSE),"Non trouvé")</f>
        <v>-1.8045979999999999</v>
      </c>
      <c r="G1366" s="8">
        <f>IFERROR(VLOOKUP(LOG_RESEAU[[#This Row],[Cell_ID]],Registre_Maintenance!A:D,4,FALSE),"Non trouvé")</f>
        <v>12.511096999999999</v>
      </c>
      <c r="H1366" s="6" t="str">
        <f>IFERROR(VLOOKUP(LOG_RESEAU[[#This Row],[Cell_ID]],Registre_Maintenance!A:E,5,FALSE),"Non trouvé")</f>
        <v>3G</v>
      </c>
      <c r="I1366" s="6" t="str">
        <f>IFERROR(VLOOKUP(LOG_RESEAU[[#This Row],[Cell_ID]],Registre_Maintenance!A:F,6,FALSE),"Non trouvé")</f>
        <v>Huawei</v>
      </c>
      <c r="J1366" s="6" t="str">
        <f t="shared" si="63"/>
        <v>OK</v>
      </c>
      <c r="K1366" s="6">
        <f t="shared" si="64"/>
        <v>4</v>
      </c>
      <c r="L1366" s="6">
        <f t="shared" si="65"/>
        <v>211</v>
      </c>
    </row>
    <row r="1367" spans="1:12" ht="15.75" x14ac:dyDescent="0.25">
      <c r="A1367" s="6" t="s">
        <v>1133</v>
      </c>
      <c r="B1367" s="7">
        <v>45212.599305555559</v>
      </c>
      <c r="C1367" s="6">
        <v>58</v>
      </c>
      <c r="D1367" s="6" t="s">
        <v>800</v>
      </c>
      <c r="E1367" s="8" t="str">
        <f>IFERROR(VLOOKUP(LOG_RESEAU[[#This Row],[Cell_ID]],Registre_Maintenance!A:B,2,FALSE),"Non trouvé")</f>
        <v>Haut-Uele</v>
      </c>
      <c r="F1367" s="8">
        <f>IFERROR(VLOOKUP(LOG_RESEAU[[#This Row],[Cell_ID]],Registre_Maintenance!A:C,3,FALSE),"Non trouvé")</f>
        <v>-1.8045979999999999</v>
      </c>
      <c r="G1367" s="8">
        <f>IFERROR(VLOOKUP(LOG_RESEAU[[#This Row],[Cell_ID]],Registre_Maintenance!A:D,4,FALSE),"Non trouvé")</f>
        <v>12.511096999999999</v>
      </c>
      <c r="H1367" s="6" t="str">
        <f>IFERROR(VLOOKUP(LOG_RESEAU[[#This Row],[Cell_ID]],Registre_Maintenance!A:E,5,FALSE),"Non trouvé")</f>
        <v>3G</v>
      </c>
      <c r="I1367" s="6" t="str">
        <f>IFERROR(VLOOKUP(LOG_RESEAU[[#This Row],[Cell_ID]],Registre_Maintenance!A:F,6,FALSE),"Non trouvé")</f>
        <v>Huawei</v>
      </c>
      <c r="J1367" s="6" t="str">
        <f t="shared" si="63"/>
        <v>OK</v>
      </c>
      <c r="K1367" s="6">
        <f t="shared" si="64"/>
        <v>4</v>
      </c>
      <c r="L1367" s="6">
        <f t="shared" si="65"/>
        <v>211</v>
      </c>
    </row>
    <row r="1368" spans="1:12" ht="15.75" x14ac:dyDescent="0.25">
      <c r="A1368" s="6" t="s">
        <v>1133</v>
      </c>
      <c r="B1368" s="7">
        <v>45217.627083333333</v>
      </c>
      <c r="C1368" s="6">
        <v>33</v>
      </c>
      <c r="D1368" s="6" t="s">
        <v>794</v>
      </c>
      <c r="E1368" s="8" t="str">
        <f>IFERROR(VLOOKUP(LOG_RESEAU[[#This Row],[Cell_ID]],Registre_Maintenance!A:B,2,FALSE),"Non trouvé")</f>
        <v>Haut-Uele</v>
      </c>
      <c r="F1368" s="8">
        <f>IFERROR(VLOOKUP(LOG_RESEAU[[#This Row],[Cell_ID]],Registre_Maintenance!A:C,3,FALSE),"Non trouvé")</f>
        <v>-1.8045979999999999</v>
      </c>
      <c r="G1368" s="8">
        <f>IFERROR(VLOOKUP(LOG_RESEAU[[#This Row],[Cell_ID]],Registre_Maintenance!A:D,4,FALSE),"Non trouvé")</f>
        <v>12.511096999999999</v>
      </c>
      <c r="H1368" s="6" t="str">
        <f>IFERROR(VLOOKUP(LOG_RESEAU[[#This Row],[Cell_ID]],Registre_Maintenance!A:E,5,FALSE),"Non trouvé")</f>
        <v>3G</v>
      </c>
      <c r="I1368" s="6" t="str">
        <f>IFERROR(VLOOKUP(LOG_RESEAU[[#This Row],[Cell_ID]],Registre_Maintenance!A:F,6,FALSE),"Non trouvé")</f>
        <v>Huawei</v>
      </c>
      <c r="J1368" s="6" t="str">
        <f t="shared" si="63"/>
        <v>OK</v>
      </c>
      <c r="K1368" s="6">
        <f t="shared" si="64"/>
        <v>4</v>
      </c>
      <c r="L1368" s="6">
        <f t="shared" si="65"/>
        <v>211</v>
      </c>
    </row>
    <row r="1369" spans="1:12" ht="15.75" x14ac:dyDescent="0.25">
      <c r="A1369" s="6" t="s">
        <v>1133</v>
      </c>
      <c r="B1369" s="7">
        <v>45228.57708333333</v>
      </c>
      <c r="C1369" s="6">
        <v>80</v>
      </c>
      <c r="D1369" s="6" t="s">
        <v>792</v>
      </c>
      <c r="E1369" s="8" t="str">
        <f>IFERROR(VLOOKUP(LOG_RESEAU[[#This Row],[Cell_ID]],Registre_Maintenance!A:B,2,FALSE),"Non trouvé")</f>
        <v>Haut-Uele</v>
      </c>
      <c r="F1369" s="8">
        <f>IFERROR(VLOOKUP(LOG_RESEAU[[#This Row],[Cell_ID]],Registre_Maintenance!A:C,3,FALSE),"Non trouvé")</f>
        <v>-1.8045979999999999</v>
      </c>
      <c r="G1369" s="8">
        <f>IFERROR(VLOOKUP(LOG_RESEAU[[#This Row],[Cell_ID]],Registre_Maintenance!A:D,4,FALSE),"Non trouvé")</f>
        <v>12.511096999999999</v>
      </c>
      <c r="H1369" s="6" t="str">
        <f>IFERROR(VLOOKUP(LOG_RESEAU[[#This Row],[Cell_ID]],Registre_Maintenance!A:E,5,FALSE),"Non trouvé")</f>
        <v>3G</v>
      </c>
      <c r="I1369" s="6" t="str">
        <f>IFERROR(VLOOKUP(LOG_RESEAU[[#This Row],[Cell_ID]],Registre_Maintenance!A:F,6,FALSE),"Non trouvé")</f>
        <v>Huawei</v>
      </c>
      <c r="J1369" s="6" t="str">
        <f t="shared" si="63"/>
        <v>OK</v>
      </c>
      <c r="K1369" s="6">
        <f t="shared" si="64"/>
        <v>4</v>
      </c>
      <c r="L1369" s="6">
        <f t="shared" si="65"/>
        <v>211</v>
      </c>
    </row>
    <row r="1370" spans="1:12" ht="15.75" x14ac:dyDescent="0.25">
      <c r="A1370" s="6" t="s">
        <v>1431</v>
      </c>
      <c r="B1370" s="7">
        <v>45219.793749999997</v>
      </c>
      <c r="C1370" s="6">
        <v>43</v>
      </c>
      <c r="D1370" s="6" t="s">
        <v>800</v>
      </c>
      <c r="E1370" s="8" t="str">
        <f>IFERROR(VLOOKUP(LOG_RESEAU[[#This Row],[Cell_ID]],Registre_Maintenance!A:B,2,FALSE),"Non trouvé")</f>
        <v>Non trouvé</v>
      </c>
      <c r="F1370" s="8" t="str">
        <f>IFERROR(VLOOKUP(LOG_RESEAU[[#This Row],[Cell_ID]],Registre_Maintenance!A:C,3,FALSE),"Non trouvé")</f>
        <v>Non trouvé</v>
      </c>
      <c r="G1370" s="8" t="str">
        <f>IFERROR(VLOOKUP(LOG_RESEAU[[#This Row],[Cell_ID]],Registre_Maintenance!A:D,4,FALSE),"Non trouvé")</f>
        <v>Non trouvé</v>
      </c>
      <c r="H1370" s="6" t="str">
        <f>IFERROR(VLOOKUP(LOG_RESEAU[[#This Row],[Cell_ID]],Registre_Maintenance!A:E,5,FALSE),"Non trouvé")</f>
        <v>Non trouvé</v>
      </c>
      <c r="I1370" s="6" t="str">
        <f>IFERROR(VLOOKUP(LOG_RESEAU[[#This Row],[Cell_ID]],Registre_Maintenance!A:F,6,FALSE),"Non trouvé")</f>
        <v>Non trouvé</v>
      </c>
      <c r="J1370" s="6" t="str">
        <f t="shared" si="63"/>
        <v>Antenne inconnue</v>
      </c>
      <c r="K1370" s="6">
        <f t="shared" si="64"/>
        <v>1</v>
      </c>
      <c r="L1370" s="6">
        <f t="shared" si="65"/>
        <v>43</v>
      </c>
    </row>
    <row r="1371" spans="1:12" ht="15.75" x14ac:dyDescent="0.25">
      <c r="A1371" s="6" t="s">
        <v>1460</v>
      </c>
      <c r="B1371" s="7">
        <v>45214.168055555558</v>
      </c>
      <c r="C1371" s="6">
        <v>106</v>
      </c>
      <c r="D1371" s="6" t="s">
        <v>794</v>
      </c>
      <c r="E1371" s="8" t="str">
        <f>IFERROR(VLOOKUP(LOG_RESEAU[[#This Row],[Cell_ID]],Registre_Maintenance!A:B,2,FALSE),"Non trouvé")</f>
        <v>Sud-Kivu</v>
      </c>
      <c r="F1371" s="8">
        <f>IFERROR(VLOOKUP(LOG_RESEAU[[#This Row],[Cell_ID]],Registre_Maintenance!A:C,3,FALSE),"Non trouvé")</f>
        <v>-11.207139</v>
      </c>
      <c r="G1371" s="8">
        <f>IFERROR(VLOOKUP(LOG_RESEAU[[#This Row],[Cell_ID]],Registre_Maintenance!A:D,4,FALSE),"Non trouvé")</f>
        <v>18.702511999999999</v>
      </c>
      <c r="H1371" s="6" t="str">
        <f>IFERROR(VLOOKUP(LOG_RESEAU[[#This Row],[Cell_ID]],Registre_Maintenance!A:E,5,FALSE),"Non trouvé")</f>
        <v>5G</v>
      </c>
      <c r="I1371" s="6" t="str">
        <f>IFERROR(VLOOKUP(LOG_RESEAU[[#This Row],[Cell_ID]],Registre_Maintenance!A:F,6,FALSE),"Non trouvé")</f>
        <v>Ericsson</v>
      </c>
      <c r="J1371" s="6" t="str">
        <f t="shared" si="63"/>
        <v>OK</v>
      </c>
      <c r="K1371" s="6">
        <f t="shared" si="64"/>
        <v>1</v>
      </c>
      <c r="L1371" s="6">
        <f t="shared" si="65"/>
        <v>106</v>
      </c>
    </row>
    <row r="1372" spans="1:12" ht="15.75" x14ac:dyDescent="0.25">
      <c r="A1372" s="6" t="s">
        <v>1423</v>
      </c>
      <c r="B1372" s="7">
        <v>45201.527777777781</v>
      </c>
      <c r="C1372" s="6">
        <v>20</v>
      </c>
      <c r="D1372" s="6" t="s">
        <v>800</v>
      </c>
      <c r="E1372" s="8" t="str">
        <f>IFERROR(VLOOKUP(LOG_RESEAU[[#This Row],[Cell_ID]],Registre_Maintenance!A:B,2,FALSE),"Non trouvé")</f>
        <v>Bas-Uele</v>
      </c>
      <c r="F1372" s="8">
        <f>IFERROR(VLOOKUP(LOG_RESEAU[[#This Row],[Cell_ID]],Registre_Maintenance!A:C,3,FALSE),"Non trouvé")</f>
        <v>0.45116099999999998</v>
      </c>
      <c r="G1372" s="8">
        <f>IFERROR(VLOOKUP(LOG_RESEAU[[#This Row],[Cell_ID]],Registre_Maintenance!A:D,4,FALSE),"Non trouvé")</f>
        <v>17.265761000000001</v>
      </c>
      <c r="H1372" s="6" t="str">
        <f>IFERROR(VLOOKUP(LOG_RESEAU[[#This Row],[Cell_ID]],Registre_Maintenance!A:E,5,FALSE),"Non trouvé")</f>
        <v>4G</v>
      </c>
      <c r="I1372" s="6" t="str">
        <f>IFERROR(VLOOKUP(LOG_RESEAU[[#This Row],[Cell_ID]],Registre_Maintenance!A:F,6,FALSE),"Non trouvé")</f>
        <v>Huawei</v>
      </c>
      <c r="J1372" s="6" t="str">
        <f t="shared" si="63"/>
        <v>OK</v>
      </c>
      <c r="K1372" s="6">
        <f t="shared" si="64"/>
        <v>1</v>
      </c>
      <c r="L1372" s="6">
        <f t="shared" si="65"/>
        <v>20</v>
      </c>
    </row>
    <row r="1373" spans="1:12" ht="15.75" x14ac:dyDescent="0.25">
      <c r="A1373" s="6" t="s">
        <v>1399</v>
      </c>
      <c r="B1373" s="7">
        <v>45203.615277777782</v>
      </c>
      <c r="C1373" s="6">
        <v>41</v>
      </c>
      <c r="D1373" s="6" t="s">
        <v>794</v>
      </c>
      <c r="E1373" s="8" t="str">
        <f>IFERROR(VLOOKUP(LOG_RESEAU[[#This Row],[Cell_ID]],Registre_Maintenance!A:B,2,FALSE),"Non trouvé")</f>
        <v>Non trouvé</v>
      </c>
      <c r="F1373" s="8" t="str">
        <f>IFERROR(VLOOKUP(LOG_RESEAU[[#This Row],[Cell_ID]],Registre_Maintenance!A:C,3,FALSE),"Non trouvé")</f>
        <v>Non trouvé</v>
      </c>
      <c r="G1373" s="8" t="str">
        <f>IFERROR(VLOOKUP(LOG_RESEAU[[#This Row],[Cell_ID]],Registre_Maintenance!A:D,4,FALSE),"Non trouvé")</f>
        <v>Non trouvé</v>
      </c>
      <c r="H1373" s="6" t="str">
        <f>IFERROR(VLOOKUP(LOG_RESEAU[[#This Row],[Cell_ID]],Registre_Maintenance!A:E,5,FALSE),"Non trouvé")</f>
        <v>Non trouvé</v>
      </c>
      <c r="I1373" s="6" t="str">
        <f>IFERROR(VLOOKUP(LOG_RESEAU[[#This Row],[Cell_ID]],Registre_Maintenance!A:F,6,FALSE),"Non trouvé")</f>
        <v>Non trouvé</v>
      </c>
      <c r="J1373" s="6" t="str">
        <f t="shared" si="63"/>
        <v>Antenne inconnue</v>
      </c>
      <c r="K1373" s="6">
        <f t="shared" si="64"/>
        <v>1</v>
      </c>
      <c r="L1373" s="6">
        <f t="shared" si="65"/>
        <v>41</v>
      </c>
    </row>
    <row r="1374" spans="1:12" ht="15.75" x14ac:dyDescent="0.25">
      <c r="A1374" s="6" t="s">
        <v>1308</v>
      </c>
      <c r="B1374" s="7">
        <v>45202.695138888892</v>
      </c>
      <c r="C1374" s="6">
        <v>49</v>
      </c>
      <c r="D1374" s="6" t="s">
        <v>800</v>
      </c>
      <c r="E1374" s="8" t="str">
        <f>IFERROR(VLOOKUP(LOG_RESEAU[[#This Row],[Cell_ID]],Registre_Maintenance!A:B,2,FALSE),"Non trouvé")</f>
        <v>Non trouvé</v>
      </c>
      <c r="F1374" s="8" t="str">
        <f>IFERROR(VLOOKUP(LOG_RESEAU[[#This Row],[Cell_ID]],Registre_Maintenance!A:C,3,FALSE),"Non trouvé")</f>
        <v>Non trouvé</v>
      </c>
      <c r="G1374" s="8" t="str">
        <f>IFERROR(VLOOKUP(LOG_RESEAU[[#This Row],[Cell_ID]],Registre_Maintenance!A:D,4,FALSE),"Non trouvé")</f>
        <v>Non trouvé</v>
      </c>
      <c r="H1374" s="6" t="str">
        <f>IFERROR(VLOOKUP(LOG_RESEAU[[#This Row],[Cell_ID]],Registre_Maintenance!A:E,5,FALSE),"Non trouvé")</f>
        <v>Non trouvé</v>
      </c>
      <c r="I1374" s="6" t="str">
        <f>IFERROR(VLOOKUP(LOG_RESEAU[[#This Row],[Cell_ID]],Registre_Maintenance!A:F,6,FALSE),"Non trouvé")</f>
        <v>Non trouvé</v>
      </c>
      <c r="J1374" s="6" t="str">
        <f t="shared" si="63"/>
        <v>Antenne inconnue</v>
      </c>
      <c r="K1374" s="6">
        <f t="shared" si="64"/>
        <v>1</v>
      </c>
      <c r="L1374" s="6">
        <f t="shared" si="65"/>
        <v>49</v>
      </c>
    </row>
    <row r="1375" spans="1:12" ht="15.75" x14ac:dyDescent="0.25">
      <c r="A1375" s="6" t="s">
        <v>1168</v>
      </c>
      <c r="B1375" s="7">
        <v>45214.943055555559</v>
      </c>
      <c r="C1375" s="6">
        <v>16</v>
      </c>
      <c r="D1375" s="6" t="s">
        <v>794</v>
      </c>
      <c r="E1375" s="8" t="str">
        <f>IFERROR(VLOOKUP(LOG_RESEAU[[#This Row],[Cell_ID]],Registre_Maintenance!A:B,2,FALSE),"Non trouvé")</f>
        <v>Haut-Lomami</v>
      </c>
      <c r="F1375" s="8">
        <f>IFERROR(VLOOKUP(LOG_RESEAU[[#This Row],[Cell_ID]],Registre_Maintenance!A:C,3,FALSE),"Non trouvé")</f>
        <v>1.210869</v>
      </c>
      <c r="G1375" s="8">
        <f>IFERROR(VLOOKUP(LOG_RESEAU[[#This Row],[Cell_ID]],Registre_Maintenance!A:D,4,FALSE),"Non trouvé")</f>
        <v>25.598741</v>
      </c>
      <c r="H1375" s="6" t="str">
        <f>IFERROR(VLOOKUP(LOG_RESEAU[[#This Row],[Cell_ID]],Registre_Maintenance!A:E,5,FALSE),"Non trouvé")</f>
        <v>4G</v>
      </c>
      <c r="I1375" s="6" t="str">
        <f>IFERROR(VLOOKUP(LOG_RESEAU[[#This Row],[Cell_ID]],Registre_Maintenance!A:F,6,FALSE),"Non trouvé")</f>
        <v>Ericsson</v>
      </c>
      <c r="J1375" s="6" t="str">
        <f t="shared" si="63"/>
        <v>OK</v>
      </c>
      <c r="K1375" s="6">
        <f t="shared" si="64"/>
        <v>3</v>
      </c>
      <c r="L1375" s="6">
        <f t="shared" si="65"/>
        <v>106</v>
      </c>
    </row>
    <row r="1376" spans="1:12" ht="15.75" x14ac:dyDescent="0.25">
      <c r="A1376" s="6" t="s">
        <v>1168</v>
      </c>
      <c r="B1376" s="7">
        <v>45210.926388888889</v>
      </c>
      <c r="C1376" s="6">
        <v>45</v>
      </c>
      <c r="D1376" s="6" t="s">
        <v>800</v>
      </c>
      <c r="E1376" s="8" t="str">
        <f>IFERROR(VLOOKUP(LOG_RESEAU[[#This Row],[Cell_ID]],Registre_Maintenance!A:B,2,FALSE),"Non trouvé")</f>
        <v>Haut-Lomami</v>
      </c>
      <c r="F1376" s="8">
        <f>IFERROR(VLOOKUP(LOG_RESEAU[[#This Row],[Cell_ID]],Registre_Maintenance!A:C,3,FALSE),"Non trouvé")</f>
        <v>1.210869</v>
      </c>
      <c r="G1376" s="8">
        <f>IFERROR(VLOOKUP(LOG_RESEAU[[#This Row],[Cell_ID]],Registre_Maintenance!A:D,4,FALSE),"Non trouvé")</f>
        <v>25.598741</v>
      </c>
      <c r="H1376" s="6" t="str">
        <f>IFERROR(VLOOKUP(LOG_RESEAU[[#This Row],[Cell_ID]],Registre_Maintenance!A:E,5,FALSE),"Non trouvé")</f>
        <v>4G</v>
      </c>
      <c r="I1376" s="6" t="str">
        <f>IFERROR(VLOOKUP(LOG_RESEAU[[#This Row],[Cell_ID]],Registre_Maintenance!A:F,6,FALSE),"Non trouvé")</f>
        <v>Ericsson</v>
      </c>
      <c r="J1376" s="6" t="str">
        <f t="shared" si="63"/>
        <v>OK</v>
      </c>
      <c r="K1376" s="6">
        <f t="shared" si="64"/>
        <v>3</v>
      </c>
      <c r="L1376" s="6">
        <f t="shared" si="65"/>
        <v>106</v>
      </c>
    </row>
    <row r="1377" spans="1:12" ht="15.75" x14ac:dyDescent="0.25">
      <c r="A1377" s="6" t="s">
        <v>1168</v>
      </c>
      <c r="B1377" s="7">
        <v>45206.857638888891</v>
      </c>
      <c r="C1377" s="6">
        <v>45</v>
      </c>
      <c r="D1377" s="6" t="s">
        <v>792</v>
      </c>
      <c r="E1377" s="8" t="str">
        <f>IFERROR(VLOOKUP(LOG_RESEAU[[#This Row],[Cell_ID]],Registre_Maintenance!A:B,2,FALSE),"Non trouvé")</f>
        <v>Haut-Lomami</v>
      </c>
      <c r="F1377" s="8">
        <f>IFERROR(VLOOKUP(LOG_RESEAU[[#This Row],[Cell_ID]],Registre_Maintenance!A:C,3,FALSE),"Non trouvé")</f>
        <v>1.210869</v>
      </c>
      <c r="G1377" s="8">
        <f>IFERROR(VLOOKUP(LOG_RESEAU[[#This Row],[Cell_ID]],Registre_Maintenance!A:D,4,FALSE),"Non trouvé")</f>
        <v>25.598741</v>
      </c>
      <c r="H1377" s="6" t="str">
        <f>IFERROR(VLOOKUP(LOG_RESEAU[[#This Row],[Cell_ID]],Registre_Maintenance!A:E,5,FALSE),"Non trouvé")</f>
        <v>4G</v>
      </c>
      <c r="I1377" s="6" t="str">
        <f>IFERROR(VLOOKUP(LOG_RESEAU[[#This Row],[Cell_ID]],Registre_Maintenance!A:F,6,FALSE),"Non trouvé")</f>
        <v>Ericsson</v>
      </c>
      <c r="J1377" s="6" t="str">
        <f t="shared" si="63"/>
        <v>OK</v>
      </c>
      <c r="K1377" s="6">
        <f t="shared" si="64"/>
        <v>3</v>
      </c>
      <c r="L1377" s="6">
        <f t="shared" si="65"/>
        <v>106</v>
      </c>
    </row>
    <row r="1378" spans="1:12" ht="15.75" x14ac:dyDescent="0.25">
      <c r="A1378" s="6" t="s">
        <v>1392</v>
      </c>
      <c r="B1378" s="7">
        <v>45204.090277777781</v>
      </c>
      <c r="C1378" s="6">
        <v>93</v>
      </c>
      <c r="D1378" s="6" t="s">
        <v>792</v>
      </c>
      <c r="E1378" s="8" t="str">
        <f>IFERROR(VLOOKUP(LOG_RESEAU[[#This Row],[Cell_ID]],Registre_Maintenance!A:B,2,FALSE),"Non trouvé")</f>
        <v>Non trouvé</v>
      </c>
      <c r="F1378" s="8" t="str">
        <f>IFERROR(VLOOKUP(LOG_RESEAU[[#This Row],[Cell_ID]],Registre_Maintenance!A:C,3,FALSE),"Non trouvé")</f>
        <v>Non trouvé</v>
      </c>
      <c r="G1378" s="8" t="str">
        <f>IFERROR(VLOOKUP(LOG_RESEAU[[#This Row],[Cell_ID]],Registre_Maintenance!A:D,4,FALSE),"Non trouvé")</f>
        <v>Non trouvé</v>
      </c>
      <c r="H1378" s="6" t="str">
        <f>IFERROR(VLOOKUP(LOG_RESEAU[[#This Row],[Cell_ID]],Registre_Maintenance!A:E,5,FALSE),"Non trouvé")</f>
        <v>Non trouvé</v>
      </c>
      <c r="I1378" s="6" t="str">
        <f>IFERROR(VLOOKUP(LOG_RESEAU[[#This Row],[Cell_ID]],Registre_Maintenance!A:F,6,FALSE),"Non trouvé")</f>
        <v>Non trouvé</v>
      </c>
      <c r="J1378" s="6" t="str">
        <f t="shared" si="63"/>
        <v>Antenne inconnue</v>
      </c>
      <c r="K1378" s="6">
        <f t="shared" si="64"/>
        <v>2</v>
      </c>
      <c r="L1378" s="6">
        <f t="shared" si="65"/>
        <v>142</v>
      </c>
    </row>
    <row r="1379" spans="1:12" ht="15.75" x14ac:dyDescent="0.25">
      <c r="A1379" s="6" t="s">
        <v>1392</v>
      </c>
      <c r="B1379" s="7">
        <v>45203.009027777778</v>
      </c>
      <c r="C1379" s="6">
        <v>49</v>
      </c>
      <c r="D1379" s="6" t="s">
        <v>794</v>
      </c>
      <c r="E1379" s="8" t="str">
        <f>IFERROR(VLOOKUP(LOG_RESEAU[[#This Row],[Cell_ID]],Registre_Maintenance!A:B,2,FALSE),"Non trouvé")</f>
        <v>Non trouvé</v>
      </c>
      <c r="F1379" s="8" t="str">
        <f>IFERROR(VLOOKUP(LOG_RESEAU[[#This Row],[Cell_ID]],Registre_Maintenance!A:C,3,FALSE),"Non trouvé")</f>
        <v>Non trouvé</v>
      </c>
      <c r="G1379" s="8" t="str">
        <f>IFERROR(VLOOKUP(LOG_RESEAU[[#This Row],[Cell_ID]],Registre_Maintenance!A:D,4,FALSE),"Non trouvé")</f>
        <v>Non trouvé</v>
      </c>
      <c r="H1379" s="6" t="str">
        <f>IFERROR(VLOOKUP(LOG_RESEAU[[#This Row],[Cell_ID]],Registre_Maintenance!A:E,5,FALSE),"Non trouvé")</f>
        <v>Non trouvé</v>
      </c>
      <c r="I1379" s="6" t="str">
        <f>IFERROR(VLOOKUP(LOG_RESEAU[[#This Row],[Cell_ID]],Registre_Maintenance!A:F,6,FALSE),"Non trouvé")</f>
        <v>Non trouvé</v>
      </c>
      <c r="J1379" s="6" t="str">
        <f t="shared" si="63"/>
        <v>Antenne inconnue</v>
      </c>
      <c r="K1379" s="6">
        <f t="shared" si="64"/>
        <v>2</v>
      </c>
      <c r="L1379" s="6">
        <f t="shared" si="65"/>
        <v>142</v>
      </c>
    </row>
    <row r="1380" spans="1:12" ht="15.75" x14ac:dyDescent="0.25">
      <c r="A1380" s="6" t="s">
        <v>1021</v>
      </c>
      <c r="B1380" s="7">
        <v>45217.28125</v>
      </c>
      <c r="C1380" s="6">
        <v>51</v>
      </c>
      <c r="D1380" s="6" t="s">
        <v>800</v>
      </c>
      <c r="E1380" s="8" t="str">
        <f>IFERROR(VLOOKUP(LOG_RESEAU[[#This Row],[Cell_ID]],Registre_Maintenance!A:B,2,FALSE),"Non trouvé")</f>
        <v>Non trouvé</v>
      </c>
      <c r="F1380" s="8" t="str">
        <f>IFERROR(VLOOKUP(LOG_RESEAU[[#This Row],[Cell_ID]],Registre_Maintenance!A:C,3,FALSE),"Non trouvé")</f>
        <v>Non trouvé</v>
      </c>
      <c r="G1380" s="8" t="str">
        <f>IFERROR(VLOOKUP(LOG_RESEAU[[#This Row],[Cell_ID]],Registre_Maintenance!A:D,4,FALSE),"Non trouvé")</f>
        <v>Non trouvé</v>
      </c>
      <c r="H1380" s="6" t="str">
        <f>IFERROR(VLOOKUP(LOG_RESEAU[[#This Row],[Cell_ID]],Registre_Maintenance!A:E,5,FALSE),"Non trouvé")</f>
        <v>Non trouvé</v>
      </c>
      <c r="I1380" s="6" t="str">
        <f>IFERROR(VLOOKUP(LOG_RESEAU[[#This Row],[Cell_ID]],Registre_Maintenance!A:F,6,FALSE),"Non trouvé")</f>
        <v>Non trouvé</v>
      </c>
      <c r="J1380" s="6" t="str">
        <f t="shared" si="63"/>
        <v>Antenne inconnue</v>
      </c>
      <c r="K1380" s="6">
        <f t="shared" si="64"/>
        <v>1</v>
      </c>
      <c r="L1380" s="6">
        <f t="shared" si="65"/>
        <v>51</v>
      </c>
    </row>
    <row r="1381" spans="1:12" ht="15.75" x14ac:dyDescent="0.25">
      <c r="A1381" s="6" t="s">
        <v>1203</v>
      </c>
      <c r="B1381" s="7">
        <v>45227.527083333327</v>
      </c>
      <c r="C1381" s="6">
        <v>107</v>
      </c>
      <c r="D1381" s="6" t="s">
        <v>800</v>
      </c>
      <c r="E1381" s="8" t="str">
        <f>IFERROR(VLOOKUP(LOG_RESEAU[[#This Row],[Cell_ID]],Registre_Maintenance!A:B,2,FALSE),"Non trouvé")</f>
        <v>Tanganyika</v>
      </c>
      <c r="F1381" s="8">
        <f>IFERROR(VLOOKUP(LOG_RESEAU[[#This Row],[Cell_ID]],Registre_Maintenance!A:C,3,FALSE),"Non trouvé")</f>
        <v>-1.50664</v>
      </c>
      <c r="G1381" s="8">
        <f>IFERROR(VLOOKUP(LOG_RESEAU[[#This Row],[Cell_ID]],Registre_Maintenance!A:D,4,FALSE),"Non trouvé")</f>
        <v>27.795642000000001</v>
      </c>
      <c r="H1381" s="6" t="str">
        <f>IFERROR(VLOOKUP(LOG_RESEAU[[#This Row],[Cell_ID]],Registre_Maintenance!A:E,5,FALSE),"Non trouvé")</f>
        <v>5G</v>
      </c>
      <c r="I1381" s="6" t="str">
        <f>IFERROR(VLOOKUP(LOG_RESEAU[[#This Row],[Cell_ID]],Registre_Maintenance!A:F,6,FALSE),"Non trouvé")</f>
        <v>ZTE</v>
      </c>
      <c r="J1381" s="6" t="str">
        <f t="shared" si="63"/>
        <v>OK</v>
      </c>
      <c r="K1381" s="6">
        <f t="shared" si="64"/>
        <v>1</v>
      </c>
      <c r="L1381" s="6">
        <f t="shared" si="65"/>
        <v>107</v>
      </c>
    </row>
    <row r="1382" spans="1:12" ht="15.75" x14ac:dyDescent="0.25">
      <c r="A1382" s="6" t="s">
        <v>1255</v>
      </c>
      <c r="B1382" s="7">
        <v>45229.39166666667</v>
      </c>
      <c r="C1382" s="6">
        <v>28</v>
      </c>
      <c r="D1382" s="6" t="s">
        <v>792</v>
      </c>
      <c r="E1382" s="8" t="str">
        <f>IFERROR(VLOOKUP(LOG_RESEAU[[#This Row],[Cell_ID]],Registre_Maintenance!A:B,2,FALSE),"Non trouvé")</f>
        <v>Lualaba</v>
      </c>
      <c r="F1382" s="8">
        <f>IFERROR(VLOOKUP(LOG_RESEAU[[#This Row],[Cell_ID]],Registre_Maintenance!A:C,3,FALSE),"Non trouvé")</f>
        <v>-10.967288</v>
      </c>
      <c r="G1382" s="8">
        <f>IFERROR(VLOOKUP(LOG_RESEAU[[#This Row],[Cell_ID]],Registre_Maintenance!A:D,4,FALSE),"Non trouvé")</f>
        <v>17.617781000000001</v>
      </c>
      <c r="H1382" s="6" t="str">
        <f>IFERROR(VLOOKUP(LOG_RESEAU[[#This Row],[Cell_ID]],Registre_Maintenance!A:E,5,FALSE),"Non trouvé")</f>
        <v>4G</v>
      </c>
      <c r="I1382" s="6" t="str">
        <f>IFERROR(VLOOKUP(LOG_RESEAU[[#This Row],[Cell_ID]],Registre_Maintenance!A:F,6,FALSE),"Non trouvé")</f>
        <v>Ericsson</v>
      </c>
      <c r="J1382" s="6" t="str">
        <f t="shared" si="63"/>
        <v>OK</v>
      </c>
      <c r="K1382" s="6">
        <f t="shared" si="64"/>
        <v>3</v>
      </c>
      <c r="L1382" s="6">
        <f t="shared" si="65"/>
        <v>133</v>
      </c>
    </row>
    <row r="1383" spans="1:12" ht="15.75" x14ac:dyDescent="0.25">
      <c r="A1383" s="6" t="s">
        <v>1255</v>
      </c>
      <c r="B1383" s="7">
        <v>45216.183333333327</v>
      </c>
      <c r="C1383" s="6">
        <v>67</v>
      </c>
      <c r="D1383" s="6" t="s">
        <v>800</v>
      </c>
      <c r="E1383" s="8" t="str">
        <f>IFERROR(VLOOKUP(LOG_RESEAU[[#This Row],[Cell_ID]],Registre_Maintenance!A:B,2,FALSE),"Non trouvé")</f>
        <v>Lualaba</v>
      </c>
      <c r="F1383" s="8">
        <f>IFERROR(VLOOKUP(LOG_RESEAU[[#This Row],[Cell_ID]],Registre_Maintenance!A:C,3,FALSE),"Non trouvé")</f>
        <v>-10.967288</v>
      </c>
      <c r="G1383" s="8">
        <f>IFERROR(VLOOKUP(LOG_RESEAU[[#This Row],[Cell_ID]],Registre_Maintenance!A:D,4,FALSE),"Non trouvé")</f>
        <v>17.617781000000001</v>
      </c>
      <c r="H1383" s="6" t="str">
        <f>IFERROR(VLOOKUP(LOG_RESEAU[[#This Row],[Cell_ID]],Registre_Maintenance!A:E,5,FALSE),"Non trouvé")</f>
        <v>4G</v>
      </c>
      <c r="I1383" s="6" t="str">
        <f>IFERROR(VLOOKUP(LOG_RESEAU[[#This Row],[Cell_ID]],Registre_Maintenance!A:F,6,FALSE),"Non trouvé")</f>
        <v>Ericsson</v>
      </c>
      <c r="J1383" s="6" t="str">
        <f t="shared" si="63"/>
        <v>OK</v>
      </c>
      <c r="K1383" s="6">
        <f t="shared" si="64"/>
        <v>3</v>
      </c>
      <c r="L1383" s="6">
        <f t="shared" si="65"/>
        <v>133</v>
      </c>
    </row>
    <row r="1384" spans="1:12" ht="15.75" x14ac:dyDescent="0.25">
      <c r="A1384" s="6" t="s">
        <v>1255</v>
      </c>
      <c r="B1384" s="7">
        <v>45217.999305555553</v>
      </c>
      <c r="C1384" s="6">
        <v>38</v>
      </c>
      <c r="D1384" s="6" t="s">
        <v>800</v>
      </c>
      <c r="E1384" s="8" t="str">
        <f>IFERROR(VLOOKUP(LOG_RESEAU[[#This Row],[Cell_ID]],Registre_Maintenance!A:B,2,FALSE),"Non trouvé")</f>
        <v>Lualaba</v>
      </c>
      <c r="F1384" s="8">
        <f>IFERROR(VLOOKUP(LOG_RESEAU[[#This Row],[Cell_ID]],Registre_Maintenance!A:C,3,FALSE),"Non trouvé")</f>
        <v>-10.967288</v>
      </c>
      <c r="G1384" s="8">
        <f>IFERROR(VLOOKUP(LOG_RESEAU[[#This Row],[Cell_ID]],Registre_Maintenance!A:D,4,FALSE),"Non trouvé")</f>
        <v>17.617781000000001</v>
      </c>
      <c r="H1384" s="6" t="str">
        <f>IFERROR(VLOOKUP(LOG_RESEAU[[#This Row],[Cell_ID]],Registre_Maintenance!A:E,5,FALSE),"Non trouvé")</f>
        <v>4G</v>
      </c>
      <c r="I1384" s="6" t="str">
        <f>IFERROR(VLOOKUP(LOG_RESEAU[[#This Row],[Cell_ID]],Registre_Maintenance!A:F,6,FALSE),"Non trouvé")</f>
        <v>Ericsson</v>
      </c>
      <c r="J1384" s="6" t="str">
        <f t="shared" si="63"/>
        <v>OK</v>
      </c>
      <c r="K1384" s="6">
        <f t="shared" si="64"/>
        <v>3</v>
      </c>
      <c r="L1384" s="6">
        <f t="shared" si="65"/>
        <v>133</v>
      </c>
    </row>
    <row r="1385" spans="1:12" ht="15.75" x14ac:dyDescent="0.25">
      <c r="A1385" s="6" t="s">
        <v>1092</v>
      </c>
      <c r="B1385" s="7">
        <v>45223.990972222222</v>
      </c>
      <c r="C1385" s="6">
        <v>23</v>
      </c>
      <c r="D1385" s="6" t="s">
        <v>794</v>
      </c>
      <c r="E1385" s="8" t="str">
        <f>IFERROR(VLOOKUP(LOG_RESEAU[[#This Row],[Cell_ID]],Registre_Maintenance!A:B,2,FALSE),"Non trouvé")</f>
        <v>Sankuru</v>
      </c>
      <c r="F1385" s="8">
        <f>IFERROR(VLOOKUP(LOG_RESEAU[[#This Row],[Cell_ID]],Registre_Maintenance!A:C,3,FALSE),"Non trouvé")</f>
        <v>-8.0922239999999999</v>
      </c>
      <c r="G1385" s="8">
        <f>IFERROR(VLOOKUP(LOG_RESEAU[[#This Row],[Cell_ID]],Registre_Maintenance!A:D,4,FALSE),"Non trouvé")</f>
        <v>15.483708</v>
      </c>
      <c r="H1385" s="6" t="str">
        <f>IFERROR(VLOOKUP(LOG_RESEAU[[#This Row],[Cell_ID]],Registre_Maintenance!A:E,5,FALSE),"Non trouvé")</f>
        <v>5G</v>
      </c>
      <c r="I1385" s="6" t="str">
        <f>IFERROR(VLOOKUP(LOG_RESEAU[[#This Row],[Cell_ID]],Registre_Maintenance!A:F,6,FALSE),"Non trouvé")</f>
        <v>Nokia</v>
      </c>
      <c r="J1385" s="6" t="str">
        <f t="shared" si="63"/>
        <v>OK</v>
      </c>
      <c r="K1385" s="6">
        <f t="shared" si="64"/>
        <v>1</v>
      </c>
      <c r="L1385" s="6">
        <f t="shared" si="65"/>
        <v>23</v>
      </c>
    </row>
    <row r="1386" spans="1:12" ht="15.75" x14ac:dyDescent="0.25">
      <c r="A1386" s="6" t="s">
        <v>1053</v>
      </c>
      <c r="B1386" s="7">
        <v>45203.893750000003</v>
      </c>
      <c r="C1386" s="6">
        <v>32</v>
      </c>
      <c r="D1386" s="6" t="s">
        <v>794</v>
      </c>
      <c r="E1386" s="8" t="str">
        <f>IFERROR(VLOOKUP(LOG_RESEAU[[#This Row],[Cell_ID]],Registre_Maintenance!A:B,2,FALSE),"Non trouvé")</f>
        <v>Non trouvé</v>
      </c>
      <c r="F1386" s="8" t="str">
        <f>IFERROR(VLOOKUP(LOG_RESEAU[[#This Row],[Cell_ID]],Registre_Maintenance!A:C,3,FALSE),"Non trouvé")</f>
        <v>Non trouvé</v>
      </c>
      <c r="G1386" s="8" t="str">
        <f>IFERROR(VLOOKUP(LOG_RESEAU[[#This Row],[Cell_ID]],Registre_Maintenance!A:D,4,FALSE),"Non trouvé")</f>
        <v>Non trouvé</v>
      </c>
      <c r="H1386" s="6" t="str">
        <f>IFERROR(VLOOKUP(LOG_RESEAU[[#This Row],[Cell_ID]],Registre_Maintenance!A:E,5,FALSE),"Non trouvé")</f>
        <v>Non trouvé</v>
      </c>
      <c r="I1386" s="6" t="str">
        <f>IFERROR(VLOOKUP(LOG_RESEAU[[#This Row],[Cell_ID]],Registre_Maintenance!A:F,6,FALSE),"Non trouvé")</f>
        <v>Non trouvé</v>
      </c>
      <c r="J1386" s="6" t="str">
        <f t="shared" si="63"/>
        <v>Antenne inconnue</v>
      </c>
      <c r="K1386" s="6">
        <f t="shared" si="64"/>
        <v>4</v>
      </c>
      <c r="L1386" s="6">
        <f t="shared" si="65"/>
        <v>275</v>
      </c>
    </row>
    <row r="1387" spans="1:12" ht="15.75" x14ac:dyDescent="0.25">
      <c r="A1387" s="6" t="s">
        <v>1053</v>
      </c>
      <c r="B1387" s="7">
        <v>45208.172222222223</v>
      </c>
      <c r="C1387" s="6">
        <v>87</v>
      </c>
      <c r="D1387" s="6" t="s">
        <v>794</v>
      </c>
      <c r="E1387" s="8" t="str">
        <f>IFERROR(VLOOKUP(LOG_RESEAU[[#This Row],[Cell_ID]],Registre_Maintenance!A:B,2,FALSE),"Non trouvé")</f>
        <v>Non trouvé</v>
      </c>
      <c r="F1387" s="8" t="str">
        <f>IFERROR(VLOOKUP(LOG_RESEAU[[#This Row],[Cell_ID]],Registre_Maintenance!A:C,3,FALSE),"Non trouvé")</f>
        <v>Non trouvé</v>
      </c>
      <c r="G1387" s="8" t="str">
        <f>IFERROR(VLOOKUP(LOG_RESEAU[[#This Row],[Cell_ID]],Registre_Maintenance!A:D,4,FALSE),"Non trouvé")</f>
        <v>Non trouvé</v>
      </c>
      <c r="H1387" s="6" t="str">
        <f>IFERROR(VLOOKUP(LOG_RESEAU[[#This Row],[Cell_ID]],Registre_Maintenance!A:E,5,FALSE),"Non trouvé")</f>
        <v>Non trouvé</v>
      </c>
      <c r="I1387" s="6" t="str">
        <f>IFERROR(VLOOKUP(LOG_RESEAU[[#This Row],[Cell_ID]],Registre_Maintenance!A:F,6,FALSE),"Non trouvé")</f>
        <v>Non trouvé</v>
      </c>
      <c r="J1387" s="6" t="str">
        <f t="shared" si="63"/>
        <v>Antenne inconnue</v>
      </c>
      <c r="K1387" s="6">
        <f t="shared" si="64"/>
        <v>4</v>
      </c>
      <c r="L1387" s="6">
        <f t="shared" si="65"/>
        <v>275</v>
      </c>
    </row>
    <row r="1388" spans="1:12" ht="15.75" x14ac:dyDescent="0.25">
      <c r="A1388" s="6" t="s">
        <v>1310</v>
      </c>
      <c r="B1388" s="7">
        <v>45229.751388888893</v>
      </c>
      <c r="C1388" s="6">
        <v>70</v>
      </c>
      <c r="D1388" s="6" t="s">
        <v>794</v>
      </c>
      <c r="E1388" s="8" t="str">
        <f>IFERROR(VLOOKUP(LOG_RESEAU[[#This Row],[Cell_ID]],Registre_Maintenance!A:B,2,FALSE),"Non trouvé")</f>
        <v>Non trouvé</v>
      </c>
      <c r="F1388" s="8" t="str">
        <f>IFERROR(VLOOKUP(LOG_RESEAU[[#This Row],[Cell_ID]],Registre_Maintenance!A:C,3,FALSE),"Non trouvé")</f>
        <v>Non trouvé</v>
      </c>
      <c r="G1388" s="8" t="str">
        <f>IFERROR(VLOOKUP(LOG_RESEAU[[#This Row],[Cell_ID]],Registre_Maintenance!A:D,4,FALSE),"Non trouvé")</f>
        <v>Non trouvé</v>
      </c>
      <c r="H1388" s="6" t="str">
        <f>IFERROR(VLOOKUP(LOG_RESEAU[[#This Row],[Cell_ID]],Registre_Maintenance!A:E,5,FALSE),"Non trouvé")</f>
        <v>Non trouvé</v>
      </c>
      <c r="I1388" s="6" t="str">
        <f>IFERROR(VLOOKUP(LOG_RESEAU[[#This Row],[Cell_ID]],Registre_Maintenance!A:F,6,FALSE),"Non trouvé")</f>
        <v>Non trouvé</v>
      </c>
      <c r="J1388" s="6" t="str">
        <f t="shared" si="63"/>
        <v>Antenne inconnue</v>
      </c>
      <c r="K1388" s="6">
        <f t="shared" si="64"/>
        <v>4</v>
      </c>
      <c r="L1388" s="6">
        <f t="shared" si="65"/>
        <v>275</v>
      </c>
    </row>
    <row r="1389" spans="1:12" ht="15.75" x14ac:dyDescent="0.25">
      <c r="A1389" s="6" t="s">
        <v>1053</v>
      </c>
      <c r="B1389" s="7">
        <v>45201.640972222223</v>
      </c>
      <c r="C1389" s="6">
        <v>86</v>
      </c>
      <c r="D1389" s="6" t="s">
        <v>792</v>
      </c>
      <c r="E1389" s="8" t="str">
        <f>IFERROR(VLOOKUP(LOG_RESEAU[[#This Row],[Cell_ID]],Registre_Maintenance!A:B,2,FALSE),"Non trouvé")</f>
        <v>Non trouvé</v>
      </c>
      <c r="F1389" s="8" t="str">
        <f>IFERROR(VLOOKUP(LOG_RESEAU[[#This Row],[Cell_ID]],Registre_Maintenance!A:C,3,FALSE),"Non trouvé")</f>
        <v>Non trouvé</v>
      </c>
      <c r="G1389" s="8" t="str">
        <f>IFERROR(VLOOKUP(LOG_RESEAU[[#This Row],[Cell_ID]],Registre_Maintenance!A:D,4,FALSE),"Non trouvé")</f>
        <v>Non trouvé</v>
      </c>
      <c r="H1389" s="6" t="str">
        <f>IFERROR(VLOOKUP(LOG_RESEAU[[#This Row],[Cell_ID]],Registre_Maintenance!A:E,5,FALSE),"Non trouvé")</f>
        <v>Non trouvé</v>
      </c>
      <c r="I1389" s="6" t="str">
        <f>IFERROR(VLOOKUP(LOG_RESEAU[[#This Row],[Cell_ID]],Registre_Maintenance!A:F,6,FALSE),"Non trouvé")</f>
        <v>Non trouvé</v>
      </c>
      <c r="J1389" s="6" t="str">
        <f t="shared" si="63"/>
        <v>Antenne inconnue</v>
      </c>
      <c r="K1389" s="6">
        <f t="shared" si="64"/>
        <v>4</v>
      </c>
      <c r="L1389" s="6">
        <f t="shared" si="65"/>
        <v>275</v>
      </c>
    </row>
    <row r="1390" spans="1:12" ht="15.75" x14ac:dyDescent="0.25">
      <c r="A1390" s="6" t="s">
        <v>1023</v>
      </c>
      <c r="B1390" s="7">
        <v>45218.368750000001</v>
      </c>
      <c r="C1390" s="6">
        <v>70</v>
      </c>
      <c r="D1390" s="6" t="s">
        <v>794</v>
      </c>
      <c r="E1390" s="8" t="str">
        <f>IFERROR(VLOOKUP(LOG_RESEAU[[#This Row],[Cell_ID]],Registre_Maintenance!A:B,2,FALSE),"Non trouvé")</f>
        <v>Lomami</v>
      </c>
      <c r="F1390" s="8">
        <f>IFERROR(VLOOKUP(LOG_RESEAU[[#This Row],[Cell_ID]],Registre_Maintenance!A:C,3,FALSE),"Non trouvé")</f>
        <v>-8.4227860000000003</v>
      </c>
      <c r="G1390" s="8">
        <f>IFERROR(VLOOKUP(LOG_RESEAU[[#This Row],[Cell_ID]],Registre_Maintenance!A:D,4,FALSE),"Non trouvé")</f>
        <v>16.781293000000002</v>
      </c>
      <c r="H1390" s="6" t="str">
        <f>IFERROR(VLOOKUP(LOG_RESEAU[[#This Row],[Cell_ID]],Registre_Maintenance!A:E,5,FALSE),"Non trouvé")</f>
        <v>4G</v>
      </c>
      <c r="I1390" s="6" t="str">
        <f>IFERROR(VLOOKUP(LOG_RESEAU[[#This Row],[Cell_ID]],Registre_Maintenance!A:F,6,FALSE),"Non trouvé")</f>
        <v>Huawei</v>
      </c>
      <c r="J1390" s="6" t="str">
        <f t="shared" si="63"/>
        <v>OK</v>
      </c>
      <c r="K1390" s="6">
        <f t="shared" si="64"/>
        <v>2</v>
      </c>
      <c r="L1390" s="6">
        <f t="shared" si="65"/>
        <v>155</v>
      </c>
    </row>
    <row r="1391" spans="1:12" ht="15.75" x14ac:dyDescent="0.25">
      <c r="A1391" s="6" t="s">
        <v>1023</v>
      </c>
      <c r="B1391" s="7">
        <v>45208.073611111111</v>
      </c>
      <c r="C1391" s="6">
        <v>85</v>
      </c>
      <c r="D1391" s="6" t="s">
        <v>800</v>
      </c>
      <c r="E1391" s="8" t="str">
        <f>IFERROR(VLOOKUP(LOG_RESEAU[[#This Row],[Cell_ID]],Registre_Maintenance!A:B,2,FALSE),"Non trouvé")</f>
        <v>Lomami</v>
      </c>
      <c r="F1391" s="8">
        <f>IFERROR(VLOOKUP(LOG_RESEAU[[#This Row],[Cell_ID]],Registre_Maintenance!A:C,3,FALSE),"Non trouvé")</f>
        <v>-8.4227860000000003</v>
      </c>
      <c r="G1391" s="8">
        <f>IFERROR(VLOOKUP(LOG_RESEAU[[#This Row],[Cell_ID]],Registre_Maintenance!A:D,4,FALSE),"Non trouvé")</f>
        <v>16.781293000000002</v>
      </c>
      <c r="H1391" s="6" t="str">
        <f>IFERROR(VLOOKUP(LOG_RESEAU[[#This Row],[Cell_ID]],Registre_Maintenance!A:E,5,FALSE),"Non trouvé")</f>
        <v>4G</v>
      </c>
      <c r="I1391" s="6" t="str">
        <f>IFERROR(VLOOKUP(LOG_RESEAU[[#This Row],[Cell_ID]],Registre_Maintenance!A:F,6,FALSE),"Non trouvé")</f>
        <v>Huawei</v>
      </c>
      <c r="J1391" s="6" t="str">
        <f t="shared" si="63"/>
        <v>OK</v>
      </c>
      <c r="K1391" s="6">
        <f t="shared" si="64"/>
        <v>2</v>
      </c>
      <c r="L1391" s="6">
        <f t="shared" si="65"/>
        <v>155</v>
      </c>
    </row>
    <row r="1392" spans="1:12" ht="15.75" x14ac:dyDescent="0.25">
      <c r="A1392" s="6" t="s">
        <v>1512</v>
      </c>
      <c r="B1392" s="7">
        <v>45214.23541666667</v>
      </c>
      <c r="C1392" s="6">
        <v>33</v>
      </c>
      <c r="D1392" s="6" t="s">
        <v>794</v>
      </c>
      <c r="E1392" s="8" t="str">
        <f>IFERROR(VLOOKUP(LOG_RESEAU[[#This Row],[Cell_ID]],Registre_Maintenance!A:B,2,FALSE),"Non trouvé")</f>
        <v>Maniema</v>
      </c>
      <c r="F1392" s="8">
        <f>IFERROR(VLOOKUP(LOG_RESEAU[[#This Row],[Cell_ID]],Registre_Maintenance!A:C,3,FALSE),"Non trouvé")</f>
        <v>-10.318835</v>
      </c>
      <c r="G1392" s="8">
        <f>IFERROR(VLOOKUP(LOG_RESEAU[[#This Row],[Cell_ID]],Registre_Maintenance!A:D,4,FALSE),"Non trouvé")</f>
        <v>21.252382000000001</v>
      </c>
      <c r="H1392" s="6" t="str">
        <f>IFERROR(VLOOKUP(LOG_RESEAU[[#This Row],[Cell_ID]],Registre_Maintenance!A:E,5,FALSE),"Non trouvé")</f>
        <v>4G</v>
      </c>
      <c r="I1392" s="6" t="str">
        <f>IFERROR(VLOOKUP(LOG_RESEAU[[#This Row],[Cell_ID]],Registre_Maintenance!A:F,6,FALSE),"Non trouvé")</f>
        <v>Ericsson</v>
      </c>
      <c r="J1392" s="6" t="str">
        <f t="shared" si="63"/>
        <v>OK</v>
      </c>
      <c r="K1392" s="6">
        <f t="shared" si="64"/>
        <v>1</v>
      </c>
      <c r="L1392" s="6">
        <f t="shared" si="65"/>
        <v>33</v>
      </c>
    </row>
    <row r="1393" spans="1:12" ht="15.75" x14ac:dyDescent="0.25">
      <c r="A1393" s="6" t="s">
        <v>1418</v>
      </c>
      <c r="B1393" s="7">
        <v>45218.659722222219</v>
      </c>
      <c r="C1393" s="6">
        <v>24</v>
      </c>
      <c r="D1393" s="6" t="s">
        <v>794</v>
      </c>
      <c r="E1393" s="8" t="str">
        <f>IFERROR(VLOOKUP(LOG_RESEAU[[#This Row],[Cell_ID]],Registre_Maintenance!A:B,2,FALSE),"Non trouvé")</f>
        <v>Non trouvé</v>
      </c>
      <c r="F1393" s="8" t="str">
        <f>IFERROR(VLOOKUP(LOG_RESEAU[[#This Row],[Cell_ID]],Registre_Maintenance!A:C,3,FALSE),"Non trouvé")</f>
        <v>Non trouvé</v>
      </c>
      <c r="G1393" s="8" t="str">
        <f>IFERROR(VLOOKUP(LOG_RESEAU[[#This Row],[Cell_ID]],Registre_Maintenance!A:D,4,FALSE),"Non trouvé")</f>
        <v>Non trouvé</v>
      </c>
      <c r="H1393" s="6" t="str">
        <f>IFERROR(VLOOKUP(LOG_RESEAU[[#This Row],[Cell_ID]],Registre_Maintenance!A:E,5,FALSE),"Non trouvé")</f>
        <v>Non trouvé</v>
      </c>
      <c r="I1393" s="6" t="str">
        <f>IFERROR(VLOOKUP(LOG_RESEAU[[#This Row],[Cell_ID]],Registre_Maintenance!A:F,6,FALSE),"Non trouvé")</f>
        <v>Non trouvé</v>
      </c>
      <c r="J1393" s="6" t="str">
        <f t="shared" si="63"/>
        <v>Antenne inconnue</v>
      </c>
      <c r="K1393" s="6">
        <f t="shared" si="64"/>
        <v>1</v>
      </c>
      <c r="L1393" s="6">
        <f t="shared" si="65"/>
        <v>24</v>
      </c>
    </row>
    <row r="1394" spans="1:12" ht="15.75" x14ac:dyDescent="0.25">
      <c r="A1394" s="6" t="s">
        <v>1242</v>
      </c>
      <c r="B1394" s="7">
        <v>45207.526388888888</v>
      </c>
      <c r="C1394" s="6">
        <v>78</v>
      </c>
      <c r="D1394" s="6" t="s">
        <v>792</v>
      </c>
      <c r="E1394" s="8" t="str">
        <f>IFERROR(VLOOKUP(LOG_RESEAU[[#This Row],[Cell_ID]],Registre_Maintenance!A:B,2,FALSE),"Non trouvé")</f>
        <v>Haut-Katanga</v>
      </c>
      <c r="F1394" s="8">
        <f>IFERROR(VLOOKUP(LOG_RESEAU[[#This Row],[Cell_ID]],Registre_Maintenance!A:C,3,FALSE),"Non trouvé")</f>
        <v>-9.4229749999999992</v>
      </c>
      <c r="G1394" s="8">
        <f>IFERROR(VLOOKUP(LOG_RESEAU[[#This Row],[Cell_ID]],Registre_Maintenance!A:D,4,FALSE),"Non trouvé")</f>
        <v>29.375005999999999</v>
      </c>
      <c r="H1394" s="6" t="str">
        <f>IFERROR(VLOOKUP(LOG_RESEAU[[#This Row],[Cell_ID]],Registre_Maintenance!A:E,5,FALSE),"Non trouvé")</f>
        <v>3G</v>
      </c>
      <c r="I1394" s="6" t="str">
        <f>IFERROR(VLOOKUP(LOG_RESEAU[[#This Row],[Cell_ID]],Registre_Maintenance!A:F,6,FALSE),"Non trouvé")</f>
        <v>Ericsson</v>
      </c>
      <c r="J1394" s="6" t="str">
        <f t="shared" si="63"/>
        <v>OK</v>
      </c>
      <c r="K1394" s="6">
        <f t="shared" si="64"/>
        <v>1</v>
      </c>
      <c r="L1394" s="6">
        <f t="shared" si="65"/>
        <v>78</v>
      </c>
    </row>
    <row r="1395" spans="1:12" ht="15.75" x14ac:dyDescent="0.25">
      <c r="A1395" s="6" t="s">
        <v>1400</v>
      </c>
      <c r="B1395" s="7">
        <v>45202.376388888893</v>
      </c>
      <c r="C1395" s="6">
        <v>28</v>
      </c>
      <c r="D1395" s="6" t="s">
        <v>794</v>
      </c>
      <c r="E1395" s="8" t="str">
        <f>IFERROR(VLOOKUP(LOG_RESEAU[[#This Row],[Cell_ID]],Registre_Maintenance!A:B,2,FALSE),"Non trouvé")</f>
        <v>Kwilu</v>
      </c>
      <c r="F1395" s="8">
        <f>IFERROR(VLOOKUP(LOG_RESEAU[[#This Row],[Cell_ID]],Registre_Maintenance!A:C,3,FALSE),"Non trouvé")</f>
        <v>-7.402336</v>
      </c>
      <c r="G1395" s="8">
        <f>IFERROR(VLOOKUP(LOG_RESEAU[[#This Row],[Cell_ID]],Registre_Maintenance!A:D,4,FALSE),"Non trouvé")</f>
        <v>27.376697</v>
      </c>
      <c r="H1395" s="6" t="str">
        <f>IFERROR(VLOOKUP(LOG_RESEAU[[#This Row],[Cell_ID]],Registre_Maintenance!A:E,5,FALSE),"Non trouvé")</f>
        <v>4G</v>
      </c>
      <c r="I1395" s="6" t="str">
        <f>IFERROR(VLOOKUP(LOG_RESEAU[[#This Row],[Cell_ID]],Registre_Maintenance!A:F,6,FALSE),"Non trouvé")</f>
        <v>Huawei</v>
      </c>
      <c r="J1395" s="6" t="str">
        <f t="shared" si="63"/>
        <v>OK</v>
      </c>
      <c r="K1395" s="6">
        <f t="shared" si="64"/>
        <v>3</v>
      </c>
      <c r="L1395" s="6">
        <f t="shared" si="65"/>
        <v>127</v>
      </c>
    </row>
    <row r="1396" spans="1:12" ht="15.75" x14ac:dyDescent="0.25">
      <c r="A1396" s="6" t="s">
        <v>1400</v>
      </c>
      <c r="B1396" s="7">
        <v>45212.447222222218</v>
      </c>
      <c r="C1396" s="6">
        <v>88</v>
      </c>
      <c r="D1396" s="6" t="s">
        <v>800</v>
      </c>
      <c r="E1396" s="8" t="str">
        <f>IFERROR(VLOOKUP(LOG_RESEAU[[#This Row],[Cell_ID]],Registre_Maintenance!A:B,2,FALSE),"Non trouvé")</f>
        <v>Kwilu</v>
      </c>
      <c r="F1396" s="8">
        <f>IFERROR(VLOOKUP(LOG_RESEAU[[#This Row],[Cell_ID]],Registre_Maintenance!A:C,3,FALSE),"Non trouvé")</f>
        <v>-7.402336</v>
      </c>
      <c r="G1396" s="8">
        <f>IFERROR(VLOOKUP(LOG_RESEAU[[#This Row],[Cell_ID]],Registre_Maintenance!A:D,4,FALSE),"Non trouvé")</f>
        <v>27.376697</v>
      </c>
      <c r="H1396" s="6" t="str">
        <f>IFERROR(VLOOKUP(LOG_RESEAU[[#This Row],[Cell_ID]],Registre_Maintenance!A:E,5,FALSE),"Non trouvé")</f>
        <v>4G</v>
      </c>
      <c r="I1396" s="6" t="str">
        <f>IFERROR(VLOOKUP(LOG_RESEAU[[#This Row],[Cell_ID]],Registre_Maintenance!A:F,6,FALSE),"Non trouvé")</f>
        <v>Huawei</v>
      </c>
      <c r="J1396" s="6" t="str">
        <f t="shared" si="63"/>
        <v>OK</v>
      </c>
      <c r="K1396" s="6">
        <f t="shared" si="64"/>
        <v>3</v>
      </c>
      <c r="L1396" s="6">
        <f t="shared" si="65"/>
        <v>127</v>
      </c>
    </row>
    <row r="1397" spans="1:12" ht="15.75" x14ac:dyDescent="0.25">
      <c r="A1397" s="6" t="s">
        <v>1400</v>
      </c>
      <c r="B1397" s="7">
        <v>45203.522222222222</v>
      </c>
      <c r="C1397" s="6">
        <v>11</v>
      </c>
      <c r="D1397" s="6" t="s">
        <v>800</v>
      </c>
      <c r="E1397" s="8" t="str">
        <f>IFERROR(VLOOKUP(LOG_RESEAU[[#This Row],[Cell_ID]],Registre_Maintenance!A:B,2,FALSE),"Non trouvé")</f>
        <v>Kwilu</v>
      </c>
      <c r="F1397" s="8">
        <f>IFERROR(VLOOKUP(LOG_RESEAU[[#This Row],[Cell_ID]],Registre_Maintenance!A:C,3,FALSE),"Non trouvé")</f>
        <v>-7.402336</v>
      </c>
      <c r="G1397" s="8">
        <f>IFERROR(VLOOKUP(LOG_RESEAU[[#This Row],[Cell_ID]],Registre_Maintenance!A:D,4,FALSE),"Non trouvé")</f>
        <v>27.376697</v>
      </c>
      <c r="H1397" s="6" t="str">
        <f>IFERROR(VLOOKUP(LOG_RESEAU[[#This Row],[Cell_ID]],Registre_Maintenance!A:E,5,FALSE),"Non trouvé")</f>
        <v>4G</v>
      </c>
      <c r="I1397" s="6" t="str">
        <f>IFERROR(VLOOKUP(LOG_RESEAU[[#This Row],[Cell_ID]],Registre_Maintenance!A:F,6,FALSE),"Non trouvé")</f>
        <v>Huawei</v>
      </c>
      <c r="J1397" s="6" t="str">
        <f t="shared" si="63"/>
        <v>OK</v>
      </c>
      <c r="K1397" s="6">
        <f t="shared" si="64"/>
        <v>3</v>
      </c>
      <c r="L1397" s="6">
        <f t="shared" si="65"/>
        <v>127</v>
      </c>
    </row>
    <row r="1398" spans="1:12" ht="15.75" x14ac:dyDescent="0.25">
      <c r="A1398" s="6" t="s">
        <v>1282</v>
      </c>
      <c r="B1398" s="7">
        <v>45220.15902777778</v>
      </c>
      <c r="C1398" s="6">
        <v>60</v>
      </c>
      <c r="D1398" s="6" t="s">
        <v>792</v>
      </c>
      <c r="E1398" s="8" t="str">
        <f>IFERROR(VLOOKUP(LOG_RESEAU[[#This Row],[Cell_ID]],Registre_Maintenance!A:B,2,FALSE),"Non trouvé")</f>
        <v>Tshopo</v>
      </c>
      <c r="F1398" s="8">
        <f>IFERROR(VLOOKUP(LOG_RESEAU[[#This Row],[Cell_ID]],Registre_Maintenance!A:C,3,FALSE),"Non trouvé")</f>
        <v>-9.4133639999999996</v>
      </c>
      <c r="G1398" s="8">
        <f>IFERROR(VLOOKUP(LOG_RESEAU[[#This Row],[Cell_ID]],Registre_Maintenance!A:D,4,FALSE),"Non trouvé")</f>
        <v>15.682482</v>
      </c>
      <c r="H1398" s="6" t="str">
        <f>IFERROR(VLOOKUP(LOG_RESEAU[[#This Row],[Cell_ID]],Registre_Maintenance!A:E,5,FALSE),"Non trouvé")</f>
        <v>4G</v>
      </c>
      <c r="I1398" s="6" t="str">
        <f>IFERROR(VLOOKUP(LOG_RESEAU[[#This Row],[Cell_ID]],Registre_Maintenance!A:F,6,FALSE),"Non trouvé")</f>
        <v>Huawei</v>
      </c>
      <c r="J1398" s="6" t="str">
        <f t="shared" si="63"/>
        <v>OK</v>
      </c>
      <c r="K1398" s="6">
        <f t="shared" si="64"/>
        <v>1</v>
      </c>
      <c r="L1398" s="6">
        <f t="shared" si="65"/>
        <v>60</v>
      </c>
    </row>
    <row r="1399" spans="1:12" ht="15.75" x14ac:dyDescent="0.25">
      <c r="A1399" s="6" t="s">
        <v>1157</v>
      </c>
      <c r="B1399" s="7">
        <v>45218.378472222219</v>
      </c>
      <c r="C1399" s="6">
        <v>102</v>
      </c>
      <c r="D1399" s="6" t="s">
        <v>794</v>
      </c>
      <c r="E1399" s="8" t="str">
        <f>IFERROR(VLOOKUP(LOG_RESEAU[[#This Row],[Cell_ID]],Registre_Maintenance!A:B,2,FALSE),"Non trouvé")</f>
        <v>Kasai-Central</v>
      </c>
      <c r="F1399" s="8">
        <f>IFERROR(VLOOKUP(LOG_RESEAU[[#This Row],[Cell_ID]],Registre_Maintenance!A:C,3,FALSE),"Non trouvé")</f>
        <v>-4.4451280000000004</v>
      </c>
      <c r="G1399" s="8">
        <f>IFERROR(VLOOKUP(LOG_RESEAU[[#This Row],[Cell_ID]],Registre_Maintenance!A:D,4,FALSE),"Non trouvé")</f>
        <v>16.536944999999999</v>
      </c>
      <c r="H1399" s="6" t="str">
        <f>IFERROR(VLOOKUP(LOG_RESEAU[[#This Row],[Cell_ID]],Registre_Maintenance!A:E,5,FALSE),"Non trouvé")</f>
        <v>4G</v>
      </c>
      <c r="I1399" s="6" t="str">
        <f>IFERROR(VLOOKUP(LOG_RESEAU[[#This Row],[Cell_ID]],Registre_Maintenance!A:F,6,FALSE),"Non trouvé")</f>
        <v>Ericsson</v>
      </c>
      <c r="J1399" s="6" t="str">
        <f t="shared" si="63"/>
        <v>OK</v>
      </c>
      <c r="K1399" s="6">
        <f t="shared" si="64"/>
        <v>2</v>
      </c>
      <c r="L1399" s="6">
        <f t="shared" si="65"/>
        <v>209</v>
      </c>
    </row>
    <row r="1400" spans="1:12" ht="15.75" x14ac:dyDescent="0.25">
      <c r="A1400" s="6" t="s">
        <v>1157</v>
      </c>
      <c r="B1400" s="7">
        <v>45221.772222222222</v>
      </c>
      <c r="C1400" s="6">
        <v>107</v>
      </c>
      <c r="D1400" s="6" t="s">
        <v>794</v>
      </c>
      <c r="E1400" s="8" t="str">
        <f>IFERROR(VLOOKUP(LOG_RESEAU[[#This Row],[Cell_ID]],Registre_Maintenance!A:B,2,FALSE),"Non trouvé")</f>
        <v>Kasai-Central</v>
      </c>
      <c r="F1400" s="8">
        <f>IFERROR(VLOOKUP(LOG_RESEAU[[#This Row],[Cell_ID]],Registre_Maintenance!A:C,3,FALSE),"Non trouvé")</f>
        <v>-4.4451280000000004</v>
      </c>
      <c r="G1400" s="8">
        <f>IFERROR(VLOOKUP(LOG_RESEAU[[#This Row],[Cell_ID]],Registre_Maintenance!A:D,4,FALSE),"Non trouvé")</f>
        <v>16.536944999999999</v>
      </c>
      <c r="H1400" s="6" t="str">
        <f>IFERROR(VLOOKUP(LOG_RESEAU[[#This Row],[Cell_ID]],Registre_Maintenance!A:E,5,FALSE),"Non trouvé")</f>
        <v>4G</v>
      </c>
      <c r="I1400" s="6" t="str">
        <f>IFERROR(VLOOKUP(LOG_RESEAU[[#This Row],[Cell_ID]],Registre_Maintenance!A:F,6,FALSE),"Non trouvé")</f>
        <v>Ericsson</v>
      </c>
      <c r="J1400" s="6" t="str">
        <f t="shared" si="63"/>
        <v>OK</v>
      </c>
      <c r="K1400" s="6">
        <f t="shared" si="64"/>
        <v>2</v>
      </c>
      <c r="L1400" s="6">
        <f t="shared" si="65"/>
        <v>209</v>
      </c>
    </row>
    <row r="1401" spans="1:12" ht="15.75" x14ac:dyDescent="0.25">
      <c r="A1401" s="6" t="s">
        <v>1305</v>
      </c>
      <c r="B1401" s="7">
        <v>45211.706250000003</v>
      </c>
      <c r="C1401" s="6">
        <v>115</v>
      </c>
      <c r="D1401" s="6" t="s">
        <v>792</v>
      </c>
      <c r="E1401" s="8" t="str">
        <f>IFERROR(VLOOKUP(LOG_RESEAU[[#This Row],[Cell_ID]],Registre_Maintenance!A:B,2,FALSE),"Non trouvé")</f>
        <v>Non trouvé</v>
      </c>
      <c r="F1401" s="8" t="str">
        <f>IFERROR(VLOOKUP(LOG_RESEAU[[#This Row],[Cell_ID]],Registre_Maintenance!A:C,3,FALSE),"Non trouvé")</f>
        <v>Non trouvé</v>
      </c>
      <c r="G1401" s="8" t="str">
        <f>IFERROR(VLOOKUP(LOG_RESEAU[[#This Row],[Cell_ID]],Registre_Maintenance!A:D,4,FALSE),"Non trouvé")</f>
        <v>Non trouvé</v>
      </c>
      <c r="H1401" s="6" t="str">
        <f>IFERROR(VLOOKUP(LOG_RESEAU[[#This Row],[Cell_ID]],Registre_Maintenance!A:E,5,FALSE),"Non trouvé")</f>
        <v>Non trouvé</v>
      </c>
      <c r="I1401" s="6" t="str">
        <f>IFERROR(VLOOKUP(LOG_RESEAU[[#This Row],[Cell_ID]],Registre_Maintenance!A:F,6,FALSE),"Non trouvé")</f>
        <v>Non trouvé</v>
      </c>
      <c r="J1401" s="6" t="str">
        <f t="shared" si="63"/>
        <v>Antenne inconnue</v>
      </c>
      <c r="K1401" s="6">
        <f t="shared" si="64"/>
        <v>1</v>
      </c>
      <c r="L1401" s="6">
        <f t="shared" si="65"/>
        <v>115</v>
      </c>
    </row>
    <row r="1402" spans="1:12" ht="15.75" x14ac:dyDescent="0.25">
      <c r="A1402" s="6" t="s">
        <v>1268</v>
      </c>
      <c r="B1402" s="7">
        <v>45230.26458333333</v>
      </c>
      <c r="C1402" s="6">
        <v>62</v>
      </c>
      <c r="D1402" s="6" t="s">
        <v>794</v>
      </c>
      <c r="E1402" s="8" t="str">
        <f>IFERROR(VLOOKUP(LOG_RESEAU[[#This Row],[Cell_ID]],Registre_Maintenance!A:B,2,FALSE),"Non trouvé")</f>
        <v>Mongala</v>
      </c>
      <c r="F1402" s="8">
        <f>IFERROR(VLOOKUP(LOG_RESEAU[[#This Row],[Cell_ID]],Registre_Maintenance!A:C,3,FALSE),"Non trouvé")</f>
        <v>3.6344850000000002</v>
      </c>
      <c r="G1402" s="8">
        <f>IFERROR(VLOOKUP(LOG_RESEAU[[#This Row],[Cell_ID]],Registre_Maintenance!A:D,4,FALSE),"Non trouvé")</f>
        <v>12.158348999999999</v>
      </c>
      <c r="H1402" s="6" t="str">
        <f>IFERROR(VLOOKUP(LOG_RESEAU[[#This Row],[Cell_ID]],Registre_Maintenance!A:E,5,FALSE),"Non trouvé")</f>
        <v>5G</v>
      </c>
      <c r="I1402" s="6" t="str">
        <f>IFERROR(VLOOKUP(LOG_RESEAU[[#This Row],[Cell_ID]],Registre_Maintenance!A:F,6,FALSE),"Non trouvé")</f>
        <v>Ericsson</v>
      </c>
      <c r="J1402" s="6" t="str">
        <f t="shared" si="63"/>
        <v>OK</v>
      </c>
      <c r="K1402" s="6">
        <f t="shared" si="64"/>
        <v>1</v>
      </c>
      <c r="L1402" s="6">
        <f t="shared" si="65"/>
        <v>62</v>
      </c>
    </row>
    <row r="1403" spans="1:12" ht="15.75" x14ac:dyDescent="0.25">
      <c r="A1403" s="6" t="s">
        <v>1123</v>
      </c>
      <c r="B1403" s="7">
        <v>45204.59097222222</v>
      </c>
      <c r="C1403" s="6">
        <v>108</v>
      </c>
      <c r="D1403" s="6" t="s">
        <v>800</v>
      </c>
      <c r="E1403" s="8" t="str">
        <f>IFERROR(VLOOKUP(LOG_RESEAU[[#This Row],[Cell_ID]],Registre_Maintenance!A:B,2,FALSE),"Non trouvé")</f>
        <v>Kwilu</v>
      </c>
      <c r="F1403" s="8">
        <f>IFERROR(VLOOKUP(LOG_RESEAU[[#This Row],[Cell_ID]],Registre_Maintenance!A:C,3,FALSE),"Non trouvé")</f>
        <v>-8.5675749999999997</v>
      </c>
      <c r="G1403" s="8">
        <f>IFERROR(VLOOKUP(LOG_RESEAU[[#This Row],[Cell_ID]],Registre_Maintenance!A:D,4,FALSE),"Non trouvé")</f>
        <v>26.994581</v>
      </c>
      <c r="H1403" s="6" t="str">
        <f>IFERROR(VLOOKUP(LOG_RESEAU[[#This Row],[Cell_ID]],Registre_Maintenance!A:E,5,FALSE),"Non trouvé")</f>
        <v>3G</v>
      </c>
      <c r="I1403" s="6" t="str">
        <f>IFERROR(VLOOKUP(LOG_RESEAU[[#This Row],[Cell_ID]],Registre_Maintenance!A:F,6,FALSE),"Non trouvé")</f>
        <v>Nokia</v>
      </c>
      <c r="J1403" s="6" t="str">
        <f t="shared" si="63"/>
        <v>OK</v>
      </c>
      <c r="K1403" s="6">
        <f t="shared" si="64"/>
        <v>3</v>
      </c>
      <c r="L1403" s="6">
        <f t="shared" si="65"/>
        <v>183</v>
      </c>
    </row>
    <row r="1404" spans="1:12" ht="15.75" x14ac:dyDescent="0.25">
      <c r="A1404" s="6" t="s">
        <v>1123</v>
      </c>
      <c r="B1404" s="7">
        <v>45207.127083333333</v>
      </c>
      <c r="C1404" s="6">
        <v>38</v>
      </c>
      <c r="D1404" s="6" t="s">
        <v>794</v>
      </c>
      <c r="E1404" s="8" t="str">
        <f>IFERROR(VLOOKUP(LOG_RESEAU[[#This Row],[Cell_ID]],Registre_Maintenance!A:B,2,FALSE),"Non trouvé")</f>
        <v>Kwilu</v>
      </c>
      <c r="F1404" s="8">
        <f>IFERROR(VLOOKUP(LOG_RESEAU[[#This Row],[Cell_ID]],Registre_Maintenance!A:C,3,FALSE),"Non trouvé")</f>
        <v>-8.5675749999999997</v>
      </c>
      <c r="G1404" s="8">
        <f>IFERROR(VLOOKUP(LOG_RESEAU[[#This Row],[Cell_ID]],Registre_Maintenance!A:D,4,FALSE),"Non trouvé")</f>
        <v>26.994581</v>
      </c>
      <c r="H1404" s="6" t="str">
        <f>IFERROR(VLOOKUP(LOG_RESEAU[[#This Row],[Cell_ID]],Registre_Maintenance!A:E,5,FALSE),"Non trouvé")</f>
        <v>3G</v>
      </c>
      <c r="I1404" s="6" t="str">
        <f>IFERROR(VLOOKUP(LOG_RESEAU[[#This Row],[Cell_ID]],Registre_Maintenance!A:F,6,FALSE),"Non trouvé")</f>
        <v>Nokia</v>
      </c>
      <c r="J1404" s="6" t="str">
        <f t="shared" si="63"/>
        <v>OK</v>
      </c>
      <c r="K1404" s="6">
        <f t="shared" si="64"/>
        <v>3</v>
      </c>
      <c r="L1404" s="6">
        <f t="shared" si="65"/>
        <v>183</v>
      </c>
    </row>
    <row r="1405" spans="1:12" ht="15.75" x14ac:dyDescent="0.25">
      <c r="A1405" s="6" t="s">
        <v>1123</v>
      </c>
      <c r="B1405" s="7">
        <v>45217.473611111112</v>
      </c>
      <c r="C1405" s="6">
        <v>37</v>
      </c>
      <c r="D1405" s="6" t="s">
        <v>792</v>
      </c>
      <c r="E1405" s="8" t="str">
        <f>IFERROR(VLOOKUP(LOG_RESEAU[[#This Row],[Cell_ID]],Registre_Maintenance!A:B,2,FALSE),"Non trouvé")</f>
        <v>Kwilu</v>
      </c>
      <c r="F1405" s="8">
        <f>IFERROR(VLOOKUP(LOG_RESEAU[[#This Row],[Cell_ID]],Registre_Maintenance!A:C,3,FALSE),"Non trouvé")</f>
        <v>-8.5675749999999997</v>
      </c>
      <c r="G1405" s="8">
        <f>IFERROR(VLOOKUP(LOG_RESEAU[[#This Row],[Cell_ID]],Registre_Maintenance!A:D,4,FALSE),"Non trouvé")</f>
        <v>26.994581</v>
      </c>
      <c r="H1405" s="6" t="str">
        <f>IFERROR(VLOOKUP(LOG_RESEAU[[#This Row],[Cell_ID]],Registre_Maintenance!A:E,5,FALSE),"Non trouvé")</f>
        <v>3G</v>
      </c>
      <c r="I1405" s="6" t="str">
        <f>IFERROR(VLOOKUP(LOG_RESEAU[[#This Row],[Cell_ID]],Registre_Maintenance!A:F,6,FALSE),"Non trouvé")</f>
        <v>Nokia</v>
      </c>
      <c r="J1405" s="6" t="str">
        <f t="shared" si="63"/>
        <v>OK</v>
      </c>
      <c r="K1405" s="6">
        <f t="shared" si="64"/>
        <v>3</v>
      </c>
      <c r="L1405" s="6">
        <f t="shared" si="65"/>
        <v>183</v>
      </c>
    </row>
    <row r="1406" spans="1:12" ht="15.75" x14ac:dyDescent="0.25">
      <c r="A1406" s="6" t="s">
        <v>1164</v>
      </c>
      <c r="B1406" s="7">
        <v>45206.362500000003</v>
      </c>
      <c r="C1406" s="6">
        <v>60</v>
      </c>
      <c r="D1406" s="6" t="s">
        <v>792</v>
      </c>
      <c r="E1406" s="8" t="str">
        <f>IFERROR(VLOOKUP(LOG_RESEAU[[#This Row],[Cell_ID]],Registre_Maintenance!A:B,2,FALSE),"Non trouvé")</f>
        <v>Maniema</v>
      </c>
      <c r="F1406" s="8">
        <f>IFERROR(VLOOKUP(LOG_RESEAU[[#This Row],[Cell_ID]],Registre_Maintenance!A:C,3,FALSE),"Non trouvé")</f>
        <v>-4.2645619999999997</v>
      </c>
      <c r="G1406" s="8">
        <f>IFERROR(VLOOKUP(LOG_RESEAU[[#This Row],[Cell_ID]],Registre_Maintenance!A:D,4,FALSE),"Non trouvé")</f>
        <v>18.960726000000001</v>
      </c>
      <c r="H1406" s="6" t="str">
        <f>IFERROR(VLOOKUP(LOG_RESEAU[[#This Row],[Cell_ID]],Registre_Maintenance!A:E,5,FALSE),"Non trouvé")</f>
        <v>4G</v>
      </c>
      <c r="I1406" s="6" t="str">
        <f>IFERROR(VLOOKUP(LOG_RESEAU[[#This Row],[Cell_ID]],Registre_Maintenance!A:F,6,FALSE),"Non trouvé")</f>
        <v>Huawei</v>
      </c>
      <c r="J1406" s="6" t="str">
        <f t="shared" si="63"/>
        <v>OK</v>
      </c>
      <c r="K1406" s="6">
        <f t="shared" si="64"/>
        <v>2</v>
      </c>
      <c r="L1406" s="6">
        <f t="shared" si="65"/>
        <v>145</v>
      </c>
    </row>
    <row r="1407" spans="1:12" ht="15.75" x14ac:dyDescent="0.25">
      <c r="A1407" s="6" t="s">
        <v>1164</v>
      </c>
      <c r="B1407" s="7">
        <v>45210.38958333333</v>
      </c>
      <c r="C1407" s="6">
        <v>85</v>
      </c>
      <c r="D1407" s="6" t="s">
        <v>794</v>
      </c>
      <c r="E1407" s="8" t="str">
        <f>IFERROR(VLOOKUP(LOG_RESEAU[[#This Row],[Cell_ID]],Registre_Maintenance!A:B,2,FALSE),"Non trouvé")</f>
        <v>Maniema</v>
      </c>
      <c r="F1407" s="8">
        <f>IFERROR(VLOOKUP(LOG_RESEAU[[#This Row],[Cell_ID]],Registre_Maintenance!A:C,3,FALSE),"Non trouvé")</f>
        <v>-4.2645619999999997</v>
      </c>
      <c r="G1407" s="8">
        <f>IFERROR(VLOOKUP(LOG_RESEAU[[#This Row],[Cell_ID]],Registre_Maintenance!A:D,4,FALSE),"Non trouvé")</f>
        <v>18.960726000000001</v>
      </c>
      <c r="H1407" s="6" t="str">
        <f>IFERROR(VLOOKUP(LOG_RESEAU[[#This Row],[Cell_ID]],Registre_Maintenance!A:E,5,FALSE),"Non trouvé")</f>
        <v>4G</v>
      </c>
      <c r="I1407" s="6" t="str">
        <f>IFERROR(VLOOKUP(LOG_RESEAU[[#This Row],[Cell_ID]],Registre_Maintenance!A:F,6,FALSE),"Non trouvé")</f>
        <v>Huawei</v>
      </c>
      <c r="J1407" s="6" t="str">
        <f t="shared" si="63"/>
        <v>OK</v>
      </c>
      <c r="K1407" s="6">
        <f t="shared" si="64"/>
        <v>2</v>
      </c>
      <c r="L1407" s="6">
        <f t="shared" si="65"/>
        <v>145</v>
      </c>
    </row>
    <row r="1408" spans="1:12" ht="15.75" x14ac:dyDescent="0.25">
      <c r="A1408" s="6" t="s">
        <v>1435</v>
      </c>
      <c r="B1408" s="7">
        <v>45216.094444444447</v>
      </c>
      <c r="C1408" s="6">
        <v>74</v>
      </c>
      <c r="D1408" s="6" t="s">
        <v>794</v>
      </c>
      <c r="E1408" s="8" t="str">
        <f>IFERROR(VLOOKUP(LOG_RESEAU[[#This Row],[Cell_ID]],Registre_Maintenance!A:B,2,FALSE),"Non trouvé")</f>
        <v>Lomami</v>
      </c>
      <c r="F1408" s="8">
        <f>IFERROR(VLOOKUP(LOG_RESEAU[[#This Row],[Cell_ID]],Registre_Maintenance!A:C,3,FALSE),"Non trouvé")</f>
        <v>4.8265669999999998</v>
      </c>
      <c r="G1408" s="8">
        <f>IFERROR(VLOOKUP(LOG_RESEAU[[#This Row],[Cell_ID]],Registre_Maintenance!A:D,4,FALSE),"Non trouvé")</f>
        <v>28.535277000000001</v>
      </c>
      <c r="H1408" s="6" t="str">
        <f>IFERROR(VLOOKUP(LOG_RESEAU[[#This Row],[Cell_ID]],Registre_Maintenance!A:E,5,FALSE),"Non trouvé")</f>
        <v>3G</v>
      </c>
      <c r="I1408" s="6" t="str">
        <f>IFERROR(VLOOKUP(LOG_RESEAU[[#This Row],[Cell_ID]],Registre_Maintenance!A:F,6,FALSE),"Non trouvé")</f>
        <v>Huawei</v>
      </c>
      <c r="J1408" s="6" t="str">
        <f t="shared" si="63"/>
        <v>OK</v>
      </c>
      <c r="K1408" s="6">
        <f t="shared" si="64"/>
        <v>2</v>
      </c>
      <c r="L1408" s="6">
        <f t="shared" si="65"/>
        <v>162</v>
      </c>
    </row>
    <row r="1409" spans="1:12" ht="15.75" x14ac:dyDescent="0.25">
      <c r="A1409" s="6" t="s">
        <v>1435</v>
      </c>
      <c r="B1409" s="7">
        <v>45213.518750000003</v>
      </c>
      <c r="C1409" s="6">
        <v>88</v>
      </c>
      <c r="D1409" s="6" t="s">
        <v>800</v>
      </c>
      <c r="E1409" s="8" t="str">
        <f>IFERROR(VLOOKUP(LOG_RESEAU[[#This Row],[Cell_ID]],Registre_Maintenance!A:B,2,FALSE),"Non trouvé")</f>
        <v>Lomami</v>
      </c>
      <c r="F1409" s="8">
        <f>IFERROR(VLOOKUP(LOG_RESEAU[[#This Row],[Cell_ID]],Registre_Maintenance!A:C,3,FALSE),"Non trouvé")</f>
        <v>4.8265669999999998</v>
      </c>
      <c r="G1409" s="8">
        <f>IFERROR(VLOOKUP(LOG_RESEAU[[#This Row],[Cell_ID]],Registre_Maintenance!A:D,4,FALSE),"Non trouvé")</f>
        <v>28.535277000000001</v>
      </c>
      <c r="H1409" s="6" t="str">
        <f>IFERROR(VLOOKUP(LOG_RESEAU[[#This Row],[Cell_ID]],Registre_Maintenance!A:E,5,FALSE),"Non trouvé")</f>
        <v>3G</v>
      </c>
      <c r="I1409" s="6" t="str">
        <f>IFERROR(VLOOKUP(LOG_RESEAU[[#This Row],[Cell_ID]],Registre_Maintenance!A:F,6,FALSE),"Non trouvé")</f>
        <v>Huawei</v>
      </c>
      <c r="J1409" s="6" t="str">
        <f t="shared" si="63"/>
        <v>OK</v>
      </c>
      <c r="K1409" s="6">
        <f t="shared" si="64"/>
        <v>2</v>
      </c>
      <c r="L1409" s="6">
        <f t="shared" si="65"/>
        <v>162</v>
      </c>
    </row>
    <row r="1410" spans="1:12" hidden="1" x14ac:dyDescent="0.25">
      <c r="A1410" s="2"/>
      <c r="B1410" s="2">
        <v>45217.613194444442</v>
      </c>
      <c r="C1410" s="2">
        <v>116</v>
      </c>
      <c r="D1410" s="2" t="s">
        <v>800</v>
      </c>
      <c r="E1410" s="3" t="str">
        <f>IFERROR(VLOOKUP(LOG_RESEAU[[#This Row],[Cell_ID]],Registre_Maintenance!A:B,2,FALSE),"Non trouvé")</f>
        <v>Non trouvé</v>
      </c>
      <c r="F1410" s="3" t="str">
        <f>IFERROR(VLOOKUP(LOG_RESEAU[[#This Row],[Cell_ID]],Registre_Maintenance!A:C,3,FALSE),"Non trouvé")</f>
        <v>Non trouvé</v>
      </c>
      <c r="G1410" s="3" t="str">
        <f>IFERROR(VLOOKUP(LOG_RESEAU[[#This Row],[Cell_ID]],Registre_Maintenance!A:D,4,FALSE),"Non trouvé")</f>
        <v>Non trouvé</v>
      </c>
      <c r="H1410" s="2" t="str">
        <f>IFERROR(VLOOKUP(LOG_RESEAU[[#This Row],[Cell_ID]],Registre_Maintenance!A:E,5,FALSE),"Non trouvé")</f>
        <v>Non trouvé</v>
      </c>
      <c r="I1410" s="2" t="str">
        <f>IFERROR(VLOOKUP(LOG_RESEAU[[#This Row],[Cell_ID]],Registre_Maintenance!A:F,6,FALSE),"Non trouvé")</f>
        <v>Non trouvé</v>
      </c>
      <c r="J1410" s="2" t="str">
        <f t="shared" ref="J1410:J1473" si="66">IF(ISERROR(SEARCH("Non trouvé",F1410)),"OK","Antenne inconnue")</f>
        <v>Antenne inconnue</v>
      </c>
      <c r="K1410" s="2">
        <f t="shared" ref="K1410:K1473" si="67">COUNTIF(A:A,A1410)</f>
        <v>0</v>
      </c>
      <c r="L1410" s="2">
        <f t="shared" ref="L1410:L1473" si="68">SUMIF(A:A,A1410,C:C)</f>
        <v>0</v>
      </c>
    </row>
    <row r="1411" spans="1:12" ht="15.75" x14ac:dyDescent="0.25">
      <c r="A1411" s="6" t="s">
        <v>1109</v>
      </c>
      <c r="B1411" s="7">
        <v>45225.965277777781</v>
      </c>
      <c r="C1411" s="6">
        <v>36</v>
      </c>
      <c r="D1411" s="6" t="s">
        <v>794</v>
      </c>
      <c r="E1411" s="8" t="str">
        <f>IFERROR(VLOOKUP(LOG_RESEAU[[#This Row],[Cell_ID]],Registre_Maintenance!A:B,2,FALSE),"Non trouvé")</f>
        <v>Tanganyika</v>
      </c>
      <c r="F1411" s="8">
        <f>IFERROR(VLOOKUP(LOG_RESEAU[[#This Row],[Cell_ID]],Registre_Maintenance!A:C,3,FALSE),"Non trouvé")</f>
        <v>-9.002459</v>
      </c>
      <c r="G1411" s="8">
        <f>IFERROR(VLOOKUP(LOG_RESEAU[[#This Row],[Cell_ID]],Registre_Maintenance!A:D,4,FALSE),"Non trouvé")</f>
        <v>25.182109000000001</v>
      </c>
      <c r="H1411" s="6" t="str">
        <f>IFERROR(VLOOKUP(LOG_RESEAU[[#This Row],[Cell_ID]],Registre_Maintenance!A:E,5,FALSE),"Non trouvé")</f>
        <v>5G</v>
      </c>
      <c r="I1411" s="6" t="str">
        <f>IFERROR(VLOOKUP(LOG_RESEAU[[#This Row],[Cell_ID]],Registre_Maintenance!A:F,6,FALSE),"Non trouvé")</f>
        <v>Huawei</v>
      </c>
      <c r="J1411" s="6" t="str">
        <f t="shared" si="66"/>
        <v>OK</v>
      </c>
      <c r="K1411" s="6">
        <f t="shared" si="67"/>
        <v>2</v>
      </c>
      <c r="L1411" s="6">
        <f t="shared" si="68"/>
        <v>64</v>
      </c>
    </row>
    <row r="1412" spans="1:12" ht="15.75" x14ac:dyDescent="0.25">
      <c r="A1412" s="6" t="s">
        <v>1109</v>
      </c>
      <c r="B1412" s="7">
        <v>45220.724999999999</v>
      </c>
      <c r="C1412" s="6">
        <v>28</v>
      </c>
      <c r="D1412" s="6" t="s">
        <v>792</v>
      </c>
      <c r="E1412" s="8" t="str">
        <f>IFERROR(VLOOKUP(LOG_RESEAU[[#This Row],[Cell_ID]],Registre_Maintenance!A:B,2,FALSE),"Non trouvé")</f>
        <v>Tanganyika</v>
      </c>
      <c r="F1412" s="8">
        <f>IFERROR(VLOOKUP(LOG_RESEAU[[#This Row],[Cell_ID]],Registre_Maintenance!A:C,3,FALSE),"Non trouvé")</f>
        <v>-9.002459</v>
      </c>
      <c r="G1412" s="8">
        <f>IFERROR(VLOOKUP(LOG_RESEAU[[#This Row],[Cell_ID]],Registre_Maintenance!A:D,4,FALSE),"Non trouvé")</f>
        <v>25.182109000000001</v>
      </c>
      <c r="H1412" s="6" t="str">
        <f>IFERROR(VLOOKUP(LOG_RESEAU[[#This Row],[Cell_ID]],Registre_Maintenance!A:E,5,FALSE),"Non trouvé")</f>
        <v>5G</v>
      </c>
      <c r="I1412" s="6" t="str">
        <f>IFERROR(VLOOKUP(LOG_RESEAU[[#This Row],[Cell_ID]],Registre_Maintenance!A:F,6,FALSE),"Non trouvé")</f>
        <v>Huawei</v>
      </c>
      <c r="J1412" s="6" t="str">
        <f t="shared" si="66"/>
        <v>OK</v>
      </c>
      <c r="K1412" s="6">
        <f t="shared" si="67"/>
        <v>2</v>
      </c>
      <c r="L1412" s="6">
        <f t="shared" si="68"/>
        <v>64</v>
      </c>
    </row>
    <row r="1413" spans="1:12" ht="15.75" x14ac:dyDescent="0.25">
      <c r="A1413" s="6" t="s">
        <v>1471</v>
      </c>
      <c r="B1413" s="7">
        <v>45228.515277777777</v>
      </c>
      <c r="C1413" s="6">
        <v>105</v>
      </c>
      <c r="D1413" s="6" t="s">
        <v>794</v>
      </c>
      <c r="E1413" s="8" t="str">
        <f>IFERROR(VLOOKUP(LOG_RESEAU[[#This Row],[Cell_ID]],Registre_Maintenance!A:B,2,FALSE),"Non trouvé")</f>
        <v>Tshopo</v>
      </c>
      <c r="F1413" s="8">
        <f>IFERROR(VLOOKUP(LOG_RESEAU[[#This Row],[Cell_ID]],Registre_Maintenance!A:C,3,FALSE),"Non trouvé")</f>
        <v>-0.919767</v>
      </c>
      <c r="G1413" s="8">
        <f>IFERROR(VLOOKUP(LOG_RESEAU[[#This Row],[Cell_ID]],Registre_Maintenance!A:D,4,FALSE),"Non trouvé")</f>
        <v>18.905538</v>
      </c>
      <c r="H1413" s="6" t="str">
        <f>IFERROR(VLOOKUP(LOG_RESEAU[[#This Row],[Cell_ID]],Registre_Maintenance!A:E,5,FALSE),"Non trouvé")</f>
        <v>5G</v>
      </c>
      <c r="I1413" s="6" t="str">
        <f>IFERROR(VLOOKUP(LOG_RESEAU[[#This Row],[Cell_ID]],Registre_Maintenance!A:F,6,FALSE),"Non trouvé")</f>
        <v>Ericsson</v>
      </c>
      <c r="J1413" s="6" t="str">
        <f t="shared" si="66"/>
        <v>OK</v>
      </c>
      <c r="K1413" s="6">
        <f t="shared" si="67"/>
        <v>1</v>
      </c>
      <c r="L1413" s="6">
        <f t="shared" si="68"/>
        <v>105</v>
      </c>
    </row>
    <row r="1414" spans="1:12" ht="15.75" x14ac:dyDescent="0.25">
      <c r="A1414" s="6" t="s">
        <v>1237</v>
      </c>
      <c r="B1414" s="7">
        <v>45230.776388888888</v>
      </c>
      <c r="C1414" s="6">
        <v>55</v>
      </c>
      <c r="D1414" s="6" t="s">
        <v>800</v>
      </c>
      <c r="E1414" s="8" t="str">
        <f>IFERROR(VLOOKUP(LOG_RESEAU[[#This Row],[Cell_ID]],Registre_Maintenance!A:B,2,FALSE),"Non trouvé")</f>
        <v>Non trouvé</v>
      </c>
      <c r="F1414" s="8" t="str">
        <f>IFERROR(VLOOKUP(LOG_RESEAU[[#This Row],[Cell_ID]],Registre_Maintenance!A:C,3,FALSE),"Non trouvé")</f>
        <v>Non trouvé</v>
      </c>
      <c r="G1414" s="8" t="str">
        <f>IFERROR(VLOOKUP(LOG_RESEAU[[#This Row],[Cell_ID]],Registre_Maintenance!A:D,4,FALSE),"Non trouvé")</f>
        <v>Non trouvé</v>
      </c>
      <c r="H1414" s="6" t="str">
        <f>IFERROR(VLOOKUP(LOG_RESEAU[[#This Row],[Cell_ID]],Registre_Maintenance!A:E,5,FALSE),"Non trouvé")</f>
        <v>Non trouvé</v>
      </c>
      <c r="I1414" s="6" t="str">
        <f>IFERROR(VLOOKUP(LOG_RESEAU[[#This Row],[Cell_ID]],Registre_Maintenance!A:F,6,FALSE),"Non trouvé")</f>
        <v>Non trouvé</v>
      </c>
      <c r="J1414" s="6" t="str">
        <f t="shared" si="66"/>
        <v>Antenne inconnue</v>
      </c>
      <c r="K1414" s="6">
        <f t="shared" si="67"/>
        <v>2</v>
      </c>
      <c r="L1414" s="6">
        <f t="shared" si="68"/>
        <v>145</v>
      </c>
    </row>
    <row r="1415" spans="1:12" ht="15.75" x14ac:dyDescent="0.25">
      <c r="A1415" s="6" t="s">
        <v>1237</v>
      </c>
      <c r="B1415" s="7">
        <v>45229.429861111108</v>
      </c>
      <c r="C1415" s="6">
        <v>90</v>
      </c>
      <c r="D1415" s="6" t="s">
        <v>794</v>
      </c>
      <c r="E1415" s="8" t="str">
        <f>IFERROR(VLOOKUP(LOG_RESEAU[[#This Row],[Cell_ID]],Registre_Maintenance!A:B,2,FALSE),"Non trouvé")</f>
        <v>Non trouvé</v>
      </c>
      <c r="F1415" s="8" t="str">
        <f>IFERROR(VLOOKUP(LOG_RESEAU[[#This Row],[Cell_ID]],Registre_Maintenance!A:C,3,FALSE),"Non trouvé")</f>
        <v>Non trouvé</v>
      </c>
      <c r="G1415" s="8" t="str">
        <f>IFERROR(VLOOKUP(LOG_RESEAU[[#This Row],[Cell_ID]],Registre_Maintenance!A:D,4,FALSE),"Non trouvé")</f>
        <v>Non trouvé</v>
      </c>
      <c r="H1415" s="6" t="str">
        <f>IFERROR(VLOOKUP(LOG_RESEAU[[#This Row],[Cell_ID]],Registre_Maintenance!A:E,5,FALSE),"Non trouvé")</f>
        <v>Non trouvé</v>
      </c>
      <c r="I1415" s="6" t="str">
        <f>IFERROR(VLOOKUP(LOG_RESEAU[[#This Row],[Cell_ID]],Registre_Maintenance!A:F,6,FALSE),"Non trouvé")</f>
        <v>Non trouvé</v>
      </c>
      <c r="J1415" s="6" t="str">
        <f t="shared" si="66"/>
        <v>Antenne inconnue</v>
      </c>
      <c r="K1415" s="6">
        <f t="shared" si="67"/>
        <v>2</v>
      </c>
      <c r="L1415" s="6">
        <f t="shared" si="68"/>
        <v>145</v>
      </c>
    </row>
    <row r="1416" spans="1:12" ht="15.75" x14ac:dyDescent="0.25">
      <c r="A1416" s="6" t="s">
        <v>1537</v>
      </c>
      <c r="B1416" s="7">
        <v>45224.709722222222</v>
      </c>
      <c r="C1416" s="6">
        <v>62</v>
      </c>
      <c r="D1416" s="6" t="s">
        <v>800</v>
      </c>
      <c r="E1416" s="8" t="str">
        <f>IFERROR(VLOOKUP(LOG_RESEAU[[#This Row],[Cell_ID]],Registre_Maintenance!A:B,2,FALSE),"Non trouvé")</f>
        <v>Non trouvé</v>
      </c>
      <c r="F1416" s="8" t="str">
        <f>IFERROR(VLOOKUP(LOG_RESEAU[[#This Row],[Cell_ID]],Registre_Maintenance!A:C,3,FALSE),"Non trouvé")</f>
        <v>Non trouvé</v>
      </c>
      <c r="G1416" s="8" t="str">
        <f>IFERROR(VLOOKUP(LOG_RESEAU[[#This Row],[Cell_ID]],Registre_Maintenance!A:D,4,FALSE),"Non trouvé")</f>
        <v>Non trouvé</v>
      </c>
      <c r="H1416" s="6" t="str">
        <f>IFERROR(VLOOKUP(LOG_RESEAU[[#This Row],[Cell_ID]],Registre_Maintenance!A:E,5,FALSE),"Non trouvé")</f>
        <v>Non trouvé</v>
      </c>
      <c r="I1416" s="6" t="str">
        <f>IFERROR(VLOOKUP(LOG_RESEAU[[#This Row],[Cell_ID]],Registre_Maintenance!A:F,6,FALSE),"Non trouvé")</f>
        <v>Non trouvé</v>
      </c>
      <c r="J1416" s="6" t="str">
        <f t="shared" si="66"/>
        <v>Antenne inconnue</v>
      </c>
      <c r="K1416" s="6">
        <f t="shared" si="67"/>
        <v>1</v>
      </c>
      <c r="L1416" s="6">
        <f t="shared" si="68"/>
        <v>62</v>
      </c>
    </row>
    <row r="1417" spans="1:12" ht="15.75" x14ac:dyDescent="0.25">
      <c r="A1417" s="6" t="s">
        <v>1362</v>
      </c>
      <c r="B1417" s="7">
        <v>45219.925694444442</v>
      </c>
      <c r="C1417" s="6">
        <v>22</v>
      </c>
      <c r="D1417" s="6" t="s">
        <v>794</v>
      </c>
      <c r="E1417" s="8" t="str">
        <f>IFERROR(VLOOKUP(LOG_RESEAU[[#This Row],[Cell_ID]],Registre_Maintenance!A:B,2,FALSE),"Non trouvé")</f>
        <v>Non trouvé</v>
      </c>
      <c r="F1417" s="8" t="str">
        <f>IFERROR(VLOOKUP(LOG_RESEAU[[#This Row],[Cell_ID]],Registre_Maintenance!A:C,3,FALSE),"Non trouvé")</f>
        <v>Non trouvé</v>
      </c>
      <c r="G1417" s="8" t="str">
        <f>IFERROR(VLOOKUP(LOG_RESEAU[[#This Row],[Cell_ID]],Registre_Maintenance!A:D,4,FALSE),"Non trouvé")</f>
        <v>Non trouvé</v>
      </c>
      <c r="H1417" s="6" t="str">
        <f>IFERROR(VLOOKUP(LOG_RESEAU[[#This Row],[Cell_ID]],Registre_Maintenance!A:E,5,FALSE),"Non trouvé")</f>
        <v>Non trouvé</v>
      </c>
      <c r="I1417" s="6" t="str">
        <f>IFERROR(VLOOKUP(LOG_RESEAU[[#This Row],[Cell_ID]],Registre_Maintenance!A:F,6,FALSE),"Non trouvé")</f>
        <v>Non trouvé</v>
      </c>
      <c r="J1417" s="6" t="str">
        <f t="shared" si="66"/>
        <v>Antenne inconnue</v>
      </c>
      <c r="K1417" s="6">
        <f t="shared" si="67"/>
        <v>2</v>
      </c>
      <c r="L1417" s="6">
        <f t="shared" si="68"/>
        <v>49</v>
      </c>
    </row>
    <row r="1418" spans="1:12" ht="15.75" x14ac:dyDescent="0.25">
      <c r="A1418" s="6" t="s">
        <v>1362</v>
      </c>
      <c r="B1418" s="7">
        <v>45229.772222222222</v>
      </c>
      <c r="C1418" s="6">
        <v>27</v>
      </c>
      <c r="D1418" s="6" t="s">
        <v>794</v>
      </c>
      <c r="E1418" s="8" t="str">
        <f>IFERROR(VLOOKUP(LOG_RESEAU[[#This Row],[Cell_ID]],Registre_Maintenance!A:B,2,FALSE),"Non trouvé")</f>
        <v>Non trouvé</v>
      </c>
      <c r="F1418" s="8" t="str">
        <f>IFERROR(VLOOKUP(LOG_RESEAU[[#This Row],[Cell_ID]],Registre_Maintenance!A:C,3,FALSE),"Non trouvé")</f>
        <v>Non trouvé</v>
      </c>
      <c r="G1418" s="8" t="str">
        <f>IFERROR(VLOOKUP(LOG_RESEAU[[#This Row],[Cell_ID]],Registre_Maintenance!A:D,4,FALSE),"Non trouvé")</f>
        <v>Non trouvé</v>
      </c>
      <c r="H1418" s="6" t="str">
        <f>IFERROR(VLOOKUP(LOG_RESEAU[[#This Row],[Cell_ID]],Registre_Maintenance!A:E,5,FALSE),"Non trouvé")</f>
        <v>Non trouvé</v>
      </c>
      <c r="I1418" s="6" t="str">
        <f>IFERROR(VLOOKUP(LOG_RESEAU[[#This Row],[Cell_ID]],Registre_Maintenance!A:F,6,FALSE),"Non trouvé")</f>
        <v>Non trouvé</v>
      </c>
      <c r="J1418" s="6" t="str">
        <f t="shared" si="66"/>
        <v>Antenne inconnue</v>
      </c>
      <c r="K1418" s="6">
        <f t="shared" si="67"/>
        <v>2</v>
      </c>
      <c r="L1418" s="6">
        <f t="shared" si="68"/>
        <v>49</v>
      </c>
    </row>
    <row r="1419" spans="1:12" ht="15.75" x14ac:dyDescent="0.25">
      <c r="A1419" s="6" t="s">
        <v>1256</v>
      </c>
      <c r="B1419" s="7">
        <v>45213.446527777778</v>
      </c>
      <c r="C1419" s="6">
        <v>111</v>
      </c>
      <c r="D1419" s="6" t="s">
        <v>794</v>
      </c>
      <c r="E1419" s="8" t="str">
        <f>IFERROR(VLOOKUP(LOG_RESEAU[[#This Row],[Cell_ID]],Registre_Maintenance!A:B,2,FALSE),"Non trouvé")</f>
        <v>Non trouvé</v>
      </c>
      <c r="F1419" s="8" t="str">
        <f>IFERROR(VLOOKUP(LOG_RESEAU[[#This Row],[Cell_ID]],Registre_Maintenance!A:C,3,FALSE),"Non trouvé")</f>
        <v>Non trouvé</v>
      </c>
      <c r="G1419" s="8" t="str">
        <f>IFERROR(VLOOKUP(LOG_RESEAU[[#This Row],[Cell_ID]],Registre_Maintenance!A:D,4,FALSE),"Non trouvé")</f>
        <v>Non trouvé</v>
      </c>
      <c r="H1419" s="6" t="str">
        <f>IFERROR(VLOOKUP(LOG_RESEAU[[#This Row],[Cell_ID]],Registre_Maintenance!A:E,5,FALSE),"Non trouvé")</f>
        <v>Non trouvé</v>
      </c>
      <c r="I1419" s="6" t="str">
        <f>IFERROR(VLOOKUP(LOG_RESEAU[[#This Row],[Cell_ID]],Registre_Maintenance!A:F,6,FALSE),"Non trouvé")</f>
        <v>Non trouvé</v>
      </c>
      <c r="J1419" s="6" t="str">
        <f t="shared" si="66"/>
        <v>Antenne inconnue</v>
      </c>
      <c r="K1419" s="6">
        <f t="shared" si="67"/>
        <v>2</v>
      </c>
      <c r="L1419" s="6">
        <f t="shared" si="68"/>
        <v>133</v>
      </c>
    </row>
    <row r="1420" spans="1:12" ht="15.75" x14ac:dyDescent="0.25">
      <c r="A1420" s="6" t="s">
        <v>1256</v>
      </c>
      <c r="B1420" s="7">
        <v>45200.931250000001</v>
      </c>
      <c r="C1420" s="6">
        <v>22</v>
      </c>
      <c r="D1420" s="6" t="s">
        <v>794</v>
      </c>
      <c r="E1420" s="8" t="str">
        <f>IFERROR(VLOOKUP(LOG_RESEAU[[#This Row],[Cell_ID]],Registre_Maintenance!A:B,2,FALSE),"Non trouvé")</f>
        <v>Non trouvé</v>
      </c>
      <c r="F1420" s="8" t="str">
        <f>IFERROR(VLOOKUP(LOG_RESEAU[[#This Row],[Cell_ID]],Registre_Maintenance!A:C,3,FALSE),"Non trouvé")</f>
        <v>Non trouvé</v>
      </c>
      <c r="G1420" s="8" t="str">
        <f>IFERROR(VLOOKUP(LOG_RESEAU[[#This Row],[Cell_ID]],Registre_Maintenance!A:D,4,FALSE),"Non trouvé")</f>
        <v>Non trouvé</v>
      </c>
      <c r="H1420" s="6" t="str">
        <f>IFERROR(VLOOKUP(LOG_RESEAU[[#This Row],[Cell_ID]],Registre_Maintenance!A:E,5,FALSE),"Non trouvé")</f>
        <v>Non trouvé</v>
      </c>
      <c r="I1420" s="6" t="str">
        <f>IFERROR(VLOOKUP(LOG_RESEAU[[#This Row],[Cell_ID]],Registre_Maintenance!A:F,6,FALSE),"Non trouvé")</f>
        <v>Non trouvé</v>
      </c>
      <c r="J1420" s="6" t="str">
        <f t="shared" si="66"/>
        <v>Antenne inconnue</v>
      </c>
      <c r="K1420" s="6">
        <f t="shared" si="67"/>
        <v>2</v>
      </c>
      <c r="L1420" s="6">
        <f t="shared" si="68"/>
        <v>133</v>
      </c>
    </row>
    <row r="1421" spans="1:12" ht="15.75" x14ac:dyDescent="0.25">
      <c r="A1421" s="6" t="s">
        <v>1336</v>
      </c>
      <c r="B1421" s="7">
        <v>45218.011111111111</v>
      </c>
      <c r="C1421" s="6">
        <v>59</v>
      </c>
      <c r="D1421" s="6" t="s">
        <v>794</v>
      </c>
      <c r="E1421" s="8" t="str">
        <f>IFERROR(VLOOKUP(LOG_RESEAU[[#This Row],[Cell_ID]],Registre_Maintenance!A:B,2,FALSE),"Non trouvé")</f>
        <v>Non trouvé</v>
      </c>
      <c r="F1421" s="8" t="str">
        <f>IFERROR(VLOOKUP(LOG_RESEAU[[#This Row],[Cell_ID]],Registre_Maintenance!A:C,3,FALSE),"Non trouvé")</f>
        <v>Non trouvé</v>
      </c>
      <c r="G1421" s="8" t="str">
        <f>IFERROR(VLOOKUP(LOG_RESEAU[[#This Row],[Cell_ID]],Registre_Maintenance!A:D,4,FALSE),"Non trouvé")</f>
        <v>Non trouvé</v>
      </c>
      <c r="H1421" s="6" t="str">
        <f>IFERROR(VLOOKUP(LOG_RESEAU[[#This Row],[Cell_ID]],Registre_Maintenance!A:E,5,FALSE),"Non trouvé")</f>
        <v>Non trouvé</v>
      </c>
      <c r="I1421" s="6" t="str">
        <f>IFERROR(VLOOKUP(LOG_RESEAU[[#This Row],[Cell_ID]],Registre_Maintenance!A:F,6,FALSE),"Non trouvé")</f>
        <v>Non trouvé</v>
      </c>
      <c r="J1421" s="6" t="str">
        <f t="shared" si="66"/>
        <v>Antenne inconnue</v>
      </c>
      <c r="K1421" s="6">
        <f t="shared" si="67"/>
        <v>1</v>
      </c>
      <c r="L1421" s="6">
        <f t="shared" si="68"/>
        <v>59</v>
      </c>
    </row>
    <row r="1422" spans="1:12" ht="15.75" x14ac:dyDescent="0.25">
      <c r="A1422" s="6" t="s">
        <v>1354</v>
      </c>
      <c r="B1422" s="7">
        <v>45205.729166666657</v>
      </c>
      <c r="C1422" s="6">
        <v>106</v>
      </c>
      <c r="D1422" s="6" t="s">
        <v>792</v>
      </c>
      <c r="E1422" s="8" t="str">
        <f>IFERROR(VLOOKUP(LOG_RESEAU[[#This Row],[Cell_ID]],Registre_Maintenance!A:B,2,FALSE),"Non trouvé")</f>
        <v>Haut-Katanga</v>
      </c>
      <c r="F1422" s="8">
        <f>IFERROR(VLOOKUP(LOG_RESEAU[[#This Row],[Cell_ID]],Registre_Maintenance!A:C,3,FALSE),"Non trouvé")</f>
        <v>-4.4958720000000003</v>
      </c>
      <c r="G1422" s="8">
        <f>IFERROR(VLOOKUP(LOG_RESEAU[[#This Row],[Cell_ID]],Registre_Maintenance!A:D,4,FALSE),"Non trouvé")</f>
        <v>18.514112000000001</v>
      </c>
      <c r="H1422" s="6" t="str">
        <f>IFERROR(VLOOKUP(LOG_RESEAU[[#This Row],[Cell_ID]],Registre_Maintenance!A:E,5,FALSE),"Non trouvé")</f>
        <v>4G</v>
      </c>
      <c r="I1422" s="6" t="str">
        <f>IFERROR(VLOOKUP(LOG_RESEAU[[#This Row],[Cell_ID]],Registre_Maintenance!A:F,6,FALSE),"Non trouvé")</f>
        <v>Nokia</v>
      </c>
      <c r="J1422" s="6" t="str">
        <f t="shared" si="66"/>
        <v>OK</v>
      </c>
      <c r="K1422" s="6">
        <f t="shared" si="67"/>
        <v>2</v>
      </c>
      <c r="L1422" s="6">
        <f t="shared" si="68"/>
        <v>148</v>
      </c>
    </row>
    <row r="1423" spans="1:12" ht="15.75" x14ac:dyDescent="0.25">
      <c r="A1423" s="6" t="s">
        <v>1354</v>
      </c>
      <c r="B1423" s="7">
        <v>45223.293749999997</v>
      </c>
      <c r="C1423" s="6">
        <v>42</v>
      </c>
      <c r="D1423" s="6" t="s">
        <v>792</v>
      </c>
      <c r="E1423" s="8" t="str">
        <f>IFERROR(VLOOKUP(LOG_RESEAU[[#This Row],[Cell_ID]],Registre_Maintenance!A:B,2,FALSE),"Non trouvé")</f>
        <v>Haut-Katanga</v>
      </c>
      <c r="F1423" s="8">
        <f>IFERROR(VLOOKUP(LOG_RESEAU[[#This Row],[Cell_ID]],Registre_Maintenance!A:C,3,FALSE),"Non trouvé")</f>
        <v>-4.4958720000000003</v>
      </c>
      <c r="G1423" s="8">
        <f>IFERROR(VLOOKUP(LOG_RESEAU[[#This Row],[Cell_ID]],Registre_Maintenance!A:D,4,FALSE),"Non trouvé")</f>
        <v>18.514112000000001</v>
      </c>
      <c r="H1423" s="6" t="str">
        <f>IFERROR(VLOOKUP(LOG_RESEAU[[#This Row],[Cell_ID]],Registre_Maintenance!A:E,5,FALSE),"Non trouvé")</f>
        <v>4G</v>
      </c>
      <c r="I1423" s="6" t="str">
        <f>IFERROR(VLOOKUP(LOG_RESEAU[[#This Row],[Cell_ID]],Registre_Maintenance!A:F,6,FALSE),"Non trouvé")</f>
        <v>Nokia</v>
      </c>
      <c r="J1423" s="6" t="str">
        <f t="shared" si="66"/>
        <v>OK</v>
      </c>
      <c r="K1423" s="6">
        <f t="shared" si="67"/>
        <v>2</v>
      </c>
      <c r="L1423" s="6">
        <f t="shared" si="68"/>
        <v>148</v>
      </c>
    </row>
    <row r="1424" spans="1:12" ht="15.75" x14ac:dyDescent="0.25">
      <c r="A1424" s="6" t="s">
        <v>1036</v>
      </c>
      <c r="B1424" s="7">
        <v>45214.870138888888</v>
      </c>
      <c r="C1424" s="6">
        <v>72</v>
      </c>
      <c r="D1424" s="6" t="s">
        <v>794</v>
      </c>
      <c r="E1424" s="8" t="str">
        <f>IFERROR(VLOOKUP(LOG_RESEAU[[#This Row],[Cell_ID]],Registre_Maintenance!A:B,2,FALSE),"Non trouvé")</f>
        <v>Non trouvé</v>
      </c>
      <c r="F1424" s="8" t="str">
        <f>IFERROR(VLOOKUP(LOG_RESEAU[[#This Row],[Cell_ID]],Registre_Maintenance!A:C,3,FALSE),"Non trouvé")</f>
        <v>Non trouvé</v>
      </c>
      <c r="G1424" s="8" t="str">
        <f>IFERROR(VLOOKUP(LOG_RESEAU[[#This Row],[Cell_ID]],Registre_Maintenance!A:D,4,FALSE),"Non trouvé")</f>
        <v>Non trouvé</v>
      </c>
      <c r="H1424" s="6" t="str">
        <f>IFERROR(VLOOKUP(LOG_RESEAU[[#This Row],[Cell_ID]],Registre_Maintenance!A:E,5,FALSE),"Non trouvé")</f>
        <v>Non trouvé</v>
      </c>
      <c r="I1424" s="6" t="str">
        <f>IFERROR(VLOOKUP(LOG_RESEAU[[#This Row],[Cell_ID]],Registre_Maintenance!A:F,6,FALSE),"Non trouvé")</f>
        <v>Non trouvé</v>
      </c>
      <c r="J1424" s="6" t="str">
        <f t="shared" si="66"/>
        <v>Antenne inconnue</v>
      </c>
      <c r="K1424" s="6">
        <f t="shared" si="67"/>
        <v>5</v>
      </c>
      <c r="L1424" s="6">
        <f t="shared" si="68"/>
        <v>390</v>
      </c>
    </row>
    <row r="1425" spans="1:12" ht="15.75" x14ac:dyDescent="0.25">
      <c r="A1425" s="6" t="s">
        <v>1036</v>
      </c>
      <c r="B1425" s="7">
        <v>45211.105555555558</v>
      </c>
      <c r="C1425" s="6">
        <v>67</v>
      </c>
      <c r="D1425" s="6" t="s">
        <v>794</v>
      </c>
      <c r="E1425" s="8" t="str">
        <f>IFERROR(VLOOKUP(LOG_RESEAU[[#This Row],[Cell_ID]],Registre_Maintenance!A:B,2,FALSE),"Non trouvé")</f>
        <v>Non trouvé</v>
      </c>
      <c r="F1425" s="8" t="str">
        <f>IFERROR(VLOOKUP(LOG_RESEAU[[#This Row],[Cell_ID]],Registre_Maintenance!A:C,3,FALSE),"Non trouvé")</f>
        <v>Non trouvé</v>
      </c>
      <c r="G1425" s="8" t="str">
        <f>IFERROR(VLOOKUP(LOG_RESEAU[[#This Row],[Cell_ID]],Registre_Maintenance!A:D,4,FALSE),"Non trouvé")</f>
        <v>Non trouvé</v>
      </c>
      <c r="H1425" s="6" t="str">
        <f>IFERROR(VLOOKUP(LOG_RESEAU[[#This Row],[Cell_ID]],Registre_Maintenance!A:E,5,FALSE),"Non trouvé")</f>
        <v>Non trouvé</v>
      </c>
      <c r="I1425" s="6" t="str">
        <f>IFERROR(VLOOKUP(LOG_RESEAU[[#This Row],[Cell_ID]],Registre_Maintenance!A:F,6,FALSE),"Non trouvé")</f>
        <v>Non trouvé</v>
      </c>
      <c r="J1425" s="6" t="str">
        <f t="shared" si="66"/>
        <v>Antenne inconnue</v>
      </c>
      <c r="K1425" s="6">
        <f t="shared" si="67"/>
        <v>5</v>
      </c>
      <c r="L1425" s="6">
        <f t="shared" si="68"/>
        <v>390</v>
      </c>
    </row>
    <row r="1426" spans="1:12" ht="15.75" x14ac:dyDescent="0.25">
      <c r="A1426" s="6" t="s">
        <v>1036</v>
      </c>
      <c r="B1426" s="7">
        <v>45205.11041666667</v>
      </c>
      <c r="C1426" s="6">
        <v>104</v>
      </c>
      <c r="D1426" s="6" t="s">
        <v>794</v>
      </c>
      <c r="E1426" s="8" t="str">
        <f>IFERROR(VLOOKUP(LOG_RESEAU[[#This Row],[Cell_ID]],Registre_Maintenance!A:B,2,FALSE),"Non trouvé")</f>
        <v>Non trouvé</v>
      </c>
      <c r="F1426" s="8" t="str">
        <f>IFERROR(VLOOKUP(LOG_RESEAU[[#This Row],[Cell_ID]],Registre_Maintenance!A:C,3,FALSE),"Non trouvé")</f>
        <v>Non trouvé</v>
      </c>
      <c r="G1426" s="8" t="str">
        <f>IFERROR(VLOOKUP(LOG_RESEAU[[#This Row],[Cell_ID]],Registre_Maintenance!A:D,4,FALSE),"Non trouvé")</f>
        <v>Non trouvé</v>
      </c>
      <c r="H1426" s="6" t="str">
        <f>IFERROR(VLOOKUP(LOG_RESEAU[[#This Row],[Cell_ID]],Registre_Maintenance!A:E,5,FALSE),"Non trouvé")</f>
        <v>Non trouvé</v>
      </c>
      <c r="I1426" s="6" t="str">
        <f>IFERROR(VLOOKUP(LOG_RESEAU[[#This Row],[Cell_ID]],Registre_Maintenance!A:F,6,FALSE),"Non trouvé")</f>
        <v>Non trouvé</v>
      </c>
      <c r="J1426" s="6" t="str">
        <f t="shared" si="66"/>
        <v>Antenne inconnue</v>
      </c>
      <c r="K1426" s="6">
        <f t="shared" si="67"/>
        <v>5</v>
      </c>
      <c r="L1426" s="6">
        <f t="shared" si="68"/>
        <v>390</v>
      </c>
    </row>
    <row r="1427" spans="1:12" ht="15.75" x14ac:dyDescent="0.25">
      <c r="A1427" s="6" t="s">
        <v>1036</v>
      </c>
      <c r="B1427" s="7">
        <v>45227.306250000001</v>
      </c>
      <c r="C1427" s="6">
        <v>71</v>
      </c>
      <c r="D1427" s="6" t="s">
        <v>800</v>
      </c>
      <c r="E1427" s="8" t="str">
        <f>IFERROR(VLOOKUP(LOG_RESEAU[[#This Row],[Cell_ID]],Registre_Maintenance!A:B,2,FALSE),"Non trouvé")</f>
        <v>Non trouvé</v>
      </c>
      <c r="F1427" s="8" t="str">
        <f>IFERROR(VLOOKUP(LOG_RESEAU[[#This Row],[Cell_ID]],Registre_Maintenance!A:C,3,FALSE),"Non trouvé")</f>
        <v>Non trouvé</v>
      </c>
      <c r="G1427" s="8" t="str">
        <f>IFERROR(VLOOKUP(LOG_RESEAU[[#This Row],[Cell_ID]],Registre_Maintenance!A:D,4,FALSE),"Non trouvé")</f>
        <v>Non trouvé</v>
      </c>
      <c r="H1427" s="6" t="str">
        <f>IFERROR(VLOOKUP(LOG_RESEAU[[#This Row],[Cell_ID]],Registre_Maintenance!A:E,5,FALSE),"Non trouvé")</f>
        <v>Non trouvé</v>
      </c>
      <c r="I1427" s="6" t="str">
        <f>IFERROR(VLOOKUP(LOG_RESEAU[[#This Row],[Cell_ID]],Registre_Maintenance!A:F,6,FALSE),"Non trouvé")</f>
        <v>Non trouvé</v>
      </c>
      <c r="J1427" s="6" t="str">
        <f t="shared" si="66"/>
        <v>Antenne inconnue</v>
      </c>
      <c r="K1427" s="6">
        <f t="shared" si="67"/>
        <v>5</v>
      </c>
      <c r="L1427" s="6">
        <f t="shared" si="68"/>
        <v>390</v>
      </c>
    </row>
    <row r="1428" spans="1:12" ht="15.75" x14ac:dyDescent="0.25">
      <c r="A1428" s="6" t="s">
        <v>1036</v>
      </c>
      <c r="B1428" s="7">
        <v>45214.193055555559</v>
      </c>
      <c r="C1428" s="6">
        <v>76</v>
      </c>
      <c r="D1428" s="6" t="s">
        <v>792</v>
      </c>
      <c r="E1428" s="8" t="str">
        <f>IFERROR(VLOOKUP(LOG_RESEAU[[#This Row],[Cell_ID]],Registre_Maintenance!A:B,2,FALSE),"Non trouvé")</f>
        <v>Non trouvé</v>
      </c>
      <c r="F1428" s="8" t="str">
        <f>IFERROR(VLOOKUP(LOG_RESEAU[[#This Row],[Cell_ID]],Registre_Maintenance!A:C,3,FALSE),"Non trouvé")</f>
        <v>Non trouvé</v>
      </c>
      <c r="G1428" s="8" t="str">
        <f>IFERROR(VLOOKUP(LOG_RESEAU[[#This Row],[Cell_ID]],Registre_Maintenance!A:D,4,FALSE),"Non trouvé")</f>
        <v>Non trouvé</v>
      </c>
      <c r="H1428" s="6" t="str">
        <f>IFERROR(VLOOKUP(LOG_RESEAU[[#This Row],[Cell_ID]],Registre_Maintenance!A:E,5,FALSE),"Non trouvé")</f>
        <v>Non trouvé</v>
      </c>
      <c r="I1428" s="6" t="str">
        <f>IFERROR(VLOOKUP(LOG_RESEAU[[#This Row],[Cell_ID]],Registre_Maintenance!A:F,6,FALSE),"Non trouvé")</f>
        <v>Non trouvé</v>
      </c>
      <c r="J1428" s="6" t="str">
        <f t="shared" si="66"/>
        <v>Antenne inconnue</v>
      </c>
      <c r="K1428" s="6">
        <f t="shared" si="67"/>
        <v>5</v>
      </c>
      <c r="L1428" s="6">
        <f t="shared" si="68"/>
        <v>390</v>
      </c>
    </row>
    <row r="1429" spans="1:12" ht="15.75" x14ac:dyDescent="0.25">
      <c r="A1429" s="6" t="s">
        <v>1343</v>
      </c>
      <c r="B1429" s="7">
        <v>45221.283333333333</v>
      </c>
      <c r="C1429" s="6">
        <v>22</v>
      </c>
      <c r="D1429" s="6" t="s">
        <v>794</v>
      </c>
      <c r="E1429" s="8" t="str">
        <f>IFERROR(VLOOKUP(LOG_RESEAU[[#This Row],[Cell_ID]],Registre_Maintenance!A:B,2,FALSE),"Non trouvé")</f>
        <v>Kinshasa</v>
      </c>
      <c r="F1429" s="8">
        <f>IFERROR(VLOOKUP(LOG_RESEAU[[#This Row],[Cell_ID]],Registre_Maintenance!A:C,3,FALSE),"Non trouvé")</f>
        <v>-2.6665070000000002</v>
      </c>
      <c r="G1429" s="8">
        <f>IFERROR(VLOOKUP(LOG_RESEAU[[#This Row],[Cell_ID]],Registre_Maintenance!A:D,4,FALSE),"Non trouvé")</f>
        <v>18.623692999999999</v>
      </c>
      <c r="H1429" s="6" t="str">
        <f>IFERROR(VLOOKUP(LOG_RESEAU[[#This Row],[Cell_ID]],Registre_Maintenance!A:E,5,FALSE),"Non trouvé")</f>
        <v>3G</v>
      </c>
      <c r="I1429" s="6" t="str">
        <f>IFERROR(VLOOKUP(LOG_RESEAU[[#This Row],[Cell_ID]],Registre_Maintenance!A:F,6,FALSE),"Non trouvé")</f>
        <v>ZTE</v>
      </c>
      <c r="J1429" s="6" t="str">
        <f t="shared" si="66"/>
        <v>OK</v>
      </c>
      <c r="K1429" s="6">
        <f t="shared" si="67"/>
        <v>2</v>
      </c>
      <c r="L1429" s="6">
        <f t="shared" si="68"/>
        <v>121</v>
      </c>
    </row>
    <row r="1430" spans="1:12" ht="15.75" x14ac:dyDescent="0.25">
      <c r="A1430" s="6" t="s">
        <v>1343</v>
      </c>
      <c r="B1430" s="7">
        <v>45215.056944444441</v>
      </c>
      <c r="C1430" s="6">
        <v>99</v>
      </c>
      <c r="D1430" s="6" t="s">
        <v>800</v>
      </c>
      <c r="E1430" s="8" t="str">
        <f>IFERROR(VLOOKUP(LOG_RESEAU[[#This Row],[Cell_ID]],Registre_Maintenance!A:B,2,FALSE),"Non trouvé")</f>
        <v>Kinshasa</v>
      </c>
      <c r="F1430" s="8">
        <f>IFERROR(VLOOKUP(LOG_RESEAU[[#This Row],[Cell_ID]],Registre_Maintenance!A:C,3,FALSE),"Non trouvé")</f>
        <v>-2.6665070000000002</v>
      </c>
      <c r="G1430" s="8">
        <f>IFERROR(VLOOKUP(LOG_RESEAU[[#This Row],[Cell_ID]],Registre_Maintenance!A:D,4,FALSE),"Non trouvé")</f>
        <v>18.623692999999999</v>
      </c>
      <c r="H1430" s="6" t="str">
        <f>IFERROR(VLOOKUP(LOG_RESEAU[[#This Row],[Cell_ID]],Registre_Maintenance!A:E,5,FALSE),"Non trouvé")</f>
        <v>3G</v>
      </c>
      <c r="I1430" s="6" t="str">
        <f>IFERROR(VLOOKUP(LOG_RESEAU[[#This Row],[Cell_ID]],Registre_Maintenance!A:F,6,FALSE),"Non trouvé")</f>
        <v>ZTE</v>
      </c>
      <c r="J1430" s="6" t="str">
        <f t="shared" si="66"/>
        <v>OK</v>
      </c>
      <c r="K1430" s="6">
        <f t="shared" si="67"/>
        <v>2</v>
      </c>
      <c r="L1430" s="6">
        <f t="shared" si="68"/>
        <v>121</v>
      </c>
    </row>
    <row r="1431" spans="1:12" ht="15.75" x14ac:dyDescent="0.25">
      <c r="A1431" s="6" t="s">
        <v>1330</v>
      </c>
      <c r="B1431" s="7">
        <v>45209.925694444442</v>
      </c>
      <c r="C1431" s="6">
        <v>35</v>
      </c>
      <c r="D1431" s="6" t="s">
        <v>794</v>
      </c>
      <c r="E1431" s="8" t="str">
        <f>IFERROR(VLOOKUP(LOG_RESEAU[[#This Row],[Cell_ID]],Registre_Maintenance!A:B,2,FALSE),"Non trouvé")</f>
        <v>Non trouvé</v>
      </c>
      <c r="F1431" s="8" t="str">
        <f>IFERROR(VLOOKUP(LOG_RESEAU[[#This Row],[Cell_ID]],Registre_Maintenance!A:C,3,FALSE),"Non trouvé")</f>
        <v>Non trouvé</v>
      </c>
      <c r="G1431" s="8" t="str">
        <f>IFERROR(VLOOKUP(LOG_RESEAU[[#This Row],[Cell_ID]],Registre_Maintenance!A:D,4,FALSE),"Non trouvé")</f>
        <v>Non trouvé</v>
      </c>
      <c r="H1431" s="6" t="str">
        <f>IFERROR(VLOOKUP(LOG_RESEAU[[#This Row],[Cell_ID]],Registre_Maintenance!A:E,5,FALSE),"Non trouvé")</f>
        <v>Non trouvé</v>
      </c>
      <c r="I1431" s="6" t="str">
        <f>IFERROR(VLOOKUP(LOG_RESEAU[[#This Row],[Cell_ID]],Registre_Maintenance!A:F,6,FALSE),"Non trouvé")</f>
        <v>Non trouvé</v>
      </c>
      <c r="J1431" s="6" t="str">
        <f t="shared" si="66"/>
        <v>Antenne inconnue</v>
      </c>
      <c r="K1431" s="6">
        <f t="shared" si="67"/>
        <v>1</v>
      </c>
      <c r="L1431" s="6">
        <f t="shared" si="68"/>
        <v>35</v>
      </c>
    </row>
    <row r="1432" spans="1:12" ht="15.75" x14ac:dyDescent="0.25">
      <c r="A1432" s="6" t="s">
        <v>1355</v>
      </c>
      <c r="B1432" s="7">
        <v>45225.623611111107</v>
      </c>
      <c r="C1432" s="6">
        <v>22</v>
      </c>
      <c r="D1432" s="6" t="s">
        <v>794</v>
      </c>
      <c r="E1432" s="8" t="str">
        <f>IFERROR(VLOOKUP(LOG_RESEAU[[#This Row],[Cell_ID]],Registre_Maintenance!A:B,2,FALSE),"Non trouvé")</f>
        <v>Mai-Ndombe</v>
      </c>
      <c r="F1432" s="8">
        <f>IFERROR(VLOOKUP(LOG_RESEAU[[#This Row],[Cell_ID]],Registre_Maintenance!A:C,3,FALSE),"Non trouvé")</f>
        <v>-0.47411900000000001</v>
      </c>
      <c r="G1432" s="8">
        <f>IFERROR(VLOOKUP(LOG_RESEAU[[#This Row],[Cell_ID]],Registre_Maintenance!A:D,4,FALSE),"Non trouvé")</f>
        <v>27.184329000000002</v>
      </c>
      <c r="H1432" s="6" t="str">
        <f>IFERROR(VLOOKUP(LOG_RESEAU[[#This Row],[Cell_ID]],Registre_Maintenance!A:E,5,FALSE),"Non trouvé")</f>
        <v>5G</v>
      </c>
      <c r="I1432" s="6" t="str">
        <f>IFERROR(VLOOKUP(LOG_RESEAU[[#This Row],[Cell_ID]],Registre_Maintenance!A:F,6,FALSE),"Non trouvé")</f>
        <v>ZTE</v>
      </c>
      <c r="J1432" s="6" t="str">
        <f t="shared" si="66"/>
        <v>OK</v>
      </c>
      <c r="K1432" s="6">
        <f t="shared" si="67"/>
        <v>2</v>
      </c>
      <c r="L1432" s="6">
        <f t="shared" si="68"/>
        <v>89</v>
      </c>
    </row>
    <row r="1433" spans="1:12" ht="15.75" x14ac:dyDescent="0.25">
      <c r="A1433" s="6" t="s">
        <v>1355</v>
      </c>
      <c r="B1433" s="7">
        <v>45227.77847222222</v>
      </c>
      <c r="C1433" s="6">
        <v>67</v>
      </c>
      <c r="D1433" s="6" t="s">
        <v>792</v>
      </c>
      <c r="E1433" s="8" t="str">
        <f>IFERROR(VLOOKUP(LOG_RESEAU[[#This Row],[Cell_ID]],Registre_Maintenance!A:B,2,FALSE),"Non trouvé")</f>
        <v>Mai-Ndombe</v>
      </c>
      <c r="F1433" s="8">
        <f>IFERROR(VLOOKUP(LOG_RESEAU[[#This Row],[Cell_ID]],Registre_Maintenance!A:C,3,FALSE),"Non trouvé")</f>
        <v>-0.47411900000000001</v>
      </c>
      <c r="G1433" s="8">
        <f>IFERROR(VLOOKUP(LOG_RESEAU[[#This Row],[Cell_ID]],Registre_Maintenance!A:D,4,FALSE),"Non trouvé")</f>
        <v>27.184329000000002</v>
      </c>
      <c r="H1433" s="6" t="str">
        <f>IFERROR(VLOOKUP(LOG_RESEAU[[#This Row],[Cell_ID]],Registre_Maintenance!A:E,5,FALSE),"Non trouvé")</f>
        <v>5G</v>
      </c>
      <c r="I1433" s="6" t="str">
        <f>IFERROR(VLOOKUP(LOG_RESEAU[[#This Row],[Cell_ID]],Registre_Maintenance!A:F,6,FALSE),"Non trouvé")</f>
        <v>ZTE</v>
      </c>
      <c r="J1433" s="6" t="str">
        <f t="shared" si="66"/>
        <v>OK</v>
      </c>
      <c r="K1433" s="6">
        <f t="shared" si="67"/>
        <v>2</v>
      </c>
      <c r="L1433" s="6">
        <f t="shared" si="68"/>
        <v>89</v>
      </c>
    </row>
    <row r="1434" spans="1:12" ht="15.75" x14ac:dyDescent="0.25">
      <c r="A1434" s="6" t="s">
        <v>1335</v>
      </c>
      <c r="B1434" s="7">
        <v>45224.347916666673</v>
      </c>
      <c r="C1434" s="6">
        <v>14</v>
      </c>
      <c r="D1434" s="6" t="s">
        <v>794</v>
      </c>
      <c r="E1434" s="8" t="str">
        <f>IFERROR(VLOOKUP(LOG_RESEAU[[#This Row],[Cell_ID]],Registre_Maintenance!A:B,2,FALSE),"Non trouvé")</f>
        <v>Tshuapa</v>
      </c>
      <c r="F1434" s="8">
        <f>IFERROR(VLOOKUP(LOG_RESEAU[[#This Row],[Cell_ID]],Registre_Maintenance!A:C,3,FALSE),"Non trouvé")</f>
        <v>-7.789663</v>
      </c>
      <c r="G1434" s="8">
        <f>IFERROR(VLOOKUP(LOG_RESEAU[[#This Row],[Cell_ID]],Registre_Maintenance!A:D,4,FALSE),"Non trouvé")</f>
        <v>26.529098000000001</v>
      </c>
      <c r="H1434" s="6" t="str">
        <f>IFERROR(VLOOKUP(LOG_RESEAU[[#This Row],[Cell_ID]],Registre_Maintenance!A:E,5,FALSE),"Non trouvé")</f>
        <v>5G</v>
      </c>
      <c r="I1434" s="6" t="str">
        <f>IFERROR(VLOOKUP(LOG_RESEAU[[#This Row],[Cell_ID]],Registre_Maintenance!A:F,6,FALSE),"Non trouvé")</f>
        <v>Nokia</v>
      </c>
      <c r="J1434" s="6" t="str">
        <f t="shared" si="66"/>
        <v>OK</v>
      </c>
      <c r="K1434" s="6">
        <f t="shared" si="67"/>
        <v>2</v>
      </c>
      <c r="L1434" s="6">
        <f t="shared" si="68"/>
        <v>81</v>
      </c>
    </row>
    <row r="1435" spans="1:12" ht="15.75" x14ac:dyDescent="0.25">
      <c r="A1435" s="6" t="s">
        <v>1335</v>
      </c>
      <c r="B1435" s="7">
        <v>45221.780555555553</v>
      </c>
      <c r="C1435" s="6">
        <v>67</v>
      </c>
      <c r="D1435" s="6" t="s">
        <v>794</v>
      </c>
      <c r="E1435" s="8" t="str">
        <f>IFERROR(VLOOKUP(LOG_RESEAU[[#This Row],[Cell_ID]],Registre_Maintenance!A:B,2,FALSE),"Non trouvé")</f>
        <v>Tshuapa</v>
      </c>
      <c r="F1435" s="8">
        <f>IFERROR(VLOOKUP(LOG_RESEAU[[#This Row],[Cell_ID]],Registre_Maintenance!A:C,3,FALSE),"Non trouvé")</f>
        <v>-7.789663</v>
      </c>
      <c r="G1435" s="8">
        <f>IFERROR(VLOOKUP(LOG_RESEAU[[#This Row],[Cell_ID]],Registre_Maintenance!A:D,4,FALSE),"Non trouvé")</f>
        <v>26.529098000000001</v>
      </c>
      <c r="H1435" s="6" t="str">
        <f>IFERROR(VLOOKUP(LOG_RESEAU[[#This Row],[Cell_ID]],Registre_Maintenance!A:E,5,FALSE),"Non trouvé")</f>
        <v>5G</v>
      </c>
      <c r="I1435" s="6" t="str">
        <f>IFERROR(VLOOKUP(LOG_RESEAU[[#This Row],[Cell_ID]],Registre_Maintenance!A:F,6,FALSE),"Non trouvé")</f>
        <v>Nokia</v>
      </c>
      <c r="J1435" s="6" t="str">
        <f t="shared" si="66"/>
        <v>OK</v>
      </c>
      <c r="K1435" s="6">
        <f t="shared" si="67"/>
        <v>2</v>
      </c>
      <c r="L1435" s="6">
        <f t="shared" si="68"/>
        <v>81</v>
      </c>
    </row>
    <row r="1436" spans="1:12" ht="15.75" x14ac:dyDescent="0.25">
      <c r="A1436" s="6" t="s">
        <v>1033</v>
      </c>
      <c r="B1436" s="7">
        <v>45201.884722222218</v>
      </c>
      <c r="C1436" s="6">
        <v>54</v>
      </c>
      <c r="D1436" s="6" t="s">
        <v>792</v>
      </c>
      <c r="E1436" s="8" t="str">
        <f>IFERROR(VLOOKUP(LOG_RESEAU[[#This Row],[Cell_ID]],Registre_Maintenance!A:B,2,FALSE),"Non trouvé")</f>
        <v>Nord-Kivu</v>
      </c>
      <c r="F1436" s="8">
        <f>IFERROR(VLOOKUP(LOG_RESEAU[[#This Row],[Cell_ID]],Registre_Maintenance!A:C,3,FALSE),"Non trouvé")</f>
        <v>4.6287159999999998</v>
      </c>
      <c r="G1436" s="8">
        <f>IFERROR(VLOOKUP(LOG_RESEAU[[#This Row],[Cell_ID]],Registre_Maintenance!A:D,4,FALSE),"Non trouvé")</f>
        <v>19.407077999999998</v>
      </c>
      <c r="H1436" s="6" t="str">
        <f>IFERROR(VLOOKUP(LOG_RESEAU[[#This Row],[Cell_ID]],Registre_Maintenance!A:E,5,FALSE),"Non trouvé")</f>
        <v>4G</v>
      </c>
      <c r="I1436" s="6" t="str">
        <f>IFERROR(VLOOKUP(LOG_RESEAU[[#This Row],[Cell_ID]],Registre_Maintenance!A:F,6,FALSE),"Non trouvé")</f>
        <v>Ericsson</v>
      </c>
      <c r="J1436" s="6" t="str">
        <f t="shared" si="66"/>
        <v>OK</v>
      </c>
      <c r="K1436" s="6">
        <f t="shared" si="67"/>
        <v>2</v>
      </c>
      <c r="L1436" s="6">
        <f t="shared" si="68"/>
        <v>165</v>
      </c>
    </row>
    <row r="1437" spans="1:12" ht="15.75" x14ac:dyDescent="0.25">
      <c r="A1437" s="6" t="s">
        <v>1033</v>
      </c>
      <c r="B1437" s="7">
        <v>45211.477083333331</v>
      </c>
      <c r="C1437" s="6">
        <v>111</v>
      </c>
      <c r="D1437" s="6" t="s">
        <v>794</v>
      </c>
      <c r="E1437" s="8" t="str">
        <f>IFERROR(VLOOKUP(LOG_RESEAU[[#This Row],[Cell_ID]],Registre_Maintenance!A:B,2,FALSE),"Non trouvé")</f>
        <v>Nord-Kivu</v>
      </c>
      <c r="F1437" s="8">
        <f>IFERROR(VLOOKUP(LOG_RESEAU[[#This Row],[Cell_ID]],Registre_Maintenance!A:C,3,FALSE),"Non trouvé")</f>
        <v>4.6287159999999998</v>
      </c>
      <c r="G1437" s="8">
        <f>IFERROR(VLOOKUP(LOG_RESEAU[[#This Row],[Cell_ID]],Registre_Maintenance!A:D,4,FALSE),"Non trouvé")</f>
        <v>19.407077999999998</v>
      </c>
      <c r="H1437" s="6" t="str">
        <f>IFERROR(VLOOKUP(LOG_RESEAU[[#This Row],[Cell_ID]],Registre_Maintenance!A:E,5,FALSE),"Non trouvé")</f>
        <v>4G</v>
      </c>
      <c r="I1437" s="6" t="str">
        <f>IFERROR(VLOOKUP(LOG_RESEAU[[#This Row],[Cell_ID]],Registre_Maintenance!A:F,6,FALSE),"Non trouvé")</f>
        <v>Ericsson</v>
      </c>
      <c r="J1437" s="6" t="str">
        <f t="shared" si="66"/>
        <v>OK</v>
      </c>
      <c r="K1437" s="6">
        <f t="shared" si="67"/>
        <v>2</v>
      </c>
      <c r="L1437" s="6">
        <f t="shared" si="68"/>
        <v>165</v>
      </c>
    </row>
    <row r="1438" spans="1:12" ht="15.75" x14ac:dyDescent="0.25">
      <c r="A1438" s="6" t="s">
        <v>1469</v>
      </c>
      <c r="B1438" s="7">
        <v>45205.87222222222</v>
      </c>
      <c r="C1438" s="6">
        <v>17</v>
      </c>
      <c r="D1438" s="6" t="s">
        <v>794</v>
      </c>
      <c r="E1438" s="8" t="str">
        <f>IFERROR(VLOOKUP(LOG_RESEAU[[#This Row],[Cell_ID]],Registre_Maintenance!A:B,2,FALSE),"Non trouvé")</f>
        <v>Non trouvé</v>
      </c>
      <c r="F1438" s="8" t="str">
        <f>IFERROR(VLOOKUP(LOG_RESEAU[[#This Row],[Cell_ID]],Registre_Maintenance!A:C,3,FALSE),"Non trouvé")</f>
        <v>Non trouvé</v>
      </c>
      <c r="G1438" s="8" t="str">
        <f>IFERROR(VLOOKUP(LOG_RESEAU[[#This Row],[Cell_ID]],Registre_Maintenance!A:D,4,FALSE),"Non trouvé")</f>
        <v>Non trouvé</v>
      </c>
      <c r="H1438" s="6" t="str">
        <f>IFERROR(VLOOKUP(LOG_RESEAU[[#This Row],[Cell_ID]],Registre_Maintenance!A:E,5,FALSE),"Non trouvé")</f>
        <v>Non trouvé</v>
      </c>
      <c r="I1438" s="6" t="str">
        <f>IFERROR(VLOOKUP(LOG_RESEAU[[#This Row],[Cell_ID]],Registre_Maintenance!A:F,6,FALSE),"Non trouvé")</f>
        <v>Non trouvé</v>
      </c>
      <c r="J1438" s="6" t="str">
        <f t="shared" si="66"/>
        <v>Antenne inconnue</v>
      </c>
      <c r="K1438" s="6">
        <f t="shared" si="67"/>
        <v>1</v>
      </c>
      <c r="L1438" s="6">
        <f t="shared" si="68"/>
        <v>17</v>
      </c>
    </row>
    <row r="1439" spans="1:12" ht="15.75" x14ac:dyDescent="0.25">
      <c r="A1439" s="6" t="s">
        <v>1161</v>
      </c>
      <c r="B1439" s="7">
        <v>45214.59652777778</v>
      </c>
      <c r="C1439" s="6">
        <v>88</v>
      </c>
      <c r="D1439" s="6" t="s">
        <v>792</v>
      </c>
      <c r="E1439" s="8" t="str">
        <f>IFERROR(VLOOKUP(LOG_RESEAU[[#This Row],[Cell_ID]],Registre_Maintenance!A:B,2,FALSE),"Non trouvé")</f>
        <v>Non trouvé</v>
      </c>
      <c r="F1439" s="8" t="str">
        <f>IFERROR(VLOOKUP(LOG_RESEAU[[#This Row],[Cell_ID]],Registre_Maintenance!A:C,3,FALSE),"Non trouvé")</f>
        <v>Non trouvé</v>
      </c>
      <c r="G1439" s="8" t="str">
        <f>IFERROR(VLOOKUP(LOG_RESEAU[[#This Row],[Cell_ID]],Registre_Maintenance!A:D,4,FALSE),"Non trouvé")</f>
        <v>Non trouvé</v>
      </c>
      <c r="H1439" s="6" t="str">
        <f>IFERROR(VLOOKUP(LOG_RESEAU[[#This Row],[Cell_ID]],Registre_Maintenance!A:E,5,FALSE),"Non trouvé")</f>
        <v>Non trouvé</v>
      </c>
      <c r="I1439" s="6" t="str">
        <f>IFERROR(VLOOKUP(LOG_RESEAU[[#This Row],[Cell_ID]],Registre_Maintenance!A:F,6,FALSE),"Non trouvé")</f>
        <v>Non trouvé</v>
      </c>
      <c r="J1439" s="6" t="str">
        <f t="shared" si="66"/>
        <v>Antenne inconnue</v>
      </c>
      <c r="K1439" s="6">
        <f t="shared" si="67"/>
        <v>3</v>
      </c>
      <c r="L1439" s="6">
        <f t="shared" si="68"/>
        <v>254</v>
      </c>
    </row>
    <row r="1440" spans="1:12" ht="15.75" x14ac:dyDescent="0.25">
      <c r="A1440" s="6" t="s">
        <v>1161</v>
      </c>
      <c r="B1440" s="7">
        <v>45205.236111111109</v>
      </c>
      <c r="C1440" s="6">
        <v>67</v>
      </c>
      <c r="D1440" s="6" t="s">
        <v>800</v>
      </c>
      <c r="E1440" s="8" t="str">
        <f>IFERROR(VLOOKUP(LOG_RESEAU[[#This Row],[Cell_ID]],Registre_Maintenance!A:B,2,FALSE),"Non trouvé")</f>
        <v>Non trouvé</v>
      </c>
      <c r="F1440" s="8" t="str">
        <f>IFERROR(VLOOKUP(LOG_RESEAU[[#This Row],[Cell_ID]],Registre_Maintenance!A:C,3,FALSE),"Non trouvé")</f>
        <v>Non trouvé</v>
      </c>
      <c r="G1440" s="8" t="str">
        <f>IFERROR(VLOOKUP(LOG_RESEAU[[#This Row],[Cell_ID]],Registre_Maintenance!A:D,4,FALSE),"Non trouvé")</f>
        <v>Non trouvé</v>
      </c>
      <c r="H1440" s="6" t="str">
        <f>IFERROR(VLOOKUP(LOG_RESEAU[[#This Row],[Cell_ID]],Registre_Maintenance!A:E,5,FALSE),"Non trouvé")</f>
        <v>Non trouvé</v>
      </c>
      <c r="I1440" s="6" t="str">
        <f>IFERROR(VLOOKUP(LOG_RESEAU[[#This Row],[Cell_ID]],Registre_Maintenance!A:F,6,FALSE),"Non trouvé")</f>
        <v>Non trouvé</v>
      </c>
      <c r="J1440" s="6" t="str">
        <f t="shared" si="66"/>
        <v>Antenne inconnue</v>
      </c>
      <c r="K1440" s="6">
        <f t="shared" si="67"/>
        <v>3</v>
      </c>
      <c r="L1440" s="6">
        <f t="shared" si="68"/>
        <v>254</v>
      </c>
    </row>
    <row r="1441" spans="1:12" ht="15.75" x14ac:dyDescent="0.25">
      <c r="A1441" s="6" t="s">
        <v>1161</v>
      </c>
      <c r="B1441" s="7">
        <v>45219.818749999999</v>
      </c>
      <c r="C1441" s="6">
        <v>99</v>
      </c>
      <c r="D1441" s="6" t="s">
        <v>792</v>
      </c>
      <c r="E1441" s="8" t="str">
        <f>IFERROR(VLOOKUP(LOG_RESEAU[[#This Row],[Cell_ID]],Registre_Maintenance!A:B,2,FALSE),"Non trouvé")</f>
        <v>Non trouvé</v>
      </c>
      <c r="F1441" s="8" t="str">
        <f>IFERROR(VLOOKUP(LOG_RESEAU[[#This Row],[Cell_ID]],Registre_Maintenance!A:C,3,FALSE),"Non trouvé")</f>
        <v>Non trouvé</v>
      </c>
      <c r="G1441" s="8" t="str">
        <f>IFERROR(VLOOKUP(LOG_RESEAU[[#This Row],[Cell_ID]],Registre_Maintenance!A:D,4,FALSE),"Non trouvé")</f>
        <v>Non trouvé</v>
      </c>
      <c r="H1441" s="6" t="str">
        <f>IFERROR(VLOOKUP(LOG_RESEAU[[#This Row],[Cell_ID]],Registre_Maintenance!A:E,5,FALSE),"Non trouvé")</f>
        <v>Non trouvé</v>
      </c>
      <c r="I1441" s="6" t="str">
        <f>IFERROR(VLOOKUP(LOG_RESEAU[[#This Row],[Cell_ID]],Registre_Maintenance!A:F,6,FALSE),"Non trouvé")</f>
        <v>Non trouvé</v>
      </c>
      <c r="J1441" s="6" t="str">
        <f t="shared" si="66"/>
        <v>Antenne inconnue</v>
      </c>
      <c r="K1441" s="6">
        <f t="shared" si="67"/>
        <v>3</v>
      </c>
      <c r="L1441" s="6">
        <f t="shared" si="68"/>
        <v>254</v>
      </c>
    </row>
    <row r="1442" spans="1:12" ht="15.75" x14ac:dyDescent="0.25">
      <c r="A1442" s="6" t="s">
        <v>1404</v>
      </c>
      <c r="B1442" s="7">
        <v>45205.440972222219</v>
      </c>
      <c r="C1442" s="6">
        <v>115</v>
      </c>
      <c r="D1442" s="6" t="s">
        <v>800</v>
      </c>
      <c r="E1442" s="8" t="str">
        <f>IFERROR(VLOOKUP(LOG_RESEAU[[#This Row],[Cell_ID]],Registre_Maintenance!A:B,2,FALSE),"Non trouvé")</f>
        <v>Sud-Kivu</v>
      </c>
      <c r="F1442" s="8">
        <f>IFERROR(VLOOKUP(LOG_RESEAU[[#This Row],[Cell_ID]],Registre_Maintenance!A:C,3,FALSE),"Non trouvé")</f>
        <v>-1.3024210000000001</v>
      </c>
      <c r="G1442" s="8">
        <f>IFERROR(VLOOKUP(LOG_RESEAU[[#This Row],[Cell_ID]],Registre_Maintenance!A:D,4,FALSE),"Non trouvé")</f>
        <v>13.601914000000001</v>
      </c>
      <c r="H1442" s="6" t="str">
        <f>IFERROR(VLOOKUP(LOG_RESEAU[[#This Row],[Cell_ID]],Registre_Maintenance!A:E,5,FALSE),"Non trouvé")</f>
        <v>3G</v>
      </c>
      <c r="I1442" s="6" t="str">
        <f>IFERROR(VLOOKUP(LOG_RESEAU[[#This Row],[Cell_ID]],Registre_Maintenance!A:F,6,FALSE),"Non trouvé")</f>
        <v>Huawei</v>
      </c>
      <c r="J1442" s="6" t="str">
        <f t="shared" si="66"/>
        <v>OK</v>
      </c>
      <c r="K1442" s="6">
        <f t="shared" si="67"/>
        <v>1</v>
      </c>
      <c r="L1442" s="6">
        <f t="shared" si="68"/>
        <v>115</v>
      </c>
    </row>
    <row r="1443" spans="1:12" ht="15.75" x14ac:dyDescent="0.25">
      <c r="A1443" s="6" t="s">
        <v>1341</v>
      </c>
      <c r="B1443" s="7">
        <v>45222.748611111107</v>
      </c>
      <c r="C1443" s="6">
        <v>28</v>
      </c>
      <c r="D1443" s="6" t="s">
        <v>800</v>
      </c>
      <c r="E1443" s="8" t="str">
        <f>IFERROR(VLOOKUP(LOG_RESEAU[[#This Row],[Cell_ID]],Registre_Maintenance!A:B,2,FALSE),"Non trouvé")</f>
        <v>Haut-Katanga</v>
      </c>
      <c r="F1443" s="8">
        <f>IFERROR(VLOOKUP(LOG_RESEAU[[#This Row],[Cell_ID]],Registre_Maintenance!A:C,3,FALSE),"Non trouvé")</f>
        <v>-11.468578000000001</v>
      </c>
      <c r="G1443" s="8">
        <f>IFERROR(VLOOKUP(LOG_RESEAU[[#This Row],[Cell_ID]],Registre_Maintenance!A:D,4,FALSE),"Non trouvé")</f>
        <v>16.914501999999999</v>
      </c>
      <c r="H1443" s="6" t="str">
        <f>IFERROR(VLOOKUP(LOG_RESEAU[[#This Row],[Cell_ID]],Registre_Maintenance!A:E,5,FALSE),"Non trouvé")</f>
        <v>4G</v>
      </c>
      <c r="I1443" s="6" t="str">
        <f>IFERROR(VLOOKUP(LOG_RESEAU[[#This Row],[Cell_ID]],Registre_Maintenance!A:F,6,FALSE),"Non trouvé")</f>
        <v>Ericsson</v>
      </c>
      <c r="J1443" s="6" t="str">
        <f t="shared" si="66"/>
        <v>OK</v>
      </c>
      <c r="K1443" s="6">
        <f t="shared" si="67"/>
        <v>1</v>
      </c>
      <c r="L1443" s="6">
        <f t="shared" si="68"/>
        <v>28</v>
      </c>
    </row>
    <row r="1444" spans="1:12" ht="15.75" x14ac:dyDescent="0.25">
      <c r="A1444" s="6" t="s">
        <v>1075</v>
      </c>
      <c r="B1444" s="7">
        <v>45218.793055555558</v>
      </c>
      <c r="C1444" s="6">
        <v>100</v>
      </c>
      <c r="D1444" s="6" t="s">
        <v>792</v>
      </c>
      <c r="E1444" s="8" t="str">
        <f>IFERROR(VLOOKUP(LOG_RESEAU[[#This Row],[Cell_ID]],Registre_Maintenance!A:B,2,FALSE),"Non trouvé")</f>
        <v>Non trouvé</v>
      </c>
      <c r="F1444" s="8" t="str">
        <f>IFERROR(VLOOKUP(LOG_RESEAU[[#This Row],[Cell_ID]],Registre_Maintenance!A:C,3,FALSE),"Non trouvé")</f>
        <v>Non trouvé</v>
      </c>
      <c r="G1444" s="8" t="str">
        <f>IFERROR(VLOOKUP(LOG_RESEAU[[#This Row],[Cell_ID]],Registre_Maintenance!A:D,4,FALSE),"Non trouvé")</f>
        <v>Non trouvé</v>
      </c>
      <c r="H1444" s="6" t="str">
        <f>IFERROR(VLOOKUP(LOG_RESEAU[[#This Row],[Cell_ID]],Registre_Maintenance!A:E,5,FALSE),"Non trouvé")</f>
        <v>Non trouvé</v>
      </c>
      <c r="I1444" s="6" t="str">
        <f>IFERROR(VLOOKUP(LOG_RESEAU[[#This Row],[Cell_ID]],Registre_Maintenance!A:F,6,FALSE),"Non trouvé")</f>
        <v>Non trouvé</v>
      </c>
      <c r="J1444" s="6" t="str">
        <f t="shared" si="66"/>
        <v>Antenne inconnue</v>
      </c>
      <c r="K1444" s="6">
        <f t="shared" si="67"/>
        <v>2</v>
      </c>
      <c r="L1444" s="6">
        <f t="shared" si="68"/>
        <v>207</v>
      </c>
    </row>
    <row r="1445" spans="1:12" ht="15.75" x14ac:dyDescent="0.25">
      <c r="A1445" s="6" t="s">
        <v>1075</v>
      </c>
      <c r="B1445" s="7">
        <v>45218.89166666667</v>
      </c>
      <c r="C1445" s="6">
        <v>107</v>
      </c>
      <c r="D1445" s="6" t="s">
        <v>800</v>
      </c>
      <c r="E1445" s="8" t="str">
        <f>IFERROR(VLOOKUP(LOG_RESEAU[[#This Row],[Cell_ID]],Registre_Maintenance!A:B,2,FALSE),"Non trouvé")</f>
        <v>Non trouvé</v>
      </c>
      <c r="F1445" s="8" t="str">
        <f>IFERROR(VLOOKUP(LOG_RESEAU[[#This Row],[Cell_ID]],Registre_Maintenance!A:C,3,FALSE),"Non trouvé")</f>
        <v>Non trouvé</v>
      </c>
      <c r="G1445" s="8" t="str">
        <f>IFERROR(VLOOKUP(LOG_RESEAU[[#This Row],[Cell_ID]],Registre_Maintenance!A:D,4,FALSE),"Non trouvé")</f>
        <v>Non trouvé</v>
      </c>
      <c r="H1445" s="6" t="str">
        <f>IFERROR(VLOOKUP(LOG_RESEAU[[#This Row],[Cell_ID]],Registre_Maintenance!A:E,5,FALSE),"Non trouvé")</f>
        <v>Non trouvé</v>
      </c>
      <c r="I1445" s="6" t="str">
        <f>IFERROR(VLOOKUP(LOG_RESEAU[[#This Row],[Cell_ID]],Registre_Maintenance!A:F,6,FALSE),"Non trouvé")</f>
        <v>Non trouvé</v>
      </c>
      <c r="J1445" s="6" t="str">
        <f t="shared" si="66"/>
        <v>Antenne inconnue</v>
      </c>
      <c r="K1445" s="6">
        <f t="shared" si="67"/>
        <v>2</v>
      </c>
      <c r="L1445" s="6">
        <f t="shared" si="68"/>
        <v>207</v>
      </c>
    </row>
    <row r="1446" spans="1:12" ht="15.75" x14ac:dyDescent="0.25">
      <c r="A1446" s="6" t="s">
        <v>1407</v>
      </c>
      <c r="B1446" s="7">
        <v>45222.10833333333</v>
      </c>
      <c r="C1446" s="6">
        <v>88</v>
      </c>
      <c r="D1446" s="6" t="s">
        <v>792</v>
      </c>
      <c r="E1446" s="8" t="str">
        <f>IFERROR(VLOOKUP(LOG_RESEAU[[#This Row],[Cell_ID]],Registre_Maintenance!A:B,2,FALSE),"Non trouvé")</f>
        <v>Non trouvé</v>
      </c>
      <c r="F1446" s="8" t="str">
        <f>IFERROR(VLOOKUP(LOG_RESEAU[[#This Row],[Cell_ID]],Registre_Maintenance!A:C,3,FALSE),"Non trouvé")</f>
        <v>Non trouvé</v>
      </c>
      <c r="G1446" s="8" t="str">
        <f>IFERROR(VLOOKUP(LOG_RESEAU[[#This Row],[Cell_ID]],Registre_Maintenance!A:D,4,FALSE),"Non trouvé")</f>
        <v>Non trouvé</v>
      </c>
      <c r="H1446" s="6" t="str">
        <f>IFERROR(VLOOKUP(LOG_RESEAU[[#This Row],[Cell_ID]],Registre_Maintenance!A:E,5,FALSE),"Non trouvé")</f>
        <v>Non trouvé</v>
      </c>
      <c r="I1446" s="6" t="str">
        <f>IFERROR(VLOOKUP(LOG_RESEAU[[#This Row],[Cell_ID]],Registre_Maintenance!A:F,6,FALSE),"Non trouvé")</f>
        <v>Non trouvé</v>
      </c>
      <c r="J1446" s="6" t="str">
        <f t="shared" si="66"/>
        <v>Antenne inconnue</v>
      </c>
      <c r="K1446" s="6">
        <f t="shared" si="67"/>
        <v>1</v>
      </c>
      <c r="L1446" s="6">
        <f t="shared" si="68"/>
        <v>88</v>
      </c>
    </row>
    <row r="1447" spans="1:12" ht="15.75" x14ac:dyDescent="0.25">
      <c r="A1447" s="6" t="s">
        <v>1496</v>
      </c>
      <c r="B1447" s="7">
        <v>45215.272222222222</v>
      </c>
      <c r="C1447" s="6">
        <v>56</v>
      </c>
      <c r="D1447" s="6" t="s">
        <v>792</v>
      </c>
      <c r="E1447" s="8" t="str">
        <f>IFERROR(VLOOKUP(LOG_RESEAU[[#This Row],[Cell_ID]],Registre_Maintenance!A:B,2,FALSE),"Non trouvé")</f>
        <v>Non trouvé</v>
      </c>
      <c r="F1447" s="8" t="str">
        <f>IFERROR(VLOOKUP(LOG_RESEAU[[#This Row],[Cell_ID]],Registre_Maintenance!A:C,3,FALSE),"Non trouvé")</f>
        <v>Non trouvé</v>
      </c>
      <c r="G1447" s="8" t="str">
        <f>IFERROR(VLOOKUP(LOG_RESEAU[[#This Row],[Cell_ID]],Registre_Maintenance!A:D,4,FALSE),"Non trouvé")</f>
        <v>Non trouvé</v>
      </c>
      <c r="H1447" s="6" t="str">
        <f>IFERROR(VLOOKUP(LOG_RESEAU[[#This Row],[Cell_ID]],Registre_Maintenance!A:E,5,FALSE),"Non trouvé")</f>
        <v>Non trouvé</v>
      </c>
      <c r="I1447" s="6" t="str">
        <f>IFERROR(VLOOKUP(LOG_RESEAU[[#This Row],[Cell_ID]],Registre_Maintenance!A:F,6,FALSE),"Non trouvé")</f>
        <v>Non trouvé</v>
      </c>
      <c r="J1447" s="6" t="str">
        <f t="shared" si="66"/>
        <v>Antenne inconnue</v>
      </c>
      <c r="K1447" s="6">
        <f t="shared" si="67"/>
        <v>1</v>
      </c>
      <c r="L1447" s="6">
        <f t="shared" si="68"/>
        <v>56</v>
      </c>
    </row>
    <row r="1448" spans="1:12" ht="15.75" x14ac:dyDescent="0.25">
      <c r="A1448" s="6" t="s">
        <v>1096</v>
      </c>
      <c r="B1448" s="7">
        <v>45210.912499999999</v>
      </c>
      <c r="C1448" s="6">
        <v>119</v>
      </c>
      <c r="D1448" s="6" t="s">
        <v>792</v>
      </c>
      <c r="E1448" s="8" t="str">
        <f>IFERROR(VLOOKUP(LOG_RESEAU[[#This Row],[Cell_ID]],Registre_Maintenance!A:B,2,FALSE),"Non trouvé")</f>
        <v>Non trouvé</v>
      </c>
      <c r="F1448" s="8" t="str">
        <f>IFERROR(VLOOKUP(LOG_RESEAU[[#This Row],[Cell_ID]],Registre_Maintenance!A:C,3,FALSE),"Non trouvé")</f>
        <v>Non trouvé</v>
      </c>
      <c r="G1448" s="8" t="str">
        <f>IFERROR(VLOOKUP(LOG_RESEAU[[#This Row],[Cell_ID]],Registre_Maintenance!A:D,4,FALSE),"Non trouvé")</f>
        <v>Non trouvé</v>
      </c>
      <c r="H1448" s="6" t="str">
        <f>IFERROR(VLOOKUP(LOG_RESEAU[[#This Row],[Cell_ID]],Registre_Maintenance!A:E,5,FALSE),"Non trouvé")</f>
        <v>Non trouvé</v>
      </c>
      <c r="I1448" s="6" t="str">
        <f>IFERROR(VLOOKUP(LOG_RESEAU[[#This Row],[Cell_ID]],Registre_Maintenance!A:F,6,FALSE),"Non trouvé")</f>
        <v>Non trouvé</v>
      </c>
      <c r="J1448" s="6" t="str">
        <f t="shared" si="66"/>
        <v>Antenne inconnue</v>
      </c>
      <c r="K1448" s="6">
        <f t="shared" si="67"/>
        <v>2</v>
      </c>
      <c r="L1448" s="6">
        <f t="shared" si="68"/>
        <v>129</v>
      </c>
    </row>
    <row r="1449" spans="1:12" ht="15.75" x14ac:dyDescent="0.25">
      <c r="A1449" s="6" t="s">
        <v>1096</v>
      </c>
      <c r="B1449" s="7">
        <v>45220.792361111111</v>
      </c>
      <c r="C1449" s="6">
        <v>10</v>
      </c>
      <c r="D1449" s="6" t="s">
        <v>792</v>
      </c>
      <c r="E1449" s="8" t="str">
        <f>IFERROR(VLOOKUP(LOG_RESEAU[[#This Row],[Cell_ID]],Registre_Maintenance!A:B,2,FALSE),"Non trouvé")</f>
        <v>Non trouvé</v>
      </c>
      <c r="F1449" s="8" t="str">
        <f>IFERROR(VLOOKUP(LOG_RESEAU[[#This Row],[Cell_ID]],Registre_Maintenance!A:C,3,FALSE),"Non trouvé")</f>
        <v>Non trouvé</v>
      </c>
      <c r="G1449" s="8" t="str">
        <f>IFERROR(VLOOKUP(LOG_RESEAU[[#This Row],[Cell_ID]],Registre_Maintenance!A:D,4,FALSE),"Non trouvé")</f>
        <v>Non trouvé</v>
      </c>
      <c r="H1449" s="6" t="str">
        <f>IFERROR(VLOOKUP(LOG_RESEAU[[#This Row],[Cell_ID]],Registre_Maintenance!A:E,5,FALSE),"Non trouvé")</f>
        <v>Non trouvé</v>
      </c>
      <c r="I1449" s="6" t="str">
        <f>IFERROR(VLOOKUP(LOG_RESEAU[[#This Row],[Cell_ID]],Registre_Maintenance!A:F,6,FALSE),"Non trouvé")</f>
        <v>Non trouvé</v>
      </c>
      <c r="J1449" s="6" t="str">
        <f t="shared" si="66"/>
        <v>Antenne inconnue</v>
      </c>
      <c r="K1449" s="6">
        <f t="shared" si="67"/>
        <v>2</v>
      </c>
      <c r="L1449" s="6">
        <f t="shared" si="68"/>
        <v>129</v>
      </c>
    </row>
    <row r="1450" spans="1:12" ht="15.75" x14ac:dyDescent="0.25">
      <c r="A1450" s="6" t="s">
        <v>1172</v>
      </c>
      <c r="B1450" s="7">
        <v>45221.268750000003</v>
      </c>
      <c r="C1450" s="6">
        <v>18</v>
      </c>
      <c r="D1450" s="6" t="s">
        <v>800</v>
      </c>
      <c r="E1450" s="8" t="str">
        <f>IFERROR(VLOOKUP(LOG_RESEAU[[#This Row],[Cell_ID]],Registre_Maintenance!A:B,2,FALSE),"Non trouvé")</f>
        <v>Nord-Kivu</v>
      </c>
      <c r="F1450" s="8">
        <f>IFERROR(VLOOKUP(LOG_RESEAU[[#This Row],[Cell_ID]],Registre_Maintenance!A:C,3,FALSE),"Non trouvé")</f>
        <v>-1.8555980000000001</v>
      </c>
      <c r="G1450" s="8">
        <f>IFERROR(VLOOKUP(LOG_RESEAU[[#This Row],[Cell_ID]],Registre_Maintenance!A:D,4,FALSE),"Non trouvé")</f>
        <v>30.421918000000002</v>
      </c>
      <c r="H1450" s="6" t="str">
        <f>IFERROR(VLOOKUP(LOG_RESEAU[[#This Row],[Cell_ID]],Registre_Maintenance!A:E,5,FALSE),"Non trouvé")</f>
        <v>3G</v>
      </c>
      <c r="I1450" s="6" t="str">
        <f>IFERROR(VLOOKUP(LOG_RESEAU[[#This Row],[Cell_ID]],Registre_Maintenance!A:F,6,FALSE),"Non trouvé")</f>
        <v>ZTE</v>
      </c>
      <c r="J1450" s="6" t="str">
        <f t="shared" si="66"/>
        <v>OK</v>
      </c>
      <c r="K1450" s="6">
        <f t="shared" si="67"/>
        <v>5</v>
      </c>
      <c r="L1450" s="6">
        <f t="shared" si="68"/>
        <v>226</v>
      </c>
    </row>
    <row r="1451" spans="1:12" ht="15.75" x14ac:dyDescent="0.25">
      <c r="A1451" s="6" t="s">
        <v>1172</v>
      </c>
      <c r="B1451" s="7">
        <v>45222.597222222219</v>
      </c>
      <c r="C1451" s="6">
        <v>22</v>
      </c>
      <c r="D1451" s="6" t="s">
        <v>800</v>
      </c>
      <c r="E1451" s="8" t="str">
        <f>IFERROR(VLOOKUP(LOG_RESEAU[[#This Row],[Cell_ID]],Registre_Maintenance!A:B,2,FALSE),"Non trouvé")</f>
        <v>Nord-Kivu</v>
      </c>
      <c r="F1451" s="8">
        <f>IFERROR(VLOOKUP(LOG_RESEAU[[#This Row],[Cell_ID]],Registre_Maintenance!A:C,3,FALSE),"Non trouvé")</f>
        <v>-1.8555980000000001</v>
      </c>
      <c r="G1451" s="8">
        <f>IFERROR(VLOOKUP(LOG_RESEAU[[#This Row],[Cell_ID]],Registre_Maintenance!A:D,4,FALSE),"Non trouvé")</f>
        <v>30.421918000000002</v>
      </c>
      <c r="H1451" s="6" t="str">
        <f>IFERROR(VLOOKUP(LOG_RESEAU[[#This Row],[Cell_ID]],Registre_Maintenance!A:E,5,FALSE),"Non trouvé")</f>
        <v>3G</v>
      </c>
      <c r="I1451" s="6" t="str">
        <f>IFERROR(VLOOKUP(LOG_RESEAU[[#This Row],[Cell_ID]],Registre_Maintenance!A:F,6,FALSE),"Non trouvé")</f>
        <v>ZTE</v>
      </c>
      <c r="J1451" s="6" t="str">
        <f t="shared" si="66"/>
        <v>OK</v>
      </c>
      <c r="K1451" s="6">
        <f t="shared" si="67"/>
        <v>5</v>
      </c>
      <c r="L1451" s="6">
        <f t="shared" si="68"/>
        <v>226</v>
      </c>
    </row>
    <row r="1452" spans="1:12" ht="15.75" x14ac:dyDescent="0.25">
      <c r="A1452" s="6" t="s">
        <v>1172</v>
      </c>
      <c r="B1452" s="7">
        <v>45211.424305555563</v>
      </c>
      <c r="C1452" s="6">
        <v>116</v>
      </c>
      <c r="D1452" s="6" t="s">
        <v>800</v>
      </c>
      <c r="E1452" s="8" t="str">
        <f>IFERROR(VLOOKUP(LOG_RESEAU[[#This Row],[Cell_ID]],Registre_Maintenance!A:B,2,FALSE),"Non trouvé")</f>
        <v>Nord-Kivu</v>
      </c>
      <c r="F1452" s="8">
        <f>IFERROR(VLOOKUP(LOG_RESEAU[[#This Row],[Cell_ID]],Registre_Maintenance!A:C,3,FALSE),"Non trouvé")</f>
        <v>-1.8555980000000001</v>
      </c>
      <c r="G1452" s="8">
        <f>IFERROR(VLOOKUP(LOG_RESEAU[[#This Row],[Cell_ID]],Registre_Maintenance!A:D,4,FALSE),"Non trouvé")</f>
        <v>30.421918000000002</v>
      </c>
      <c r="H1452" s="6" t="str">
        <f>IFERROR(VLOOKUP(LOG_RESEAU[[#This Row],[Cell_ID]],Registre_Maintenance!A:E,5,FALSE),"Non trouvé")</f>
        <v>3G</v>
      </c>
      <c r="I1452" s="6" t="str">
        <f>IFERROR(VLOOKUP(LOG_RESEAU[[#This Row],[Cell_ID]],Registre_Maintenance!A:F,6,FALSE),"Non trouvé")</f>
        <v>ZTE</v>
      </c>
      <c r="J1452" s="6" t="str">
        <f t="shared" si="66"/>
        <v>OK</v>
      </c>
      <c r="K1452" s="6">
        <f t="shared" si="67"/>
        <v>5</v>
      </c>
      <c r="L1452" s="6">
        <f t="shared" si="68"/>
        <v>226</v>
      </c>
    </row>
    <row r="1453" spans="1:12" ht="15.75" x14ac:dyDescent="0.25">
      <c r="A1453" s="6" t="s">
        <v>1172</v>
      </c>
      <c r="B1453" s="7">
        <v>45201.086111111108</v>
      </c>
      <c r="C1453" s="6">
        <v>55</v>
      </c>
      <c r="D1453" s="6" t="s">
        <v>794</v>
      </c>
      <c r="E1453" s="8" t="str">
        <f>IFERROR(VLOOKUP(LOG_RESEAU[[#This Row],[Cell_ID]],Registre_Maintenance!A:B,2,FALSE),"Non trouvé")</f>
        <v>Nord-Kivu</v>
      </c>
      <c r="F1453" s="8">
        <f>IFERROR(VLOOKUP(LOG_RESEAU[[#This Row],[Cell_ID]],Registre_Maintenance!A:C,3,FALSE),"Non trouvé")</f>
        <v>-1.8555980000000001</v>
      </c>
      <c r="G1453" s="8">
        <f>IFERROR(VLOOKUP(LOG_RESEAU[[#This Row],[Cell_ID]],Registre_Maintenance!A:D,4,FALSE),"Non trouvé")</f>
        <v>30.421918000000002</v>
      </c>
      <c r="H1453" s="6" t="str">
        <f>IFERROR(VLOOKUP(LOG_RESEAU[[#This Row],[Cell_ID]],Registre_Maintenance!A:E,5,FALSE),"Non trouvé")</f>
        <v>3G</v>
      </c>
      <c r="I1453" s="6" t="str">
        <f>IFERROR(VLOOKUP(LOG_RESEAU[[#This Row],[Cell_ID]],Registre_Maintenance!A:F,6,FALSE),"Non trouvé")</f>
        <v>ZTE</v>
      </c>
      <c r="J1453" s="6" t="str">
        <f t="shared" si="66"/>
        <v>OK</v>
      </c>
      <c r="K1453" s="6">
        <f t="shared" si="67"/>
        <v>5</v>
      </c>
      <c r="L1453" s="6">
        <f t="shared" si="68"/>
        <v>226</v>
      </c>
    </row>
    <row r="1454" spans="1:12" ht="15.75" x14ac:dyDescent="0.25">
      <c r="A1454" s="6" t="s">
        <v>1172</v>
      </c>
      <c r="B1454" s="7">
        <v>45218.331944444442</v>
      </c>
      <c r="C1454" s="6">
        <v>15</v>
      </c>
      <c r="D1454" s="6" t="s">
        <v>792</v>
      </c>
      <c r="E1454" s="8" t="str">
        <f>IFERROR(VLOOKUP(LOG_RESEAU[[#This Row],[Cell_ID]],Registre_Maintenance!A:B,2,FALSE),"Non trouvé")</f>
        <v>Nord-Kivu</v>
      </c>
      <c r="F1454" s="8">
        <f>IFERROR(VLOOKUP(LOG_RESEAU[[#This Row],[Cell_ID]],Registre_Maintenance!A:C,3,FALSE),"Non trouvé")</f>
        <v>-1.8555980000000001</v>
      </c>
      <c r="G1454" s="8">
        <f>IFERROR(VLOOKUP(LOG_RESEAU[[#This Row],[Cell_ID]],Registre_Maintenance!A:D,4,FALSE),"Non trouvé")</f>
        <v>30.421918000000002</v>
      </c>
      <c r="H1454" s="6" t="str">
        <f>IFERROR(VLOOKUP(LOG_RESEAU[[#This Row],[Cell_ID]],Registre_Maintenance!A:E,5,FALSE),"Non trouvé")</f>
        <v>3G</v>
      </c>
      <c r="I1454" s="6" t="str">
        <f>IFERROR(VLOOKUP(LOG_RESEAU[[#This Row],[Cell_ID]],Registre_Maintenance!A:F,6,FALSE),"Non trouvé")</f>
        <v>ZTE</v>
      </c>
      <c r="J1454" s="6" t="str">
        <f t="shared" si="66"/>
        <v>OK</v>
      </c>
      <c r="K1454" s="6">
        <f t="shared" si="67"/>
        <v>5</v>
      </c>
      <c r="L1454" s="6">
        <f t="shared" si="68"/>
        <v>226</v>
      </c>
    </row>
    <row r="1455" spans="1:12" ht="15.75" x14ac:dyDescent="0.25">
      <c r="A1455" s="6" t="s">
        <v>1150</v>
      </c>
      <c r="B1455" s="7">
        <v>45230.486111111109</v>
      </c>
      <c r="C1455" s="6">
        <v>38</v>
      </c>
      <c r="D1455" s="6" t="s">
        <v>794</v>
      </c>
      <c r="E1455" s="8" t="str">
        <f>IFERROR(VLOOKUP(LOG_RESEAU[[#This Row],[Cell_ID]],Registre_Maintenance!A:B,2,FALSE),"Non trouvé")</f>
        <v>Nord-Kivu</v>
      </c>
      <c r="F1455" s="8">
        <f>IFERROR(VLOOKUP(LOG_RESEAU[[#This Row],[Cell_ID]],Registre_Maintenance!A:C,3,FALSE),"Non trouvé")</f>
        <v>-12.336202</v>
      </c>
      <c r="G1455" s="8">
        <f>IFERROR(VLOOKUP(LOG_RESEAU[[#This Row],[Cell_ID]],Registre_Maintenance!A:D,4,FALSE),"Non trouvé")</f>
        <v>13.693683999999999</v>
      </c>
      <c r="H1455" s="6" t="str">
        <f>IFERROR(VLOOKUP(LOG_RESEAU[[#This Row],[Cell_ID]],Registre_Maintenance!A:E,5,FALSE),"Non trouvé")</f>
        <v>5G</v>
      </c>
      <c r="I1455" s="6" t="str">
        <f>IFERROR(VLOOKUP(LOG_RESEAU[[#This Row],[Cell_ID]],Registre_Maintenance!A:F,6,FALSE),"Non trouvé")</f>
        <v>Huawei</v>
      </c>
      <c r="J1455" s="6" t="str">
        <f t="shared" si="66"/>
        <v>OK</v>
      </c>
      <c r="K1455" s="6">
        <f t="shared" si="67"/>
        <v>4</v>
      </c>
      <c r="L1455" s="6">
        <f t="shared" si="68"/>
        <v>190</v>
      </c>
    </row>
    <row r="1456" spans="1:12" ht="15.75" x14ac:dyDescent="0.25">
      <c r="A1456" s="6" t="s">
        <v>1150</v>
      </c>
      <c r="B1456" s="7">
        <v>45207.960416666669</v>
      </c>
      <c r="C1456" s="6">
        <v>23</v>
      </c>
      <c r="D1456" s="6" t="s">
        <v>792</v>
      </c>
      <c r="E1456" s="8" t="str">
        <f>IFERROR(VLOOKUP(LOG_RESEAU[[#This Row],[Cell_ID]],Registre_Maintenance!A:B,2,FALSE),"Non trouvé")</f>
        <v>Nord-Kivu</v>
      </c>
      <c r="F1456" s="8">
        <f>IFERROR(VLOOKUP(LOG_RESEAU[[#This Row],[Cell_ID]],Registre_Maintenance!A:C,3,FALSE),"Non trouvé")</f>
        <v>-12.336202</v>
      </c>
      <c r="G1456" s="8">
        <f>IFERROR(VLOOKUP(LOG_RESEAU[[#This Row],[Cell_ID]],Registre_Maintenance!A:D,4,FALSE),"Non trouvé")</f>
        <v>13.693683999999999</v>
      </c>
      <c r="H1456" s="6" t="str">
        <f>IFERROR(VLOOKUP(LOG_RESEAU[[#This Row],[Cell_ID]],Registre_Maintenance!A:E,5,FALSE),"Non trouvé")</f>
        <v>5G</v>
      </c>
      <c r="I1456" s="6" t="str">
        <f>IFERROR(VLOOKUP(LOG_RESEAU[[#This Row],[Cell_ID]],Registre_Maintenance!A:F,6,FALSE),"Non trouvé")</f>
        <v>Huawei</v>
      </c>
      <c r="J1456" s="6" t="str">
        <f t="shared" si="66"/>
        <v>OK</v>
      </c>
      <c r="K1456" s="6">
        <f t="shared" si="67"/>
        <v>4</v>
      </c>
      <c r="L1456" s="6">
        <f t="shared" si="68"/>
        <v>190</v>
      </c>
    </row>
    <row r="1457" spans="1:12" ht="15.75" x14ac:dyDescent="0.25">
      <c r="A1457" s="6" t="s">
        <v>1150</v>
      </c>
      <c r="B1457" s="7">
        <v>45204.53125</v>
      </c>
      <c r="C1457" s="6">
        <v>47</v>
      </c>
      <c r="D1457" s="6" t="s">
        <v>794</v>
      </c>
      <c r="E1457" s="8" t="str">
        <f>IFERROR(VLOOKUP(LOG_RESEAU[[#This Row],[Cell_ID]],Registre_Maintenance!A:B,2,FALSE),"Non trouvé")</f>
        <v>Nord-Kivu</v>
      </c>
      <c r="F1457" s="8">
        <f>IFERROR(VLOOKUP(LOG_RESEAU[[#This Row],[Cell_ID]],Registre_Maintenance!A:C,3,FALSE),"Non trouvé")</f>
        <v>-12.336202</v>
      </c>
      <c r="G1457" s="8">
        <f>IFERROR(VLOOKUP(LOG_RESEAU[[#This Row],[Cell_ID]],Registre_Maintenance!A:D,4,FALSE),"Non trouvé")</f>
        <v>13.693683999999999</v>
      </c>
      <c r="H1457" s="6" t="str">
        <f>IFERROR(VLOOKUP(LOG_RESEAU[[#This Row],[Cell_ID]],Registre_Maintenance!A:E,5,FALSE),"Non trouvé")</f>
        <v>5G</v>
      </c>
      <c r="I1457" s="6" t="str">
        <f>IFERROR(VLOOKUP(LOG_RESEAU[[#This Row],[Cell_ID]],Registre_Maintenance!A:F,6,FALSE),"Non trouvé")</f>
        <v>Huawei</v>
      </c>
      <c r="J1457" s="6" t="str">
        <f t="shared" si="66"/>
        <v>OK</v>
      </c>
      <c r="K1457" s="6">
        <f t="shared" si="67"/>
        <v>4</v>
      </c>
      <c r="L1457" s="6">
        <f t="shared" si="68"/>
        <v>190</v>
      </c>
    </row>
    <row r="1458" spans="1:12" ht="15.75" x14ac:dyDescent="0.25">
      <c r="A1458" s="6" t="s">
        <v>1150</v>
      </c>
      <c r="B1458" s="7">
        <v>45201.877083333333</v>
      </c>
      <c r="C1458" s="6">
        <v>82</v>
      </c>
      <c r="D1458" s="6" t="s">
        <v>792</v>
      </c>
      <c r="E1458" s="8" t="str">
        <f>IFERROR(VLOOKUP(LOG_RESEAU[[#This Row],[Cell_ID]],Registre_Maintenance!A:B,2,FALSE),"Non trouvé")</f>
        <v>Nord-Kivu</v>
      </c>
      <c r="F1458" s="8">
        <f>IFERROR(VLOOKUP(LOG_RESEAU[[#This Row],[Cell_ID]],Registre_Maintenance!A:C,3,FALSE),"Non trouvé")</f>
        <v>-12.336202</v>
      </c>
      <c r="G1458" s="8">
        <f>IFERROR(VLOOKUP(LOG_RESEAU[[#This Row],[Cell_ID]],Registre_Maintenance!A:D,4,FALSE),"Non trouvé")</f>
        <v>13.693683999999999</v>
      </c>
      <c r="H1458" s="6" t="str">
        <f>IFERROR(VLOOKUP(LOG_RESEAU[[#This Row],[Cell_ID]],Registre_Maintenance!A:E,5,FALSE),"Non trouvé")</f>
        <v>5G</v>
      </c>
      <c r="I1458" s="6" t="str">
        <f>IFERROR(VLOOKUP(LOG_RESEAU[[#This Row],[Cell_ID]],Registre_Maintenance!A:F,6,FALSE),"Non trouvé")</f>
        <v>Huawei</v>
      </c>
      <c r="J1458" s="6" t="str">
        <f t="shared" si="66"/>
        <v>OK</v>
      </c>
      <c r="K1458" s="6">
        <f t="shared" si="67"/>
        <v>4</v>
      </c>
      <c r="L1458" s="6">
        <f t="shared" si="68"/>
        <v>190</v>
      </c>
    </row>
    <row r="1459" spans="1:12" ht="15.75" x14ac:dyDescent="0.25">
      <c r="A1459" s="6" t="s">
        <v>1067</v>
      </c>
      <c r="B1459" s="7">
        <v>45222.631249999999</v>
      </c>
      <c r="C1459" s="6">
        <v>90</v>
      </c>
      <c r="D1459" s="6" t="s">
        <v>794</v>
      </c>
      <c r="E1459" s="8" t="str">
        <f>IFERROR(VLOOKUP(LOG_RESEAU[[#This Row],[Cell_ID]],Registre_Maintenance!A:B,2,FALSE),"Non trouvé")</f>
        <v>Tanganyika</v>
      </c>
      <c r="F1459" s="8">
        <f>IFERROR(VLOOKUP(LOG_RESEAU[[#This Row],[Cell_ID]],Registre_Maintenance!A:C,3,FALSE),"Non trouvé")</f>
        <v>-2.099631</v>
      </c>
      <c r="G1459" s="8">
        <f>IFERROR(VLOOKUP(LOG_RESEAU[[#This Row],[Cell_ID]],Registre_Maintenance!A:D,4,FALSE),"Non trouvé")</f>
        <v>13.974640000000001</v>
      </c>
      <c r="H1459" s="6" t="str">
        <f>IFERROR(VLOOKUP(LOG_RESEAU[[#This Row],[Cell_ID]],Registre_Maintenance!A:E,5,FALSE),"Non trouvé")</f>
        <v>3G</v>
      </c>
      <c r="I1459" s="6" t="str">
        <f>IFERROR(VLOOKUP(LOG_RESEAU[[#This Row],[Cell_ID]],Registre_Maintenance!A:F,6,FALSE),"Non trouvé")</f>
        <v>Nokia</v>
      </c>
      <c r="J1459" s="6" t="str">
        <f t="shared" si="66"/>
        <v>OK</v>
      </c>
      <c r="K1459" s="6">
        <f t="shared" si="67"/>
        <v>2</v>
      </c>
      <c r="L1459" s="6">
        <f t="shared" si="68"/>
        <v>157</v>
      </c>
    </row>
    <row r="1460" spans="1:12" ht="15.75" x14ac:dyDescent="0.25">
      <c r="A1460" s="6" t="s">
        <v>1067</v>
      </c>
      <c r="B1460" s="7">
        <v>45230.862500000003</v>
      </c>
      <c r="C1460" s="6">
        <v>67</v>
      </c>
      <c r="D1460" s="6" t="s">
        <v>794</v>
      </c>
      <c r="E1460" s="8" t="str">
        <f>IFERROR(VLOOKUP(LOG_RESEAU[[#This Row],[Cell_ID]],Registre_Maintenance!A:B,2,FALSE),"Non trouvé")</f>
        <v>Tanganyika</v>
      </c>
      <c r="F1460" s="8">
        <f>IFERROR(VLOOKUP(LOG_RESEAU[[#This Row],[Cell_ID]],Registre_Maintenance!A:C,3,FALSE),"Non trouvé")</f>
        <v>-2.099631</v>
      </c>
      <c r="G1460" s="8">
        <f>IFERROR(VLOOKUP(LOG_RESEAU[[#This Row],[Cell_ID]],Registre_Maintenance!A:D,4,FALSE),"Non trouvé")</f>
        <v>13.974640000000001</v>
      </c>
      <c r="H1460" s="6" t="str">
        <f>IFERROR(VLOOKUP(LOG_RESEAU[[#This Row],[Cell_ID]],Registre_Maintenance!A:E,5,FALSE),"Non trouvé")</f>
        <v>3G</v>
      </c>
      <c r="I1460" s="6" t="str">
        <f>IFERROR(VLOOKUP(LOG_RESEAU[[#This Row],[Cell_ID]],Registre_Maintenance!A:F,6,FALSE),"Non trouvé")</f>
        <v>Nokia</v>
      </c>
      <c r="J1460" s="6" t="str">
        <f t="shared" si="66"/>
        <v>OK</v>
      </c>
      <c r="K1460" s="6">
        <f t="shared" si="67"/>
        <v>2</v>
      </c>
      <c r="L1460" s="6">
        <f t="shared" si="68"/>
        <v>157</v>
      </c>
    </row>
    <row r="1461" spans="1:12" ht="15.75" x14ac:dyDescent="0.25">
      <c r="A1461" s="6" t="s">
        <v>1079</v>
      </c>
      <c r="B1461" s="7">
        <v>45222.427083333343</v>
      </c>
      <c r="C1461" s="6">
        <v>82</v>
      </c>
      <c r="D1461" s="6" t="s">
        <v>794</v>
      </c>
      <c r="E1461" s="8" t="str">
        <f>IFERROR(VLOOKUP(LOG_RESEAU[[#This Row],[Cell_ID]],Registre_Maintenance!A:B,2,FALSE),"Non trouvé")</f>
        <v>Bas-Uele</v>
      </c>
      <c r="F1461" s="8">
        <f>IFERROR(VLOOKUP(LOG_RESEAU[[#This Row],[Cell_ID]],Registre_Maintenance!A:C,3,FALSE),"Non trouvé")</f>
        <v>-4.4697000000000001E-2</v>
      </c>
      <c r="G1461" s="8">
        <f>IFERROR(VLOOKUP(LOG_RESEAU[[#This Row],[Cell_ID]],Registre_Maintenance!A:D,4,FALSE),"Non trouvé")</f>
        <v>22.943373000000001</v>
      </c>
      <c r="H1461" s="6" t="str">
        <f>IFERROR(VLOOKUP(LOG_RESEAU[[#This Row],[Cell_ID]],Registre_Maintenance!A:E,5,FALSE),"Non trouvé")</f>
        <v>3G</v>
      </c>
      <c r="I1461" s="6" t="str">
        <f>IFERROR(VLOOKUP(LOG_RESEAU[[#This Row],[Cell_ID]],Registre_Maintenance!A:F,6,FALSE),"Non trouvé")</f>
        <v>Huawei</v>
      </c>
      <c r="J1461" s="6" t="str">
        <f t="shared" si="66"/>
        <v>OK</v>
      </c>
      <c r="K1461" s="6">
        <f t="shared" si="67"/>
        <v>1</v>
      </c>
      <c r="L1461" s="6">
        <f t="shared" si="68"/>
        <v>82</v>
      </c>
    </row>
    <row r="1462" spans="1:12" ht="15.75" x14ac:dyDescent="0.25">
      <c r="A1462" s="6" t="s">
        <v>1146</v>
      </c>
      <c r="B1462" s="7">
        <v>45217.570833333331</v>
      </c>
      <c r="C1462" s="6">
        <v>28</v>
      </c>
      <c r="D1462" s="6" t="s">
        <v>794</v>
      </c>
      <c r="E1462" s="8" t="str">
        <f>IFERROR(VLOOKUP(LOG_RESEAU[[#This Row],[Cell_ID]],Registre_Maintenance!A:B,2,FALSE),"Non trouvé")</f>
        <v>Non trouvé</v>
      </c>
      <c r="F1462" s="8" t="str">
        <f>IFERROR(VLOOKUP(LOG_RESEAU[[#This Row],[Cell_ID]],Registre_Maintenance!A:C,3,FALSE),"Non trouvé")</f>
        <v>Non trouvé</v>
      </c>
      <c r="G1462" s="8" t="str">
        <f>IFERROR(VLOOKUP(LOG_RESEAU[[#This Row],[Cell_ID]],Registre_Maintenance!A:D,4,FALSE),"Non trouvé")</f>
        <v>Non trouvé</v>
      </c>
      <c r="H1462" s="6" t="str">
        <f>IFERROR(VLOOKUP(LOG_RESEAU[[#This Row],[Cell_ID]],Registre_Maintenance!A:E,5,FALSE),"Non trouvé")</f>
        <v>Non trouvé</v>
      </c>
      <c r="I1462" s="6" t="str">
        <f>IFERROR(VLOOKUP(LOG_RESEAU[[#This Row],[Cell_ID]],Registre_Maintenance!A:F,6,FALSE),"Non trouvé")</f>
        <v>Non trouvé</v>
      </c>
      <c r="J1462" s="6" t="str">
        <f t="shared" si="66"/>
        <v>Antenne inconnue</v>
      </c>
      <c r="K1462" s="6">
        <f t="shared" si="67"/>
        <v>2</v>
      </c>
      <c r="L1462" s="6">
        <f t="shared" si="68"/>
        <v>43</v>
      </c>
    </row>
    <row r="1463" spans="1:12" ht="15.75" x14ac:dyDescent="0.25">
      <c r="A1463" s="6" t="s">
        <v>1146</v>
      </c>
      <c r="B1463" s="7">
        <v>45211.368055555547</v>
      </c>
      <c r="C1463" s="6">
        <v>15</v>
      </c>
      <c r="D1463" s="6" t="s">
        <v>800</v>
      </c>
      <c r="E1463" s="8" t="str">
        <f>IFERROR(VLOOKUP(LOG_RESEAU[[#This Row],[Cell_ID]],Registre_Maintenance!A:B,2,FALSE),"Non trouvé")</f>
        <v>Non trouvé</v>
      </c>
      <c r="F1463" s="8" t="str">
        <f>IFERROR(VLOOKUP(LOG_RESEAU[[#This Row],[Cell_ID]],Registre_Maintenance!A:C,3,FALSE),"Non trouvé")</f>
        <v>Non trouvé</v>
      </c>
      <c r="G1463" s="8" t="str">
        <f>IFERROR(VLOOKUP(LOG_RESEAU[[#This Row],[Cell_ID]],Registre_Maintenance!A:D,4,FALSE),"Non trouvé")</f>
        <v>Non trouvé</v>
      </c>
      <c r="H1463" s="6" t="str">
        <f>IFERROR(VLOOKUP(LOG_RESEAU[[#This Row],[Cell_ID]],Registre_Maintenance!A:E,5,FALSE),"Non trouvé")</f>
        <v>Non trouvé</v>
      </c>
      <c r="I1463" s="6" t="str">
        <f>IFERROR(VLOOKUP(LOG_RESEAU[[#This Row],[Cell_ID]],Registre_Maintenance!A:F,6,FALSE),"Non trouvé")</f>
        <v>Non trouvé</v>
      </c>
      <c r="J1463" s="6" t="str">
        <f t="shared" si="66"/>
        <v>Antenne inconnue</v>
      </c>
      <c r="K1463" s="6">
        <f t="shared" si="67"/>
        <v>2</v>
      </c>
      <c r="L1463" s="6">
        <f t="shared" si="68"/>
        <v>43</v>
      </c>
    </row>
    <row r="1464" spans="1:12" ht="15.75" x14ac:dyDescent="0.25">
      <c r="A1464" s="6" t="s">
        <v>1266</v>
      </c>
      <c r="B1464" s="7">
        <v>45226.988194444442</v>
      </c>
      <c r="C1464" s="6">
        <v>83</v>
      </c>
      <c r="D1464" s="6" t="s">
        <v>800</v>
      </c>
      <c r="E1464" s="8" t="str">
        <f>IFERROR(VLOOKUP(LOG_RESEAU[[#This Row],[Cell_ID]],Registre_Maintenance!A:B,2,FALSE),"Non trouvé")</f>
        <v>Non trouvé</v>
      </c>
      <c r="F1464" s="8" t="str">
        <f>IFERROR(VLOOKUP(LOG_RESEAU[[#This Row],[Cell_ID]],Registre_Maintenance!A:C,3,FALSE),"Non trouvé")</f>
        <v>Non trouvé</v>
      </c>
      <c r="G1464" s="8" t="str">
        <f>IFERROR(VLOOKUP(LOG_RESEAU[[#This Row],[Cell_ID]],Registre_Maintenance!A:D,4,FALSE),"Non trouvé")</f>
        <v>Non trouvé</v>
      </c>
      <c r="H1464" s="6" t="str">
        <f>IFERROR(VLOOKUP(LOG_RESEAU[[#This Row],[Cell_ID]],Registre_Maintenance!A:E,5,FALSE),"Non trouvé")</f>
        <v>Non trouvé</v>
      </c>
      <c r="I1464" s="6" t="str">
        <f>IFERROR(VLOOKUP(LOG_RESEAU[[#This Row],[Cell_ID]],Registre_Maintenance!A:F,6,FALSE),"Non trouvé")</f>
        <v>Non trouvé</v>
      </c>
      <c r="J1464" s="6" t="str">
        <f t="shared" si="66"/>
        <v>Antenne inconnue</v>
      </c>
      <c r="K1464" s="6">
        <f t="shared" si="67"/>
        <v>1</v>
      </c>
      <c r="L1464" s="6">
        <f t="shared" si="68"/>
        <v>83</v>
      </c>
    </row>
    <row r="1465" spans="1:12" ht="15.75" x14ac:dyDescent="0.25">
      <c r="A1465" s="6" t="s">
        <v>1128</v>
      </c>
      <c r="B1465" s="7">
        <v>45201.468055555553</v>
      </c>
      <c r="C1465" s="6">
        <v>80</v>
      </c>
      <c r="D1465" s="6" t="s">
        <v>794</v>
      </c>
      <c r="E1465" s="8" t="str">
        <f>IFERROR(VLOOKUP(LOG_RESEAU[[#This Row],[Cell_ID]],Registre_Maintenance!A:B,2,FALSE),"Non trouvé")</f>
        <v>Haut-Katanga</v>
      </c>
      <c r="F1465" s="8">
        <f>IFERROR(VLOOKUP(LOG_RESEAU[[#This Row],[Cell_ID]],Registre_Maintenance!A:C,3,FALSE),"Non trouvé")</f>
        <v>-3.3890790000000002</v>
      </c>
      <c r="G1465" s="8">
        <f>IFERROR(VLOOKUP(LOG_RESEAU[[#This Row],[Cell_ID]],Registre_Maintenance!A:D,4,FALSE),"Non trouvé")</f>
        <v>18.374571</v>
      </c>
      <c r="H1465" s="6" t="str">
        <f>IFERROR(VLOOKUP(LOG_RESEAU[[#This Row],[Cell_ID]],Registre_Maintenance!A:E,5,FALSE),"Non trouvé")</f>
        <v>5G</v>
      </c>
      <c r="I1465" s="6" t="str">
        <f>IFERROR(VLOOKUP(LOG_RESEAU[[#This Row],[Cell_ID]],Registre_Maintenance!A:F,6,FALSE),"Non trouvé")</f>
        <v>ZTE</v>
      </c>
      <c r="J1465" s="6" t="str">
        <f t="shared" si="66"/>
        <v>OK</v>
      </c>
      <c r="K1465" s="6">
        <f t="shared" si="67"/>
        <v>1</v>
      </c>
      <c r="L1465" s="6">
        <f t="shared" si="68"/>
        <v>80</v>
      </c>
    </row>
    <row r="1466" spans="1:12" ht="15.75" x14ac:dyDescent="0.25">
      <c r="A1466" s="6" t="s">
        <v>1122</v>
      </c>
      <c r="B1466" s="7">
        <v>45218.875694444447</v>
      </c>
      <c r="C1466" s="6">
        <v>39</v>
      </c>
      <c r="D1466" s="6" t="s">
        <v>794</v>
      </c>
      <c r="E1466" s="8" t="str">
        <f>IFERROR(VLOOKUP(LOG_RESEAU[[#This Row],[Cell_ID]],Registre_Maintenance!A:B,2,FALSE),"Non trouvé")</f>
        <v>Non trouvé</v>
      </c>
      <c r="F1466" s="8" t="str">
        <f>IFERROR(VLOOKUP(LOG_RESEAU[[#This Row],[Cell_ID]],Registre_Maintenance!A:C,3,FALSE),"Non trouvé")</f>
        <v>Non trouvé</v>
      </c>
      <c r="G1466" s="8" t="str">
        <f>IFERROR(VLOOKUP(LOG_RESEAU[[#This Row],[Cell_ID]],Registre_Maintenance!A:D,4,FALSE),"Non trouvé")</f>
        <v>Non trouvé</v>
      </c>
      <c r="H1466" s="6" t="str">
        <f>IFERROR(VLOOKUP(LOG_RESEAU[[#This Row],[Cell_ID]],Registre_Maintenance!A:E,5,FALSE),"Non trouvé")</f>
        <v>Non trouvé</v>
      </c>
      <c r="I1466" s="6" t="str">
        <f>IFERROR(VLOOKUP(LOG_RESEAU[[#This Row],[Cell_ID]],Registre_Maintenance!A:F,6,FALSE),"Non trouvé")</f>
        <v>Non trouvé</v>
      </c>
      <c r="J1466" s="6" t="str">
        <f t="shared" si="66"/>
        <v>Antenne inconnue</v>
      </c>
      <c r="K1466" s="6">
        <f t="shared" si="67"/>
        <v>2</v>
      </c>
      <c r="L1466" s="6">
        <f t="shared" si="68"/>
        <v>92</v>
      </c>
    </row>
    <row r="1467" spans="1:12" ht="15.75" x14ac:dyDescent="0.25">
      <c r="A1467" s="6" t="s">
        <v>1122</v>
      </c>
      <c r="B1467" s="7">
        <v>45218.240277777782</v>
      </c>
      <c r="C1467" s="6">
        <v>53</v>
      </c>
      <c r="D1467" s="6" t="s">
        <v>792</v>
      </c>
      <c r="E1467" s="8" t="str">
        <f>IFERROR(VLOOKUP(LOG_RESEAU[[#This Row],[Cell_ID]],Registre_Maintenance!A:B,2,FALSE),"Non trouvé")</f>
        <v>Non trouvé</v>
      </c>
      <c r="F1467" s="8" t="str">
        <f>IFERROR(VLOOKUP(LOG_RESEAU[[#This Row],[Cell_ID]],Registre_Maintenance!A:C,3,FALSE),"Non trouvé")</f>
        <v>Non trouvé</v>
      </c>
      <c r="G1467" s="8" t="str">
        <f>IFERROR(VLOOKUP(LOG_RESEAU[[#This Row],[Cell_ID]],Registre_Maintenance!A:D,4,FALSE),"Non trouvé")</f>
        <v>Non trouvé</v>
      </c>
      <c r="H1467" s="6" t="str">
        <f>IFERROR(VLOOKUP(LOG_RESEAU[[#This Row],[Cell_ID]],Registre_Maintenance!A:E,5,FALSE),"Non trouvé")</f>
        <v>Non trouvé</v>
      </c>
      <c r="I1467" s="6" t="str">
        <f>IFERROR(VLOOKUP(LOG_RESEAU[[#This Row],[Cell_ID]],Registre_Maintenance!A:F,6,FALSE),"Non trouvé")</f>
        <v>Non trouvé</v>
      </c>
      <c r="J1467" s="6" t="str">
        <f t="shared" si="66"/>
        <v>Antenne inconnue</v>
      </c>
      <c r="K1467" s="6">
        <f t="shared" si="67"/>
        <v>2</v>
      </c>
      <c r="L1467" s="6">
        <f t="shared" si="68"/>
        <v>92</v>
      </c>
    </row>
    <row r="1468" spans="1:12" ht="15.75" x14ac:dyDescent="0.25">
      <c r="A1468" s="6" t="s">
        <v>1505</v>
      </c>
      <c r="B1468" s="7">
        <v>45208.961805555547</v>
      </c>
      <c r="C1468" s="6">
        <v>68</v>
      </c>
      <c r="D1468" s="6" t="s">
        <v>794</v>
      </c>
      <c r="E1468" s="8" t="str">
        <f>IFERROR(VLOOKUP(LOG_RESEAU[[#This Row],[Cell_ID]],Registre_Maintenance!A:B,2,FALSE),"Non trouvé")</f>
        <v>Bas-Uele</v>
      </c>
      <c r="F1468" s="8">
        <f>IFERROR(VLOOKUP(LOG_RESEAU[[#This Row],[Cell_ID]],Registre_Maintenance!A:C,3,FALSE),"Non trouvé")</f>
        <v>-2.3269820000000001</v>
      </c>
      <c r="G1468" s="8">
        <f>IFERROR(VLOOKUP(LOG_RESEAU[[#This Row],[Cell_ID]],Registre_Maintenance!A:D,4,FALSE),"Non trouvé")</f>
        <v>14.609259</v>
      </c>
      <c r="H1468" s="6" t="str">
        <f>IFERROR(VLOOKUP(LOG_RESEAU[[#This Row],[Cell_ID]],Registre_Maintenance!A:E,5,FALSE),"Non trouvé")</f>
        <v>3G</v>
      </c>
      <c r="I1468" s="6" t="str">
        <f>IFERROR(VLOOKUP(LOG_RESEAU[[#This Row],[Cell_ID]],Registre_Maintenance!A:F,6,FALSE),"Non trouvé")</f>
        <v>Nokia</v>
      </c>
      <c r="J1468" s="6" t="str">
        <f t="shared" si="66"/>
        <v>OK</v>
      </c>
      <c r="K1468" s="6">
        <f t="shared" si="67"/>
        <v>1</v>
      </c>
      <c r="L1468" s="6">
        <f t="shared" si="68"/>
        <v>68</v>
      </c>
    </row>
    <row r="1469" spans="1:12" ht="15.75" x14ac:dyDescent="0.25">
      <c r="A1469" s="6" t="s">
        <v>1082</v>
      </c>
      <c r="B1469" s="7">
        <v>45230.004861111112</v>
      </c>
      <c r="C1469" s="6">
        <v>58</v>
      </c>
      <c r="D1469" s="6" t="s">
        <v>794</v>
      </c>
      <c r="E1469" s="8" t="str">
        <f>IFERROR(VLOOKUP(LOG_RESEAU[[#This Row],[Cell_ID]],Registre_Maintenance!A:B,2,FALSE),"Non trouvé")</f>
        <v>Lualaba</v>
      </c>
      <c r="F1469" s="8">
        <f>IFERROR(VLOOKUP(LOG_RESEAU[[#This Row],[Cell_ID]],Registre_Maintenance!A:C,3,FALSE),"Non trouvé")</f>
        <v>-7.4608439999999998</v>
      </c>
      <c r="G1469" s="8">
        <f>IFERROR(VLOOKUP(LOG_RESEAU[[#This Row],[Cell_ID]],Registre_Maintenance!A:D,4,FALSE),"Non trouvé")</f>
        <v>23.268619999999999</v>
      </c>
      <c r="H1469" s="6" t="str">
        <f>IFERROR(VLOOKUP(LOG_RESEAU[[#This Row],[Cell_ID]],Registre_Maintenance!A:E,5,FALSE),"Non trouvé")</f>
        <v>4G</v>
      </c>
      <c r="I1469" s="6" t="str">
        <f>IFERROR(VLOOKUP(LOG_RESEAU[[#This Row],[Cell_ID]],Registre_Maintenance!A:F,6,FALSE),"Non trouvé")</f>
        <v>Huawei</v>
      </c>
      <c r="J1469" s="6" t="str">
        <f t="shared" si="66"/>
        <v>OK</v>
      </c>
      <c r="K1469" s="6">
        <f t="shared" si="67"/>
        <v>1</v>
      </c>
      <c r="L1469" s="6">
        <f t="shared" si="68"/>
        <v>58</v>
      </c>
    </row>
    <row r="1470" spans="1:12" ht="15.75" x14ac:dyDescent="0.25">
      <c r="A1470" s="6" t="s">
        <v>1521</v>
      </c>
      <c r="B1470" s="7">
        <v>45223.3125</v>
      </c>
      <c r="C1470" s="6">
        <v>62</v>
      </c>
      <c r="D1470" s="6" t="s">
        <v>794</v>
      </c>
      <c r="E1470" s="8" t="str">
        <f>IFERROR(VLOOKUP(LOG_RESEAU[[#This Row],[Cell_ID]],Registre_Maintenance!A:B,2,FALSE),"Non trouvé")</f>
        <v>Non trouvé</v>
      </c>
      <c r="F1470" s="8" t="str">
        <f>IFERROR(VLOOKUP(LOG_RESEAU[[#This Row],[Cell_ID]],Registre_Maintenance!A:C,3,FALSE),"Non trouvé")</f>
        <v>Non trouvé</v>
      </c>
      <c r="G1470" s="8" t="str">
        <f>IFERROR(VLOOKUP(LOG_RESEAU[[#This Row],[Cell_ID]],Registre_Maintenance!A:D,4,FALSE),"Non trouvé")</f>
        <v>Non trouvé</v>
      </c>
      <c r="H1470" s="6" t="str">
        <f>IFERROR(VLOOKUP(LOG_RESEAU[[#This Row],[Cell_ID]],Registre_Maintenance!A:E,5,FALSE),"Non trouvé")</f>
        <v>Non trouvé</v>
      </c>
      <c r="I1470" s="6" t="str">
        <f>IFERROR(VLOOKUP(LOG_RESEAU[[#This Row],[Cell_ID]],Registre_Maintenance!A:F,6,FALSE),"Non trouvé")</f>
        <v>Non trouvé</v>
      </c>
      <c r="J1470" s="6" t="str">
        <f t="shared" si="66"/>
        <v>Antenne inconnue</v>
      </c>
      <c r="K1470" s="6">
        <f t="shared" si="67"/>
        <v>1</v>
      </c>
      <c r="L1470" s="6">
        <f t="shared" si="68"/>
        <v>62</v>
      </c>
    </row>
    <row r="1471" spans="1:12" ht="15.75" x14ac:dyDescent="0.25">
      <c r="A1471" s="6" t="s">
        <v>1070</v>
      </c>
      <c r="B1471" s="7">
        <v>45223.710416666669</v>
      </c>
      <c r="C1471" s="6">
        <v>43</v>
      </c>
      <c r="D1471" s="6" t="s">
        <v>800</v>
      </c>
      <c r="E1471" s="8" t="str">
        <f>IFERROR(VLOOKUP(LOG_RESEAU[[#This Row],[Cell_ID]],Registre_Maintenance!A:B,2,FALSE),"Non trouvé")</f>
        <v>Non trouvé</v>
      </c>
      <c r="F1471" s="8" t="str">
        <f>IFERROR(VLOOKUP(LOG_RESEAU[[#This Row],[Cell_ID]],Registre_Maintenance!A:C,3,FALSE),"Non trouvé")</f>
        <v>Non trouvé</v>
      </c>
      <c r="G1471" s="8" t="str">
        <f>IFERROR(VLOOKUP(LOG_RESEAU[[#This Row],[Cell_ID]],Registre_Maintenance!A:D,4,FALSE),"Non trouvé")</f>
        <v>Non trouvé</v>
      </c>
      <c r="H1471" s="6" t="str">
        <f>IFERROR(VLOOKUP(LOG_RESEAU[[#This Row],[Cell_ID]],Registre_Maintenance!A:E,5,FALSE),"Non trouvé")</f>
        <v>Non trouvé</v>
      </c>
      <c r="I1471" s="6" t="str">
        <f>IFERROR(VLOOKUP(LOG_RESEAU[[#This Row],[Cell_ID]],Registre_Maintenance!A:F,6,FALSE),"Non trouvé")</f>
        <v>Non trouvé</v>
      </c>
      <c r="J1471" s="6" t="str">
        <f t="shared" si="66"/>
        <v>Antenne inconnue</v>
      </c>
      <c r="K1471" s="6">
        <f t="shared" si="67"/>
        <v>2</v>
      </c>
      <c r="L1471" s="6">
        <f t="shared" si="68"/>
        <v>146</v>
      </c>
    </row>
    <row r="1472" spans="1:12" ht="15.75" x14ac:dyDescent="0.25">
      <c r="A1472" s="6" t="s">
        <v>1070</v>
      </c>
      <c r="B1472" s="7">
        <v>45222.879166666673</v>
      </c>
      <c r="C1472" s="6">
        <v>103</v>
      </c>
      <c r="D1472" s="6" t="s">
        <v>792</v>
      </c>
      <c r="E1472" s="8" t="str">
        <f>IFERROR(VLOOKUP(LOG_RESEAU[[#This Row],[Cell_ID]],Registre_Maintenance!A:B,2,FALSE),"Non trouvé")</f>
        <v>Non trouvé</v>
      </c>
      <c r="F1472" s="8" t="str">
        <f>IFERROR(VLOOKUP(LOG_RESEAU[[#This Row],[Cell_ID]],Registre_Maintenance!A:C,3,FALSE),"Non trouvé")</f>
        <v>Non trouvé</v>
      </c>
      <c r="G1472" s="8" t="str">
        <f>IFERROR(VLOOKUP(LOG_RESEAU[[#This Row],[Cell_ID]],Registre_Maintenance!A:D,4,FALSE),"Non trouvé")</f>
        <v>Non trouvé</v>
      </c>
      <c r="H1472" s="6" t="str">
        <f>IFERROR(VLOOKUP(LOG_RESEAU[[#This Row],[Cell_ID]],Registre_Maintenance!A:E,5,FALSE),"Non trouvé")</f>
        <v>Non trouvé</v>
      </c>
      <c r="I1472" s="6" t="str">
        <f>IFERROR(VLOOKUP(LOG_RESEAU[[#This Row],[Cell_ID]],Registre_Maintenance!A:F,6,FALSE),"Non trouvé")</f>
        <v>Non trouvé</v>
      </c>
      <c r="J1472" s="6" t="str">
        <f t="shared" si="66"/>
        <v>Antenne inconnue</v>
      </c>
      <c r="K1472" s="6">
        <f t="shared" si="67"/>
        <v>2</v>
      </c>
      <c r="L1472" s="6">
        <f t="shared" si="68"/>
        <v>146</v>
      </c>
    </row>
    <row r="1473" spans="1:12" ht="15.75" x14ac:dyDescent="0.25">
      <c r="A1473" s="6" t="s">
        <v>1513</v>
      </c>
      <c r="B1473" s="7">
        <v>45212.48541666667</v>
      </c>
      <c r="C1473" s="6">
        <v>75</v>
      </c>
      <c r="D1473" s="6" t="s">
        <v>794</v>
      </c>
      <c r="E1473" s="8" t="str">
        <f>IFERROR(VLOOKUP(LOG_RESEAU[[#This Row],[Cell_ID]],Registre_Maintenance!A:B,2,FALSE),"Non trouvé")</f>
        <v>Non trouvé</v>
      </c>
      <c r="F1473" s="8" t="str">
        <f>IFERROR(VLOOKUP(LOG_RESEAU[[#This Row],[Cell_ID]],Registre_Maintenance!A:C,3,FALSE),"Non trouvé")</f>
        <v>Non trouvé</v>
      </c>
      <c r="G1473" s="8" t="str">
        <f>IFERROR(VLOOKUP(LOG_RESEAU[[#This Row],[Cell_ID]],Registre_Maintenance!A:D,4,FALSE),"Non trouvé")</f>
        <v>Non trouvé</v>
      </c>
      <c r="H1473" s="6" t="str">
        <f>IFERROR(VLOOKUP(LOG_RESEAU[[#This Row],[Cell_ID]],Registre_Maintenance!A:E,5,FALSE),"Non trouvé")</f>
        <v>Non trouvé</v>
      </c>
      <c r="I1473" s="6" t="str">
        <f>IFERROR(VLOOKUP(LOG_RESEAU[[#This Row],[Cell_ID]],Registre_Maintenance!A:F,6,FALSE),"Non trouvé")</f>
        <v>Non trouvé</v>
      </c>
      <c r="J1473" s="6" t="str">
        <f t="shared" si="66"/>
        <v>Antenne inconnue</v>
      </c>
      <c r="K1473" s="6">
        <f t="shared" si="67"/>
        <v>1</v>
      </c>
      <c r="L1473" s="6">
        <f t="shared" si="68"/>
        <v>75</v>
      </c>
    </row>
    <row r="1474" spans="1:12" ht="15.75" x14ac:dyDescent="0.25">
      <c r="A1474" s="6" t="s">
        <v>1455</v>
      </c>
      <c r="B1474" s="7">
        <v>45201.585416666669</v>
      </c>
      <c r="C1474" s="6">
        <v>17</v>
      </c>
      <c r="D1474" s="6" t="s">
        <v>792</v>
      </c>
      <c r="E1474" s="8" t="str">
        <f>IFERROR(VLOOKUP(LOG_RESEAU[[#This Row],[Cell_ID]],Registre_Maintenance!A:B,2,FALSE),"Non trouvé")</f>
        <v>Non trouvé</v>
      </c>
      <c r="F1474" s="8" t="str">
        <f>IFERROR(VLOOKUP(LOG_RESEAU[[#This Row],[Cell_ID]],Registre_Maintenance!A:C,3,FALSE),"Non trouvé")</f>
        <v>Non trouvé</v>
      </c>
      <c r="G1474" s="8" t="str">
        <f>IFERROR(VLOOKUP(LOG_RESEAU[[#This Row],[Cell_ID]],Registre_Maintenance!A:D,4,FALSE),"Non trouvé")</f>
        <v>Non trouvé</v>
      </c>
      <c r="H1474" s="6" t="str">
        <f>IFERROR(VLOOKUP(LOG_RESEAU[[#This Row],[Cell_ID]],Registre_Maintenance!A:E,5,FALSE),"Non trouvé")</f>
        <v>Non trouvé</v>
      </c>
      <c r="I1474" s="6" t="str">
        <f>IFERROR(VLOOKUP(LOG_RESEAU[[#This Row],[Cell_ID]],Registre_Maintenance!A:F,6,FALSE),"Non trouvé")</f>
        <v>Non trouvé</v>
      </c>
      <c r="J1474" s="6" t="str">
        <f t="shared" ref="J1474:J1537" si="69">IF(ISERROR(SEARCH("Non trouvé",F1474)),"OK","Antenne inconnue")</f>
        <v>Antenne inconnue</v>
      </c>
      <c r="K1474" s="6">
        <f t="shared" ref="K1474:K1537" si="70">COUNTIF(A:A,A1474)</f>
        <v>1</v>
      </c>
      <c r="L1474" s="6">
        <f t="shared" ref="L1474:L1537" si="71">SUMIF(A:A,A1474,C:C)</f>
        <v>17</v>
      </c>
    </row>
    <row r="1475" spans="1:12" ht="15.75" x14ac:dyDescent="0.25">
      <c r="A1475" s="6" t="s">
        <v>1379</v>
      </c>
      <c r="B1475" s="7">
        <v>45214.634722222218</v>
      </c>
      <c r="C1475" s="6">
        <v>112</v>
      </c>
      <c r="D1475" s="6" t="s">
        <v>800</v>
      </c>
      <c r="E1475" s="8" t="str">
        <f>IFERROR(VLOOKUP(LOG_RESEAU[[#This Row],[Cell_ID]],Registre_Maintenance!A:B,2,FALSE),"Non trouvé")</f>
        <v>Equateur</v>
      </c>
      <c r="F1475" s="8">
        <f>IFERROR(VLOOKUP(LOG_RESEAU[[#This Row],[Cell_ID]],Registre_Maintenance!A:C,3,FALSE),"Non trouvé")</f>
        <v>-6.1490739999999997</v>
      </c>
      <c r="G1475" s="8">
        <f>IFERROR(VLOOKUP(LOG_RESEAU[[#This Row],[Cell_ID]],Registre_Maintenance!A:D,4,FALSE),"Non trouvé")</f>
        <v>23.304411000000002</v>
      </c>
      <c r="H1475" s="6" t="str">
        <f>IFERROR(VLOOKUP(LOG_RESEAU[[#This Row],[Cell_ID]],Registre_Maintenance!A:E,5,FALSE),"Non trouvé")</f>
        <v>5G</v>
      </c>
      <c r="I1475" s="6" t="str">
        <f>IFERROR(VLOOKUP(LOG_RESEAU[[#This Row],[Cell_ID]],Registre_Maintenance!A:F,6,FALSE),"Non trouvé")</f>
        <v>ZTE</v>
      </c>
      <c r="J1475" s="6" t="str">
        <f t="shared" si="69"/>
        <v>OK</v>
      </c>
      <c r="K1475" s="6">
        <f t="shared" si="70"/>
        <v>3</v>
      </c>
      <c r="L1475" s="6">
        <f t="shared" si="71"/>
        <v>197</v>
      </c>
    </row>
    <row r="1476" spans="1:12" ht="15.75" x14ac:dyDescent="0.25">
      <c r="A1476" s="6" t="s">
        <v>1379</v>
      </c>
      <c r="B1476" s="7">
        <v>45204.122916666667</v>
      </c>
      <c r="C1476" s="6">
        <v>34</v>
      </c>
      <c r="D1476" s="6" t="s">
        <v>794</v>
      </c>
      <c r="E1476" s="8" t="str">
        <f>IFERROR(VLOOKUP(LOG_RESEAU[[#This Row],[Cell_ID]],Registre_Maintenance!A:B,2,FALSE),"Non trouvé")</f>
        <v>Equateur</v>
      </c>
      <c r="F1476" s="8">
        <f>IFERROR(VLOOKUP(LOG_RESEAU[[#This Row],[Cell_ID]],Registre_Maintenance!A:C,3,FALSE),"Non trouvé")</f>
        <v>-6.1490739999999997</v>
      </c>
      <c r="G1476" s="8">
        <f>IFERROR(VLOOKUP(LOG_RESEAU[[#This Row],[Cell_ID]],Registre_Maintenance!A:D,4,FALSE),"Non trouvé")</f>
        <v>23.304411000000002</v>
      </c>
      <c r="H1476" s="6" t="str">
        <f>IFERROR(VLOOKUP(LOG_RESEAU[[#This Row],[Cell_ID]],Registre_Maintenance!A:E,5,FALSE),"Non trouvé")</f>
        <v>5G</v>
      </c>
      <c r="I1476" s="6" t="str">
        <f>IFERROR(VLOOKUP(LOG_RESEAU[[#This Row],[Cell_ID]],Registre_Maintenance!A:F,6,FALSE),"Non trouvé")</f>
        <v>ZTE</v>
      </c>
      <c r="J1476" s="6" t="str">
        <f t="shared" si="69"/>
        <v>OK</v>
      </c>
      <c r="K1476" s="6">
        <f t="shared" si="70"/>
        <v>3</v>
      </c>
      <c r="L1476" s="6">
        <f t="shared" si="71"/>
        <v>197</v>
      </c>
    </row>
    <row r="1477" spans="1:12" ht="15.75" x14ac:dyDescent="0.25">
      <c r="A1477" s="6" t="s">
        <v>1379</v>
      </c>
      <c r="B1477" s="7">
        <v>45209.988888888889</v>
      </c>
      <c r="C1477" s="6">
        <v>51</v>
      </c>
      <c r="D1477" s="6" t="s">
        <v>800</v>
      </c>
      <c r="E1477" s="8" t="str">
        <f>IFERROR(VLOOKUP(LOG_RESEAU[[#This Row],[Cell_ID]],Registre_Maintenance!A:B,2,FALSE),"Non trouvé")</f>
        <v>Equateur</v>
      </c>
      <c r="F1477" s="8">
        <f>IFERROR(VLOOKUP(LOG_RESEAU[[#This Row],[Cell_ID]],Registre_Maintenance!A:C,3,FALSE),"Non trouvé")</f>
        <v>-6.1490739999999997</v>
      </c>
      <c r="G1477" s="8">
        <f>IFERROR(VLOOKUP(LOG_RESEAU[[#This Row],[Cell_ID]],Registre_Maintenance!A:D,4,FALSE),"Non trouvé")</f>
        <v>23.304411000000002</v>
      </c>
      <c r="H1477" s="6" t="str">
        <f>IFERROR(VLOOKUP(LOG_RESEAU[[#This Row],[Cell_ID]],Registre_Maintenance!A:E,5,FALSE),"Non trouvé")</f>
        <v>5G</v>
      </c>
      <c r="I1477" s="6" t="str">
        <f>IFERROR(VLOOKUP(LOG_RESEAU[[#This Row],[Cell_ID]],Registre_Maintenance!A:F,6,FALSE),"Non trouvé")</f>
        <v>ZTE</v>
      </c>
      <c r="J1477" s="6" t="str">
        <f t="shared" si="69"/>
        <v>OK</v>
      </c>
      <c r="K1477" s="6">
        <f t="shared" si="70"/>
        <v>3</v>
      </c>
      <c r="L1477" s="6">
        <f t="shared" si="71"/>
        <v>197</v>
      </c>
    </row>
    <row r="1478" spans="1:12" ht="15.75" x14ac:dyDescent="0.25">
      <c r="A1478" s="6" t="s">
        <v>1368</v>
      </c>
      <c r="B1478" s="7">
        <v>45204.011111111111</v>
      </c>
      <c r="C1478" s="6">
        <v>12</v>
      </c>
      <c r="D1478" s="6" t="s">
        <v>800</v>
      </c>
      <c r="E1478" s="8" t="str">
        <f>IFERROR(VLOOKUP(LOG_RESEAU[[#This Row],[Cell_ID]],Registre_Maintenance!A:B,2,FALSE),"Non trouvé")</f>
        <v>Maniema</v>
      </c>
      <c r="F1478" s="8">
        <f>IFERROR(VLOOKUP(LOG_RESEAU[[#This Row],[Cell_ID]],Registre_Maintenance!A:C,3,FALSE),"Non trouvé")</f>
        <v>-1.6488929999999999</v>
      </c>
      <c r="G1478" s="8">
        <f>IFERROR(VLOOKUP(LOG_RESEAU[[#This Row],[Cell_ID]],Registre_Maintenance!A:D,4,FALSE),"Non trouvé")</f>
        <v>27.284617000000001</v>
      </c>
      <c r="H1478" s="6" t="str">
        <f>IFERROR(VLOOKUP(LOG_RESEAU[[#This Row],[Cell_ID]],Registre_Maintenance!A:E,5,FALSE),"Non trouvé")</f>
        <v>5G</v>
      </c>
      <c r="I1478" s="6" t="str">
        <f>IFERROR(VLOOKUP(LOG_RESEAU[[#This Row],[Cell_ID]],Registre_Maintenance!A:F,6,FALSE),"Non trouvé")</f>
        <v>Nokia</v>
      </c>
      <c r="J1478" s="6" t="str">
        <f t="shared" si="69"/>
        <v>OK</v>
      </c>
      <c r="K1478" s="6">
        <f t="shared" si="70"/>
        <v>1</v>
      </c>
      <c r="L1478" s="6">
        <f t="shared" si="71"/>
        <v>12</v>
      </c>
    </row>
    <row r="1479" spans="1:12" ht="15.75" x14ac:dyDescent="0.25">
      <c r="A1479" s="6" t="s">
        <v>1397</v>
      </c>
      <c r="B1479" s="7">
        <v>45226.964583333327</v>
      </c>
      <c r="C1479" s="6">
        <v>27</v>
      </c>
      <c r="D1479" s="6" t="s">
        <v>800</v>
      </c>
      <c r="E1479" s="8" t="str">
        <f>IFERROR(VLOOKUP(LOG_RESEAU[[#This Row],[Cell_ID]],Registre_Maintenance!A:B,2,FALSE),"Non trouvé")</f>
        <v>Lualaba</v>
      </c>
      <c r="F1479" s="8">
        <f>IFERROR(VLOOKUP(LOG_RESEAU[[#This Row],[Cell_ID]],Registre_Maintenance!A:C,3,FALSE),"Non trouvé")</f>
        <v>-11.354772000000001</v>
      </c>
      <c r="G1479" s="8">
        <f>IFERROR(VLOOKUP(LOG_RESEAU[[#This Row],[Cell_ID]],Registre_Maintenance!A:D,4,FALSE),"Non trouvé")</f>
        <v>21.957325999999998</v>
      </c>
      <c r="H1479" s="6" t="str">
        <f>IFERROR(VLOOKUP(LOG_RESEAU[[#This Row],[Cell_ID]],Registre_Maintenance!A:E,5,FALSE),"Non trouvé")</f>
        <v>3G</v>
      </c>
      <c r="I1479" s="6" t="str">
        <f>IFERROR(VLOOKUP(LOG_RESEAU[[#This Row],[Cell_ID]],Registre_Maintenance!A:F,6,FALSE),"Non trouvé")</f>
        <v>Nokia</v>
      </c>
      <c r="J1479" s="6" t="str">
        <f t="shared" si="69"/>
        <v>OK</v>
      </c>
      <c r="K1479" s="6">
        <f t="shared" si="70"/>
        <v>1</v>
      </c>
      <c r="L1479" s="6">
        <f t="shared" si="71"/>
        <v>27</v>
      </c>
    </row>
    <row r="1480" spans="1:12" ht="15.75" x14ac:dyDescent="0.25">
      <c r="A1480" s="6" t="s">
        <v>1048</v>
      </c>
      <c r="B1480" s="7">
        <v>45204.338888888888</v>
      </c>
      <c r="C1480" s="6">
        <v>60</v>
      </c>
      <c r="D1480" s="6" t="s">
        <v>794</v>
      </c>
      <c r="E1480" s="8" t="str">
        <f>IFERROR(VLOOKUP(LOG_RESEAU[[#This Row],[Cell_ID]],Registre_Maintenance!A:B,2,FALSE),"Non trouvé")</f>
        <v>Non trouvé</v>
      </c>
      <c r="F1480" s="8" t="str">
        <f>IFERROR(VLOOKUP(LOG_RESEAU[[#This Row],[Cell_ID]],Registre_Maintenance!A:C,3,FALSE),"Non trouvé")</f>
        <v>Non trouvé</v>
      </c>
      <c r="G1480" s="8" t="str">
        <f>IFERROR(VLOOKUP(LOG_RESEAU[[#This Row],[Cell_ID]],Registre_Maintenance!A:D,4,FALSE),"Non trouvé")</f>
        <v>Non trouvé</v>
      </c>
      <c r="H1480" s="6" t="str">
        <f>IFERROR(VLOOKUP(LOG_RESEAU[[#This Row],[Cell_ID]],Registre_Maintenance!A:E,5,FALSE),"Non trouvé")</f>
        <v>Non trouvé</v>
      </c>
      <c r="I1480" s="6" t="str">
        <f>IFERROR(VLOOKUP(LOG_RESEAU[[#This Row],[Cell_ID]],Registre_Maintenance!A:F,6,FALSE),"Non trouvé")</f>
        <v>Non trouvé</v>
      </c>
      <c r="J1480" s="6" t="str">
        <f t="shared" si="69"/>
        <v>Antenne inconnue</v>
      </c>
      <c r="K1480" s="6">
        <f t="shared" si="70"/>
        <v>2</v>
      </c>
      <c r="L1480" s="6">
        <f t="shared" si="71"/>
        <v>83</v>
      </c>
    </row>
    <row r="1481" spans="1:12" ht="15.75" x14ac:dyDescent="0.25">
      <c r="A1481" s="6" t="s">
        <v>1048</v>
      </c>
      <c r="B1481" s="7">
        <v>45203.273611111108</v>
      </c>
      <c r="C1481" s="6">
        <v>23</v>
      </c>
      <c r="D1481" s="6" t="s">
        <v>792</v>
      </c>
      <c r="E1481" s="8" t="str">
        <f>IFERROR(VLOOKUP(LOG_RESEAU[[#This Row],[Cell_ID]],Registre_Maintenance!A:B,2,FALSE),"Non trouvé")</f>
        <v>Non trouvé</v>
      </c>
      <c r="F1481" s="8" t="str">
        <f>IFERROR(VLOOKUP(LOG_RESEAU[[#This Row],[Cell_ID]],Registre_Maintenance!A:C,3,FALSE),"Non trouvé")</f>
        <v>Non trouvé</v>
      </c>
      <c r="G1481" s="8" t="str">
        <f>IFERROR(VLOOKUP(LOG_RESEAU[[#This Row],[Cell_ID]],Registre_Maintenance!A:D,4,FALSE),"Non trouvé")</f>
        <v>Non trouvé</v>
      </c>
      <c r="H1481" s="6" t="str">
        <f>IFERROR(VLOOKUP(LOG_RESEAU[[#This Row],[Cell_ID]],Registre_Maintenance!A:E,5,FALSE),"Non trouvé")</f>
        <v>Non trouvé</v>
      </c>
      <c r="I1481" s="6" t="str">
        <f>IFERROR(VLOOKUP(LOG_RESEAU[[#This Row],[Cell_ID]],Registre_Maintenance!A:F,6,FALSE),"Non trouvé")</f>
        <v>Non trouvé</v>
      </c>
      <c r="J1481" s="6" t="str">
        <f t="shared" si="69"/>
        <v>Antenne inconnue</v>
      </c>
      <c r="K1481" s="6">
        <f t="shared" si="70"/>
        <v>2</v>
      </c>
      <c r="L1481" s="6">
        <f t="shared" si="71"/>
        <v>83</v>
      </c>
    </row>
    <row r="1482" spans="1:12" ht="15.75" x14ac:dyDescent="0.25">
      <c r="A1482" s="6" t="s">
        <v>1445</v>
      </c>
      <c r="B1482" s="7">
        <v>45208.10833333333</v>
      </c>
      <c r="C1482" s="6">
        <v>102</v>
      </c>
      <c r="D1482" s="6" t="s">
        <v>800</v>
      </c>
      <c r="E1482" s="8" t="str">
        <f>IFERROR(VLOOKUP(LOG_RESEAU[[#This Row],[Cell_ID]],Registre_Maintenance!A:B,2,FALSE),"Non trouvé")</f>
        <v>Sud-Kivu</v>
      </c>
      <c r="F1482" s="8">
        <f>IFERROR(VLOOKUP(LOG_RESEAU[[#This Row],[Cell_ID]],Registre_Maintenance!A:C,3,FALSE),"Non trouvé")</f>
        <v>-1.4700059999999999</v>
      </c>
      <c r="G1482" s="8">
        <f>IFERROR(VLOOKUP(LOG_RESEAU[[#This Row],[Cell_ID]],Registre_Maintenance!A:D,4,FALSE),"Non trouvé")</f>
        <v>18.680958</v>
      </c>
      <c r="H1482" s="6" t="str">
        <f>IFERROR(VLOOKUP(LOG_RESEAU[[#This Row],[Cell_ID]],Registre_Maintenance!A:E,5,FALSE),"Non trouvé")</f>
        <v>3G</v>
      </c>
      <c r="I1482" s="6" t="str">
        <f>IFERROR(VLOOKUP(LOG_RESEAU[[#This Row],[Cell_ID]],Registre_Maintenance!A:F,6,FALSE),"Non trouvé")</f>
        <v>Huawei</v>
      </c>
      <c r="J1482" s="6" t="str">
        <f t="shared" si="69"/>
        <v>OK</v>
      </c>
      <c r="K1482" s="6">
        <f t="shared" si="70"/>
        <v>2</v>
      </c>
      <c r="L1482" s="6">
        <f t="shared" si="71"/>
        <v>181</v>
      </c>
    </row>
    <row r="1483" spans="1:12" ht="15.75" x14ac:dyDescent="0.25">
      <c r="A1483" s="6" t="s">
        <v>1445</v>
      </c>
      <c r="B1483" s="7">
        <v>45220.618750000001</v>
      </c>
      <c r="C1483" s="6">
        <v>79</v>
      </c>
      <c r="D1483" s="6" t="s">
        <v>794</v>
      </c>
      <c r="E1483" s="8" t="str">
        <f>IFERROR(VLOOKUP(LOG_RESEAU[[#This Row],[Cell_ID]],Registre_Maintenance!A:B,2,FALSE),"Non trouvé")</f>
        <v>Sud-Kivu</v>
      </c>
      <c r="F1483" s="8">
        <f>IFERROR(VLOOKUP(LOG_RESEAU[[#This Row],[Cell_ID]],Registre_Maintenance!A:C,3,FALSE),"Non trouvé")</f>
        <v>-1.4700059999999999</v>
      </c>
      <c r="G1483" s="8">
        <f>IFERROR(VLOOKUP(LOG_RESEAU[[#This Row],[Cell_ID]],Registre_Maintenance!A:D,4,FALSE),"Non trouvé")</f>
        <v>18.680958</v>
      </c>
      <c r="H1483" s="6" t="str">
        <f>IFERROR(VLOOKUP(LOG_RESEAU[[#This Row],[Cell_ID]],Registre_Maintenance!A:E,5,FALSE),"Non trouvé")</f>
        <v>3G</v>
      </c>
      <c r="I1483" s="6" t="str">
        <f>IFERROR(VLOOKUP(LOG_RESEAU[[#This Row],[Cell_ID]],Registre_Maintenance!A:F,6,FALSE),"Non trouvé")</f>
        <v>Huawei</v>
      </c>
      <c r="J1483" s="6" t="str">
        <f t="shared" si="69"/>
        <v>OK</v>
      </c>
      <c r="K1483" s="6">
        <f t="shared" si="70"/>
        <v>2</v>
      </c>
      <c r="L1483" s="6">
        <f t="shared" si="71"/>
        <v>181</v>
      </c>
    </row>
    <row r="1484" spans="1:12" ht="15.75" x14ac:dyDescent="0.25">
      <c r="A1484" s="6" t="s">
        <v>1250</v>
      </c>
      <c r="B1484" s="7">
        <v>45230.061111111107</v>
      </c>
      <c r="C1484" s="6">
        <v>103</v>
      </c>
      <c r="D1484" s="6" t="s">
        <v>794</v>
      </c>
      <c r="E1484" s="8" t="str">
        <f>IFERROR(VLOOKUP(LOG_RESEAU[[#This Row],[Cell_ID]],Registre_Maintenance!A:B,2,FALSE),"Non trouvé")</f>
        <v>Non trouvé</v>
      </c>
      <c r="F1484" s="8" t="str">
        <f>IFERROR(VLOOKUP(LOG_RESEAU[[#This Row],[Cell_ID]],Registre_Maintenance!A:C,3,FALSE),"Non trouvé")</f>
        <v>Non trouvé</v>
      </c>
      <c r="G1484" s="8" t="str">
        <f>IFERROR(VLOOKUP(LOG_RESEAU[[#This Row],[Cell_ID]],Registre_Maintenance!A:D,4,FALSE),"Non trouvé")</f>
        <v>Non trouvé</v>
      </c>
      <c r="H1484" s="6" t="str">
        <f>IFERROR(VLOOKUP(LOG_RESEAU[[#This Row],[Cell_ID]],Registre_Maintenance!A:E,5,FALSE),"Non trouvé")</f>
        <v>Non trouvé</v>
      </c>
      <c r="I1484" s="6" t="str">
        <f>IFERROR(VLOOKUP(LOG_RESEAU[[#This Row],[Cell_ID]],Registre_Maintenance!A:F,6,FALSE),"Non trouvé")</f>
        <v>Non trouvé</v>
      </c>
      <c r="J1484" s="6" t="str">
        <f t="shared" si="69"/>
        <v>Antenne inconnue</v>
      </c>
      <c r="K1484" s="6">
        <f t="shared" si="70"/>
        <v>2</v>
      </c>
      <c r="L1484" s="6">
        <f t="shared" si="71"/>
        <v>164</v>
      </c>
    </row>
    <row r="1485" spans="1:12" ht="15.75" x14ac:dyDescent="0.25">
      <c r="A1485" s="6" t="s">
        <v>1250</v>
      </c>
      <c r="B1485" s="7">
        <v>45223.719444444447</v>
      </c>
      <c r="C1485" s="6">
        <v>61</v>
      </c>
      <c r="D1485" s="6" t="s">
        <v>800</v>
      </c>
      <c r="E1485" s="8" t="str">
        <f>IFERROR(VLOOKUP(LOG_RESEAU[[#This Row],[Cell_ID]],Registre_Maintenance!A:B,2,FALSE),"Non trouvé")</f>
        <v>Non trouvé</v>
      </c>
      <c r="F1485" s="8" t="str">
        <f>IFERROR(VLOOKUP(LOG_RESEAU[[#This Row],[Cell_ID]],Registre_Maintenance!A:C,3,FALSE),"Non trouvé")</f>
        <v>Non trouvé</v>
      </c>
      <c r="G1485" s="8" t="str">
        <f>IFERROR(VLOOKUP(LOG_RESEAU[[#This Row],[Cell_ID]],Registre_Maintenance!A:D,4,FALSE),"Non trouvé")</f>
        <v>Non trouvé</v>
      </c>
      <c r="H1485" s="6" t="str">
        <f>IFERROR(VLOOKUP(LOG_RESEAU[[#This Row],[Cell_ID]],Registre_Maintenance!A:E,5,FALSE),"Non trouvé")</f>
        <v>Non trouvé</v>
      </c>
      <c r="I1485" s="6" t="str">
        <f>IFERROR(VLOOKUP(LOG_RESEAU[[#This Row],[Cell_ID]],Registre_Maintenance!A:F,6,FALSE),"Non trouvé")</f>
        <v>Non trouvé</v>
      </c>
      <c r="J1485" s="6" t="str">
        <f t="shared" si="69"/>
        <v>Antenne inconnue</v>
      </c>
      <c r="K1485" s="6">
        <f t="shared" si="70"/>
        <v>2</v>
      </c>
      <c r="L1485" s="6">
        <f t="shared" si="71"/>
        <v>164</v>
      </c>
    </row>
    <row r="1486" spans="1:12" ht="15.75" x14ac:dyDescent="0.25">
      <c r="A1486" s="6" t="s">
        <v>1482</v>
      </c>
      <c r="B1486" s="7">
        <v>45226.631249999999</v>
      </c>
      <c r="C1486" s="6">
        <v>112</v>
      </c>
      <c r="D1486" s="6" t="s">
        <v>800</v>
      </c>
      <c r="E1486" s="8" t="str">
        <f>IFERROR(VLOOKUP(LOG_RESEAU[[#This Row],[Cell_ID]],Registre_Maintenance!A:B,2,FALSE),"Non trouvé")</f>
        <v>Non trouvé</v>
      </c>
      <c r="F1486" s="8" t="str">
        <f>IFERROR(VLOOKUP(LOG_RESEAU[[#This Row],[Cell_ID]],Registre_Maintenance!A:C,3,FALSE),"Non trouvé")</f>
        <v>Non trouvé</v>
      </c>
      <c r="G1486" s="8" t="str">
        <f>IFERROR(VLOOKUP(LOG_RESEAU[[#This Row],[Cell_ID]],Registre_Maintenance!A:D,4,FALSE),"Non trouvé")</f>
        <v>Non trouvé</v>
      </c>
      <c r="H1486" s="6" t="str">
        <f>IFERROR(VLOOKUP(LOG_RESEAU[[#This Row],[Cell_ID]],Registre_Maintenance!A:E,5,FALSE),"Non trouvé")</f>
        <v>Non trouvé</v>
      </c>
      <c r="I1486" s="6" t="str">
        <f>IFERROR(VLOOKUP(LOG_RESEAU[[#This Row],[Cell_ID]],Registre_Maintenance!A:F,6,FALSE),"Non trouvé")</f>
        <v>Non trouvé</v>
      </c>
      <c r="J1486" s="6" t="str">
        <f t="shared" si="69"/>
        <v>Antenne inconnue</v>
      </c>
      <c r="K1486" s="6">
        <f t="shared" si="70"/>
        <v>1</v>
      </c>
      <c r="L1486" s="6">
        <f t="shared" si="71"/>
        <v>112</v>
      </c>
    </row>
    <row r="1487" spans="1:12" ht="15.75" x14ac:dyDescent="0.25">
      <c r="A1487" s="6" t="s">
        <v>1401</v>
      </c>
      <c r="B1487" s="7">
        <v>45200.445138888892</v>
      </c>
      <c r="C1487" s="6">
        <v>112</v>
      </c>
      <c r="D1487" s="6" t="s">
        <v>794</v>
      </c>
      <c r="E1487" s="8" t="str">
        <f>IFERROR(VLOOKUP(LOG_RESEAU[[#This Row],[Cell_ID]],Registre_Maintenance!A:B,2,FALSE),"Non trouvé")</f>
        <v>Haut-Katanga</v>
      </c>
      <c r="F1487" s="8">
        <f>IFERROR(VLOOKUP(LOG_RESEAU[[#This Row],[Cell_ID]],Registre_Maintenance!A:C,3,FALSE),"Non trouvé")</f>
        <v>-10.945031</v>
      </c>
      <c r="G1487" s="8">
        <f>IFERROR(VLOOKUP(LOG_RESEAU[[#This Row],[Cell_ID]],Registre_Maintenance!A:D,4,FALSE),"Non trouvé")</f>
        <v>27.922274000000002</v>
      </c>
      <c r="H1487" s="6" t="str">
        <f>IFERROR(VLOOKUP(LOG_RESEAU[[#This Row],[Cell_ID]],Registre_Maintenance!A:E,5,FALSE),"Non trouvé")</f>
        <v>4G</v>
      </c>
      <c r="I1487" s="6" t="str">
        <f>IFERROR(VLOOKUP(LOG_RESEAU[[#This Row],[Cell_ID]],Registre_Maintenance!A:F,6,FALSE),"Non trouvé")</f>
        <v>Ericsson</v>
      </c>
      <c r="J1487" s="6" t="str">
        <f t="shared" si="69"/>
        <v>OK</v>
      </c>
      <c r="K1487" s="6">
        <f t="shared" si="70"/>
        <v>3</v>
      </c>
      <c r="L1487" s="6">
        <f t="shared" si="71"/>
        <v>298</v>
      </c>
    </row>
    <row r="1488" spans="1:12" ht="15.75" x14ac:dyDescent="0.25">
      <c r="A1488" s="6" t="s">
        <v>1401</v>
      </c>
      <c r="B1488" s="7">
        <v>45230.12777777778</v>
      </c>
      <c r="C1488" s="6">
        <v>87</v>
      </c>
      <c r="D1488" s="6" t="s">
        <v>792</v>
      </c>
      <c r="E1488" s="8" t="str">
        <f>IFERROR(VLOOKUP(LOG_RESEAU[[#This Row],[Cell_ID]],Registre_Maintenance!A:B,2,FALSE),"Non trouvé")</f>
        <v>Haut-Katanga</v>
      </c>
      <c r="F1488" s="8">
        <f>IFERROR(VLOOKUP(LOG_RESEAU[[#This Row],[Cell_ID]],Registre_Maintenance!A:C,3,FALSE),"Non trouvé")</f>
        <v>-10.945031</v>
      </c>
      <c r="G1488" s="8">
        <f>IFERROR(VLOOKUP(LOG_RESEAU[[#This Row],[Cell_ID]],Registre_Maintenance!A:D,4,FALSE),"Non trouvé")</f>
        <v>27.922274000000002</v>
      </c>
      <c r="H1488" s="6" t="str">
        <f>IFERROR(VLOOKUP(LOG_RESEAU[[#This Row],[Cell_ID]],Registre_Maintenance!A:E,5,FALSE),"Non trouvé")</f>
        <v>4G</v>
      </c>
      <c r="I1488" s="6" t="str">
        <f>IFERROR(VLOOKUP(LOG_RESEAU[[#This Row],[Cell_ID]],Registre_Maintenance!A:F,6,FALSE),"Non trouvé")</f>
        <v>Ericsson</v>
      </c>
      <c r="J1488" s="6" t="str">
        <f t="shared" si="69"/>
        <v>OK</v>
      </c>
      <c r="K1488" s="6">
        <f t="shared" si="70"/>
        <v>3</v>
      </c>
      <c r="L1488" s="6">
        <f t="shared" si="71"/>
        <v>298</v>
      </c>
    </row>
    <row r="1489" spans="1:12" ht="15.75" x14ac:dyDescent="0.25">
      <c r="A1489" s="6" t="s">
        <v>1401</v>
      </c>
      <c r="B1489" s="7">
        <v>45200.506249999999</v>
      </c>
      <c r="C1489" s="6">
        <v>99</v>
      </c>
      <c r="D1489" s="6" t="s">
        <v>794</v>
      </c>
      <c r="E1489" s="8" t="str">
        <f>IFERROR(VLOOKUP(LOG_RESEAU[[#This Row],[Cell_ID]],Registre_Maintenance!A:B,2,FALSE),"Non trouvé")</f>
        <v>Haut-Katanga</v>
      </c>
      <c r="F1489" s="8">
        <f>IFERROR(VLOOKUP(LOG_RESEAU[[#This Row],[Cell_ID]],Registre_Maintenance!A:C,3,FALSE),"Non trouvé")</f>
        <v>-10.945031</v>
      </c>
      <c r="G1489" s="8">
        <f>IFERROR(VLOOKUP(LOG_RESEAU[[#This Row],[Cell_ID]],Registre_Maintenance!A:D,4,FALSE),"Non trouvé")</f>
        <v>27.922274000000002</v>
      </c>
      <c r="H1489" s="6" t="str">
        <f>IFERROR(VLOOKUP(LOG_RESEAU[[#This Row],[Cell_ID]],Registre_Maintenance!A:E,5,FALSE),"Non trouvé")</f>
        <v>4G</v>
      </c>
      <c r="I1489" s="6" t="str">
        <f>IFERROR(VLOOKUP(LOG_RESEAU[[#This Row],[Cell_ID]],Registre_Maintenance!A:F,6,FALSE),"Non trouvé")</f>
        <v>Ericsson</v>
      </c>
      <c r="J1489" s="6" t="str">
        <f t="shared" si="69"/>
        <v>OK</v>
      </c>
      <c r="K1489" s="6">
        <f t="shared" si="70"/>
        <v>3</v>
      </c>
      <c r="L1489" s="6">
        <f t="shared" si="71"/>
        <v>298</v>
      </c>
    </row>
    <row r="1490" spans="1:12" ht="15.75" x14ac:dyDescent="0.25">
      <c r="A1490" s="6" t="s">
        <v>1328</v>
      </c>
      <c r="B1490" s="7">
        <v>45217.384722222218</v>
      </c>
      <c r="C1490" s="6">
        <v>99</v>
      </c>
      <c r="D1490" s="6" t="s">
        <v>800</v>
      </c>
      <c r="E1490" s="8" t="str">
        <f>IFERROR(VLOOKUP(LOG_RESEAU[[#This Row],[Cell_ID]],Registre_Maintenance!A:B,2,FALSE),"Non trouvé")</f>
        <v>Haut-Lomami</v>
      </c>
      <c r="F1490" s="8">
        <f>IFERROR(VLOOKUP(LOG_RESEAU[[#This Row],[Cell_ID]],Registre_Maintenance!A:C,3,FALSE),"Non trouvé")</f>
        <v>-4.8157019999999999</v>
      </c>
      <c r="G1490" s="8">
        <f>IFERROR(VLOOKUP(LOG_RESEAU[[#This Row],[Cell_ID]],Registre_Maintenance!A:D,4,FALSE),"Non trouvé")</f>
        <v>27.679798000000002</v>
      </c>
      <c r="H1490" s="6" t="str">
        <f>IFERROR(VLOOKUP(LOG_RESEAU[[#This Row],[Cell_ID]],Registre_Maintenance!A:E,5,FALSE),"Non trouvé")</f>
        <v>3G</v>
      </c>
      <c r="I1490" s="6" t="str">
        <f>IFERROR(VLOOKUP(LOG_RESEAU[[#This Row],[Cell_ID]],Registre_Maintenance!A:F,6,FALSE),"Non trouvé")</f>
        <v>Ericsson</v>
      </c>
      <c r="J1490" s="6" t="str">
        <f t="shared" si="69"/>
        <v>OK</v>
      </c>
      <c r="K1490" s="6">
        <f t="shared" si="70"/>
        <v>1</v>
      </c>
      <c r="L1490" s="6">
        <f t="shared" si="71"/>
        <v>99</v>
      </c>
    </row>
    <row r="1491" spans="1:12" ht="15.75" x14ac:dyDescent="0.25">
      <c r="A1491" s="6" t="s">
        <v>1302</v>
      </c>
      <c r="B1491" s="7">
        <v>45228.736111111109</v>
      </c>
      <c r="C1491" s="6">
        <v>66</v>
      </c>
      <c r="D1491" s="6" t="s">
        <v>792</v>
      </c>
      <c r="E1491" s="8" t="str">
        <f>IFERROR(VLOOKUP(LOG_RESEAU[[#This Row],[Cell_ID]],Registre_Maintenance!A:B,2,FALSE),"Non trouvé")</f>
        <v>Kasai-Oriental</v>
      </c>
      <c r="F1491" s="8">
        <f>IFERROR(VLOOKUP(LOG_RESEAU[[#This Row],[Cell_ID]],Registre_Maintenance!A:C,3,FALSE),"Non trouvé")</f>
        <v>-4.4831099999999999</v>
      </c>
      <c r="G1491" s="8">
        <f>IFERROR(VLOOKUP(LOG_RESEAU[[#This Row],[Cell_ID]],Registre_Maintenance!A:D,4,FALSE),"Non trouvé")</f>
        <v>25.406548000000001</v>
      </c>
      <c r="H1491" s="6" t="str">
        <f>IFERROR(VLOOKUP(LOG_RESEAU[[#This Row],[Cell_ID]],Registre_Maintenance!A:E,5,FALSE),"Non trouvé")</f>
        <v>5G</v>
      </c>
      <c r="I1491" s="6" t="str">
        <f>IFERROR(VLOOKUP(LOG_RESEAU[[#This Row],[Cell_ID]],Registre_Maintenance!A:F,6,FALSE),"Non trouvé")</f>
        <v>Nokia</v>
      </c>
      <c r="J1491" s="6" t="str">
        <f t="shared" si="69"/>
        <v>OK</v>
      </c>
      <c r="K1491" s="6">
        <f t="shared" si="70"/>
        <v>1</v>
      </c>
      <c r="L1491" s="6">
        <f t="shared" si="71"/>
        <v>66</v>
      </c>
    </row>
    <row r="1492" spans="1:12" ht="15.75" x14ac:dyDescent="0.25">
      <c r="A1492" s="6" t="s">
        <v>1190</v>
      </c>
      <c r="B1492" s="7">
        <v>45222.52847222222</v>
      </c>
      <c r="C1492" s="6">
        <v>111</v>
      </c>
      <c r="D1492" s="6" t="s">
        <v>794</v>
      </c>
      <c r="E1492" s="8" t="str">
        <f>IFERROR(VLOOKUP(LOG_RESEAU[[#This Row],[Cell_ID]],Registre_Maintenance!A:B,2,FALSE),"Non trouvé")</f>
        <v>Non trouvé</v>
      </c>
      <c r="F1492" s="8" t="str">
        <f>IFERROR(VLOOKUP(LOG_RESEAU[[#This Row],[Cell_ID]],Registre_Maintenance!A:C,3,FALSE),"Non trouvé")</f>
        <v>Non trouvé</v>
      </c>
      <c r="G1492" s="8" t="str">
        <f>IFERROR(VLOOKUP(LOG_RESEAU[[#This Row],[Cell_ID]],Registre_Maintenance!A:D,4,FALSE),"Non trouvé")</f>
        <v>Non trouvé</v>
      </c>
      <c r="H1492" s="6" t="str">
        <f>IFERROR(VLOOKUP(LOG_RESEAU[[#This Row],[Cell_ID]],Registre_Maintenance!A:E,5,FALSE),"Non trouvé")</f>
        <v>Non trouvé</v>
      </c>
      <c r="I1492" s="6" t="str">
        <f>IFERROR(VLOOKUP(LOG_RESEAU[[#This Row],[Cell_ID]],Registre_Maintenance!A:F,6,FALSE),"Non trouvé")</f>
        <v>Non trouvé</v>
      </c>
      <c r="J1492" s="6" t="str">
        <f t="shared" si="69"/>
        <v>Antenne inconnue</v>
      </c>
      <c r="K1492" s="6">
        <f t="shared" si="70"/>
        <v>1</v>
      </c>
      <c r="L1492" s="6">
        <f t="shared" si="71"/>
        <v>111</v>
      </c>
    </row>
    <row r="1493" spans="1:12" ht="15.75" x14ac:dyDescent="0.25">
      <c r="A1493" s="6" t="s">
        <v>1442</v>
      </c>
      <c r="B1493" s="7">
        <v>45216.001388888893</v>
      </c>
      <c r="C1493" s="6">
        <v>74</v>
      </c>
      <c r="D1493" s="6" t="s">
        <v>792</v>
      </c>
      <c r="E1493" s="8" t="str">
        <f>IFERROR(VLOOKUP(LOG_RESEAU[[#This Row],[Cell_ID]],Registre_Maintenance!A:B,2,FALSE),"Non trouvé")</f>
        <v>Non trouvé</v>
      </c>
      <c r="F1493" s="8" t="str">
        <f>IFERROR(VLOOKUP(LOG_RESEAU[[#This Row],[Cell_ID]],Registre_Maintenance!A:C,3,FALSE),"Non trouvé")</f>
        <v>Non trouvé</v>
      </c>
      <c r="G1493" s="8" t="str">
        <f>IFERROR(VLOOKUP(LOG_RESEAU[[#This Row],[Cell_ID]],Registre_Maintenance!A:D,4,FALSE),"Non trouvé")</f>
        <v>Non trouvé</v>
      </c>
      <c r="H1493" s="6" t="str">
        <f>IFERROR(VLOOKUP(LOG_RESEAU[[#This Row],[Cell_ID]],Registre_Maintenance!A:E,5,FALSE),"Non trouvé")</f>
        <v>Non trouvé</v>
      </c>
      <c r="I1493" s="6" t="str">
        <f>IFERROR(VLOOKUP(LOG_RESEAU[[#This Row],[Cell_ID]],Registre_Maintenance!A:F,6,FALSE),"Non trouvé")</f>
        <v>Non trouvé</v>
      </c>
      <c r="J1493" s="6" t="str">
        <f t="shared" si="69"/>
        <v>Antenne inconnue</v>
      </c>
      <c r="K1493" s="6">
        <f t="shared" si="70"/>
        <v>2</v>
      </c>
      <c r="L1493" s="6">
        <f t="shared" si="71"/>
        <v>131</v>
      </c>
    </row>
    <row r="1494" spans="1:12" ht="15.75" x14ac:dyDescent="0.25">
      <c r="A1494" s="6" t="s">
        <v>1442</v>
      </c>
      <c r="B1494" s="7">
        <v>45202.499305555553</v>
      </c>
      <c r="C1494" s="6">
        <v>57</v>
      </c>
      <c r="D1494" s="6" t="s">
        <v>800</v>
      </c>
      <c r="E1494" s="8" t="str">
        <f>IFERROR(VLOOKUP(LOG_RESEAU[[#This Row],[Cell_ID]],Registre_Maintenance!A:B,2,FALSE),"Non trouvé")</f>
        <v>Non trouvé</v>
      </c>
      <c r="F1494" s="8" t="str">
        <f>IFERROR(VLOOKUP(LOG_RESEAU[[#This Row],[Cell_ID]],Registre_Maintenance!A:C,3,FALSE),"Non trouvé")</f>
        <v>Non trouvé</v>
      </c>
      <c r="G1494" s="8" t="str">
        <f>IFERROR(VLOOKUP(LOG_RESEAU[[#This Row],[Cell_ID]],Registre_Maintenance!A:D,4,FALSE),"Non trouvé")</f>
        <v>Non trouvé</v>
      </c>
      <c r="H1494" s="6" t="str">
        <f>IFERROR(VLOOKUP(LOG_RESEAU[[#This Row],[Cell_ID]],Registre_Maintenance!A:E,5,FALSE),"Non trouvé")</f>
        <v>Non trouvé</v>
      </c>
      <c r="I1494" s="6" t="str">
        <f>IFERROR(VLOOKUP(LOG_RESEAU[[#This Row],[Cell_ID]],Registre_Maintenance!A:F,6,FALSE),"Non trouvé")</f>
        <v>Non trouvé</v>
      </c>
      <c r="J1494" s="6" t="str">
        <f t="shared" si="69"/>
        <v>Antenne inconnue</v>
      </c>
      <c r="K1494" s="6">
        <f t="shared" si="70"/>
        <v>2</v>
      </c>
      <c r="L1494" s="6">
        <f t="shared" si="71"/>
        <v>131</v>
      </c>
    </row>
    <row r="1495" spans="1:12" ht="15.75" x14ac:dyDescent="0.25">
      <c r="A1495" s="6" t="s">
        <v>1143</v>
      </c>
      <c r="B1495" s="7">
        <v>45209.901388888888</v>
      </c>
      <c r="C1495" s="6">
        <v>68</v>
      </c>
      <c r="D1495" s="6" t="s">
        <v>800</v>
      </c>
      <c r="E1495" s="8" t="str">
        <f>IFERROR(VLOOKUP(LOG_RESEAU[[#This Row],[Cell_ID]],Registre_Maintenance!A:B,2,FALSE),"Non trouvé")</f>
        <v>Sud-Ubangi</v>
      </c>
      <c r="F1495" s="8">
        <f>IFERROR(VLOOKUP(LOG_RESEAU[[#This Row],[Cell_ID]],Registre_Maintenance!A:C,3,FALSE),"Non trouvé")</f>
        <v>-8.3241560000000003</v>
      </c>
      <c r="G1495" s="8">
        <f>IFERROR(VLOOKUP(LOG_RESEAU[[#This Row],[Cell_ID]],Registre_Maintenance!A:D,4,FALSE),"Non trouvé")</f>
        <v>19.543866000000001</v>
      </c>
      <c r="H1495" s="6" t="str">
        <f>IFERROR(VLOOKUP(LOG_RESEAU[[#This Row],[Cell_ID]],Registre_Maintenance!A:E,5,FALSE),"Non trouvé")</f>
        <v>4G</v>
      </c>
      <c r="I1495" s="6" t="str">
        <f>IFERROR(VLOOKUP(LOG_RESEAU[[#This Row],[Cell_ID]],Registre_Maintenance!A:F,6,FALSE),"Non trouvé")</f>
        <v>ZTE</v>
      </c>
      <c r="J1495" s="6" t="str">
        <f t="shared" si="69"/>
        <v>OK</v>
      </c>
      <c r="K1495" s="6">
        <f t="shared" si="70"/>
        <v>1</v>
      </c>
      <c r="L1495" s="6">
        <f t="shared" si="71"/>
        <v>68</v>
      </c>
    </row>
    <row r="1496" spans="1:12" ht="15.75" x14ac:dyDescent="0.25">
      <c r="A1496" s="6" t="s">
        <v>1078</v>
      </c>
      <c r="B1496" s="7">
        <v>45208.279166666667</v>
      </c>
      <c r="C1496" s="6">
        <v>41</v>
      </c>
      <c r="D1496" s="6" t="s">
        <v>800</v>
      </c>
      <c r="E1496" s="8" t="str">
        <f>IFERROR(VLOOKUP(LOG_RESEAU[[#This Row],[Cell_ID]],Registre_Maintenance!A:B,2,FALSE),"Non trouvé")</f>
        <v>Nord-Ubangi</v>
      </c>
      <c r="F1496" s="8">
        <f>IFERROR(VLOOKUP(LOG_RESEAU[[#This Row],[Cell_ID]],Registre_Maintenance!A:C,3,FALSE),"Non trouvé")</f>
        <v>-9.3066320000000005</v>
      </c>
      <c r="G1496" s="8">
        <f>IFERROR(VLOOKUP(LOG_RESEAU[[#This Row],[Cell_ID]],Registre_Maintenance!A:D,4,FALSE),"Non trouvé")</f>
        <v>20.470889</v>
      </c>
      <c r="H1496" s="6" t="str">
        <f>IFERROR(VLOOKUP(LOG_RESEAU[[#This Row],[Cell_ID]],Registre_Maintenance!A:E,5,FALSE),"Non trouvé")</f>
        <v>5G</v>
      </c>
      <c r="I1496" s="6" t="str">
        <f>IFERROR(VLOOKUP(LOG_RESEAU[[#This Row],[Cell_ID]],Registre_Maintenance!A:F,6,FALSE),"Non trouvé")</f>
        <v>ZTE</v>
      </c>
      <c r="J1496" s="6" t="str">
        <f t="shared" si="69"/>
        <v>OK</v>
      </c>
      <c r="K1496" s="6">
        <f t="shared" si="70"/>
        <v>1</v>
      </c>
      <c r="L1496" s="6">
        <f t="shared" si="71"/>
        <v>41</v>
      </c>
    </row>
    <row r="1497" spans="1:12" ht="15.75" x14ac:dyDescent="0.25">
      <c r="A1497" s="6" t="s">
        <v>1313</v>
      </c>
      <c r="B1497" s="7">
        <v>45219.834027777782</v>
      </c>
      <c r="C1497" s="6">
        <v>64</v>
      </c>
      <c r="D1497" s="6" t="s">
        <v>792</v>
      </c>
      <c r="E1497" s="8" t="str">
        <f>IFERROR(VLOOKUP(LOG_RESEAU[[#This Row],[Cell_ID]],Registre_Maintenance!A:B,2,FALSE),"Non trouvé")</f>
        <v>Non trouvé</v>
      </c>
      <c r="F1497" s="8" t="str">
        <f>IFERROR(VLOOKUP(LOG_RESEAU[[#This Row],[Cell_ID]],Registre_Maintenance!A:C,3,FALSE),"Non trouvé")</f>
        <v>Non trouvé</v>
      </c>
      <c r="G1497" s="8" t="str">
        <f>IFERROR(VLOOKUP(LOG_RESEAU[[#This Row],[Cell_ID]],Registre_Maintenance!A:D,4,FALSE),"Non trouvé")</f>
        <v>Non trouvé</v>
      </c>
      <c r="H1497" s="6" t="str">
        <f>IFERROR(VLOOKUP(LOG_RESEAU[[#This Row],[Cell_ID]],Registre_Maintenance!A:E,5,FALSE),"Non trouvé")</f>
        <v>Non trouvé</v>
      </c>
      <c r="I1497" s="6" t="str">
        <f>IFERROR(VLOOKUP(LOG_RESEAU[[#This Row],[Cell_ID]],Registre_Maintenance!A:F,6,FALSE),"Non trouvé")</f>
        <v>Non trouvé</v>
      </c>
      <c r="J1497" s="6" t="str">
        <f t="shared" si="69"/>
        <v>Antenne inconnue</v>
      </c>
      <c r="K1497" s="6">
        <f t="shared" si="70"/>
        <v>1</v>
      </c>
      <c r="L1497" s="6">
        <f t="shared" si="71"/>
        <v>64</v>
      </c>
    </row>
    <row r="1498" spans="1:12" ht="15.75" x14ac:dyDescent="0.25">
      <c r="A1498" s="6" t="s">
        <v>1484</v>
      </c>
      <c r="B1498" s="7">
        <v>45208.506249999999</v>
      </c>
      <c r="C1498" s="6">
        <v>91</v>
      </c>
      <c r="D1498" s="6" t="s">
        <v>792</v>
      </c>
      <c r="E1498" s="8" t="str">
        <f>IFERROR(VLOOKUP(LOG_RESEAU[[#This Row],[Cell_ID]],Registre_Maintenance!A:B,2,FALSE),"Non trouvé")</f>
        <v>Non trouvé</v>
      </c>
      <c r="F1498" s="8" t="str">
        <f>IFERROR(VLOOKUP(LOG_RESEAU[[#This Row],[Cell_ID]],Registre_Maintenance!A:C,3,FALSE),"Non trouvé")</f>
        <v>Non trouvé</v>
      </c>
      <c r="G1498" s="8" t="str">
        <f>IFERROR(VLOOKUP(LOG_RESEAU[[#This Row],[Cell_ID]],Registre_Maintenance!A:D,4,FALSE),"Non trouvé")</f>
        <v>Non trouvé</v>
      </c>
      <c r="H1498" s="6" t="str">
        <f>IFERROR(VLOOKUP(LOG_RESEAU[[#This Row],[Cell_ID]],Registre_Maintenance!A:E,5,FALSE),"Non trouvé")</f>
        <v>Non trouvé</v>
      </c>
      <c r="I1498" s="6" t="str">
        <f>IFERROR(VLOOKUP(LOG_RESEAU[[#This Row],[Cell_ID]],Registre_Maintenance!A:F,6,FALSE),"Non trouvé")</f>
        <v>Non trouvé</v>
      </c>
      <c r="J1498" s="6" t="str">
        <f t="shared" si="69"/>
        <v>Antenne inconnue</v>
      </c>
      <c r="K1498" s="6">
        <f t="shared" si="70"/>
        <v>2</v>
      </c>
      <c r="L1498" s="6">
        <f t="shared" si="71"/>
        <v>183</v>
      </c>
    </row>
    <row r="1499" spans="1:12" ht="15.75" x14ac:dyDescent="0.25">
      <c r="A1499" s="6" t="s">
        <v>1484</v>
      </c>
      <c r="B1499" s="7">
        <v>45228.518055555563</v>
      </c>
      <c r="C1499" s="6">
        <v>92</v>
      </c>
      <c r="D1499" s="6" t="s">
        <v>792</v>
      </c>
      <c r="E1499" s="8" t="str">
        <f>IFERROR(VLOOKUP(LOG_RESEAU[[#This Row],[Cell_ID]],Registre_Maintenance!A:B,2,FALSE),"Non trouvé")</f>
        <v>Non trouvé</v>
      </c>
      <c r="F1499" s="8" t="str">
        <f>IFERROR(VLOOKUP(LOG_RESEAU[[#This Row],[Cell_ID]],Registre_Maintenance!A:C,3,FALSE),"Non trouvé")</f>
        <v>Non trouvé</v>
      </c>
      <c r="G1499" s="8" t="str">
        <f>IFERROR(VLOOKUP(LOG_RESEAU[[#This Row],[Cell_ID]],Registre_Maintenance!A:D,4,FALSE),"Non trouvé")</f>
        <v>Non trouvé</v>
      </c>
      <c r="H1499" s="6" t="str">
        <f>IFERROR(VLOOKUP(LOG_RESEAU[[#This Row],[Cell_ID]],Registre_Maintenance!A:E,5,FALSE),"Non trouvé")</f>
        <v>Non trouvé</v>
      </c>
      <c r="I1499" s="6" t="str">
        <f>IFERROR(VLOOKUP(LOG_RESEAU[[#This Row],[Cell_ID]],Registre_Maintenance!A:F,6,FALSE),"Non trouvé")</f>
        <v>Non trouvé</v>
      </c>
      <c r="J1499" s="6" t="str">
        <f t="shared" si="69"/>
        <v>Antenne inconnue</v>
      </c>
      <c r="K1499" s="6">
        <f t="shared" si="70"/>
        <v>2</v>
      </c>
      <c r="L1499" s="6">
        <f t="shared" si="71"/>
        <v>183</v>
      </c>
    </row>
    <row r="1500" spans="1:12" ht="15.75" x14ac:dyDescent="0.25">
      <c r="A1500" s="6" t="s">
        <v>1218</v>
      </c>
      <c r="B1500" s="7">
        <v>45221.27847222222</v>
      </c>
      <c r="C1500" s="6">
        <v>83</v>
      </c>
      <c r="D1500" s="6" t="s">
        <v>792</v>
      </c>
      <c r="E1500" s="8" t="str">
        <f>IFERROR(VLOOKUP(LOG_RESEAU[[#This Row],[Cell_ID]],Registre_Maintenance!A:B,2,FALSE),"Non trouvé")</f>
        <v>Tshuapa</v>
      </c>
      <c r="F1500" s="8">
        <f>IFERROR(VLOOKUP(LOG_RESEAU[[#This Row],[Cell_ID]],Registre_Maintenance!A:C,3,FALSE),"Non trouvé")</f>
        <v>-12.292039000000001</v>
      </c>
      <c r="G1500" s="8">
        <f>IFERROR(VLOOKUP(LOG_RESEAU[[#This Row],[Cell_ID]],Registre_Maintenance!A:D,4,FALSE),"Non trouvé")</f>
        <v>27.538202999999999</v>
      </c>
      <c r="H1500" s="6" t="str">
        <f>IFERROR(VLOOKUP(LOG_RESEAU[[#This Row],[Cell_ID]],Registre_Maintenance!A:E,5,FALSE),"Non trouvé")</f>
        <v>3G</v>
      </c>
      <c r="I1500" s="6" t="str">
        <f>IFERROR(VLOOKUP(LOG_RESEAU[[#This Row],[Cell_ID]],Registre_Maintenance!A:F,6,FALSE),"Non trouvé")</f>
        <v>Huawei</v>
      </c>
      <c r="J1500" s="6" t="str">
        <f t="shared" si="69"/>
        <v>OK</v>
      </c>
      <c r="K1500" s="6">
        <f t="shared" si="70"/>
        <v>1</v>
      </c>
      <c r="L1500" s="6">
        <f t="shared" si="71"/>
        <v>83</v>
      </c>
    </row>
    <row r="1501" spans="1:12" ht="15.75" x14ac:dyDescent="0.25">
      <c r="A1501" s="6" t="s">
        <v>1235</v>
      </c>
      <c r="B1501" s="7">
        <v>45205.47152777778</v>
      </c>
      <c r="C1501" s="6">
        <v>50</v>
      </c>
      <c r="D1501" s="6" t="s">
        <v>800</v>
      </c>
      <c r="E1501" s="8" t="str">
        <f>IFERROR(VLOOKUP(LOG_RESEAU[[#This Row],[Cell_ID]],Registre_Maintenance!A:B,2,FALSE),"Non trouvé")</f>
        <v>Haut-Lomami</v>
      </c>
      <c r="F1501" s="8">
        <f>IFERROR(VLOOKUP(LOG_RESEAU[[#This Row],[Cell_ID]],Registre_Maintenance!A:C,3,FALSE),"Non trouvé")</f>
        <v>2.628638</v>
      </c>
      <c r="G1501" s="8">
        <f>IFERROR(VLOOKUP(LOG_RESEAU[[#This Row],[Cell_ID]],Registre_Maintenance!A:D,4,FALSE),"Non trouvé")</f>
        <v>28.420582</v>
      </c>
      <c r="H1501" s="6" t="str">
        <f>IFERROR(VLOOKUP(LOG_RESEAU[[#This Row],[Cell_ID]],Registre_Maintenance!A:E,5,FALSE),"Non trouvé")</f>
        <v>4G</v>
      </c>
      <c r="I1501" s="6" t="str">
        <f>IFERROR(VLOOKUP(LOG_RESEAU[[#This Row],[Cell_ID]],Registre_Maintenance!A:F,6,FALSE),"Non trouvé")</f>
        <v>Huawei</v>
      </c>
      <c r="J1501" s="6" t="str">
        <f t="shared" si="69"/>
        <v>OK</v>
      </c>
      <c r="K1501" s="6">
        <f t="shared" si="70"/>
        <v>2</v>
      </c>
      <c r="L1501" s="6">
        <f t="shared" si="71"/>
        <v>136</v>
      </c>
    </row>
    <row r="1502" spans="1:12" ht="15.75" x14ac:dyDescent="0.25">
      <c r="A1502" s="6" t="s">
        <v>1235</v>
      </c>
      <c r="B1502" s="7">
        <v>45200.342361111107</v>
      </c>
      <c r="C1502" s="6">
        <v>86</v>
      </c>
      <c r="D1502" s="6" t="s">
        <v>800</v>
      </c>
      <c r="E1502" s="8" t="str">
        <f>IFERROR(VLOOKUP(LOG_RESEAU[[#This Row],[Cell_ID]],Registre_Maintenance!A:B,2,FALSE),"Non trouvé")</f>
        <v>Haut-Lomami</v>
      </c>
      <c r="F1502" s="8">
        <f>IFERROR(VLOOKUP(LOG_RESEAU[[#This Row],[Cell_ID]],Registre_Maintenance!A:C,3,FALSE),"Non trouvé")</f>
        <v>2.628638</v>
      </c>
      <c r="G1502" s="8">
        <f>IFERROR(VLOOKUP(LOG_RESEAU[[#This Row],[Cell_ID]],Registre_Maintenance!A:D,4,FALSE),"Non trouvé")</f>
        <v>28.420582</v>
      </c>
      <c r="H1502" s="6" t="str">
        <f>IFERROR(VLOOKUP(LOG_RESEAU[[#This Row],[Cell_ID]],Registre_Maintenance!A:E,5,FALSE),"Non trouvé")</f>
        <v>4G</v>
      </c>
      <c r="I1502" s="6" t="str">
        <f>IFERROR(VLOOKUP(LOG_RESEAU[[#This Row],[Cell_ID]],Registre_Maintenance!A:F,6,FALSE),"Non trouvé")</f>
        <v>Huawei</v>
      </c>
      <c r="J1502" s="6" t="str">
        <f t="shared" si="69"/>
        <v>OK</v>
      </c>
      <c r="K1502" s="6">
        <f t="shared" si="70"/>
        <v>2</v>
      </c>
      <c r="L1502" s="6">
        <f t="shared" si="71"/>
        <v>136</v>
      </c>
    </row>
    <row r="1503" spans="1:12" ht="15.75" x14ac:dyDescent="0.25">
      <c r="A1503" s="6" t="s">
        <v>1452</v>
      </c>
      <c r="B1503" s="7">
        <v>45224.297222222223</v>
      </c>
      <c r="C1503" s="6">
        <v>12</v>
      </c>
      <c r="D1503" s="6" t="s">
        <v>792</v>
      </c>
      <c r="E1503" s="8" t="str">
        <f>IFERROR(VLOOKUP(LOG_RESEAU[[#This Row],[Cell_ID]],Registre_Maintenance!A:B,2,FALSE),"Non trouvé")</f>
        <v>Non trouvé</v>
      </c>
      <c r="F1503" s="8" t="str">
        <f>IFERROR(VLOOKUP(LOG_RESEAU[[#This Row],[Cell_ID]],Registre_Maintenance!A:C,3,FALSE),"Non trouvé")</f>
        <v>Non trouvé</v>
      </c>
      <c r="G1503" s="8" t="str">
        <f>IFERROR(VLOOKUP(LOG_RESEAU[[#This Row],[Cell_ID]],Registre_Maintenance!A:D,4,FALSE),"Non trouvé")</f>
        <v>Non trouvé</v>
      </c>
      <c r="H1503" s="6" t="str">
        <f>IFERROR(VLOOKUP(LOG_RESEAU[[#This Row],[Cell_ID]],Registre_Maintenance!A:E,5,FALSE),"Non trouvé")</f>
        <v>Non trouvé</v>
      </c>
      <c r="I1503" s="6" t="str">
        <f>IFERROR(VLOOKUP(LOG_RESEAU[[#This Row],[Cell_ID]],Registre_Maintenance!A:F,6,FALSE),"Non trouvé")</f>
        <v>Non trouvé</v>
      </c>
      <c r="J1503" s="6" t="str">
        <f t="shared" si="69"/>
        <v>Antenne inconnue</v>
      </c>
      <c r="K1503" s="6">
        <f t="shared" si="70"/>
        <v>1</v>
      </c>
      <c r="L1503" s="6">
        <f t="shared" si="71"/>
        <v>12</v>
      </c>
    </row>
    <row r="1504" spans="1:12" ht="15.75" x14ac:dyDescent="0.25">
      <c r="A1504" s="6" t="s">
        <v>1380</v>
      </c>
      <c r="B1504" s="7">
        <v>45213.238194444442</v>
      </c>
      <c r="C1504" s="6">
        <v>53</v>
      </c>
      <c r="D1504" s="6" t="s">
        <v>800</v>
      </c>
      <c r="E1504" s="8" t="str">
        <f>IFERROR(VLOOKUP(LOG_RESEAU[[#This Row],[Cell_ID]],Registre_Maintenance!A:B,2,FALSE),"Non trouvé")</f>
        <v>Nord-Ubangi</v>
      </c>
      <c r="F1504" s="8">
        <f>IFERROR(VLOOKUP(LOG_RESEAU[[#This Row],[Cell_ID]],Registre_Maintenance!A:C,3,FALSE),"Non trouvé")</f>
        <v>-8.4985189999999999</v>
      </c>
      <c r="G1504" s="8">
        <f>IFERROR(VLOOKUP(LOG_RESEAU[[#This Row],[Cell_ID]],Registre_Maintenance!A:D,4,FALSE),"Non trouvé")</f>
        <v>12.929456999999999</v>
      </c>
      <c r="H1504" s="6" t="str">
        <f>IFERROR(VLOOKUP(LOG_RESEAU[[#This Row],[Cell_ID]],Registre_Maintenance!A:E,5,FALSE),"Non trouvé")</f>
        <v>4G</v>
      </c>
      <c r="I1504" s="6" t="str">
        <f>IFERROR(VLOOKUP(LOG_RESEAU[[#This Row],[Cell_ID]],Registre_Maintenance!A:F,6,FALSE),"Non trouvé")</f>
        <v>Ericsson</v>
      </c>
      <c r="J1504" s="6" t="str">
        <f t="shared" si="69"/>
        <v>OK</v>
      </c>
      <c r="K1504" s="6">
        <f t="shared" si="70"/>
        <v>3</v>
      </c>
      <c r="L1504" s="6">
        <f t="shared" si="71"/>
        <v>139</v>
      </c>
    </row>
    <row r="1505" spans="1:12" ht="15.75" x14ac:dyDescent="0.25">
      <c r="A1505" s="6" t="s">
        <v>1380</v>
      </c>
      <c r="B1505" s="7">
        <v>45229.972222222219</v>
      </c>
      <c r="C1505" s="6">
        <v>5</v>
      </c>
      <c r="D1505" s="6" t="s">
        <v>792</v>
      </c>
      <c r="E1505" s="8" t="str">
        <f>IFERROR(VLOOKUP(LOG_RESEAU[[#This Row],[Cell_ID]],Registre_Maintenance!A:B,2,FALSE),"Non trouvé")</f>
        <v>Nord-Ubangi</v>
      </c>
      <c r="F1505" s="8">
        <f>IFERROR(VLOOKUP(LOG_RESEAU[[#This Row],[Cell_ID]],Registre_Maintenance!A:C,3,FALSE),"Non trouvé")</f>
        <v>-8.4985189999999999</v>
      </c>
      <c r="G1505" s="8">
        <f>IFERROR(VLOOKUP(LOG_RESEAU[[#This Row],[Cell_ID]],Registre_Maintenance!A:D,4,FALSE),"Non trouvé")</f>
        <v>12.929456999999999</v>
      </c>
      <c r="H1505" s="6" t="str">
        <f>IFERROR(VLOOKUP(LOG_RESEAU[[#This Row],[Cell_ID]],Registre_Maintenance!A:E,5,FALSE),"Non trouvé")</f>
        <v>4G</v>
      </c>
      <c r="I1505" s="6" t="str">
        <f>IFERROR(VLOOKUP(LOG_RESEAU[[#This Row],[Cell_ID]],Registre_Maintenance!A:F,6,FALSE),"Non trouvé")</f>
        <v>Ericsson</v>
      </c>
      <c r="J1505" s="6" t="str">
        <f t="shared" si="69"/>
        <v>OK</v>
      </c>
      <c r="K1505" s="6">
        <f t="shared" si="70"/>
        <v>3</v>
      </c>
      <c r="L1505" s="6">
        <f t="shared" si="71"/>
        <v>139</v>
      </c>
    </row>
    <row r="1506" spans="1:12" ht="15.75" x14ac:dyDescent="0.25">
      <c r="A1506" s="6" t="s">
        <v>1380</v>
      </c>
      <c r="B1506" s="7">
        <v>45226.209027777782</v>
      </c>
      <c r="C1506" s="6">
        <v>81</v>
      </c>
      <c r="D1506" s="6" t="s">
        <v>792</v>
      </c>
      <c r="E1506" s="8" t="str">
        <f>IFERROR(VLOOKUP(LOG_RESEAU[[#This Row],[Cell_ID]],Registre_Maintenance!A:B,2,FALSE),"Non trouvé")</f>
        <v>Nord-Ubangi</v>
      </c>
      <c r="F1506" s="8">
        <f>IFERROR(VLOOKUP(LOG_RESEAU[[#This Row],[Cell_ID]],Registre_Maintenance!A:C,3,FALSE),"Non trouvé")</f>
        <v>-8.4985189999999999</v>
      </c>
      <c r="G1506" s="8">
        <f>IFERROR(VLOOKUP(LOG_RESEAU[[#This Row],[Cell_ID]],Registre_Maintenance!A:D,4,FALSE),"Non trouvé")</f>
        <v>12.929456999999999</v>
      </c>
      <c r="H1506" s="6" t="str">
        <f>IFERROR(VLOOKUP(LOG_RESEAU[[#This Row],[Cell_ID]],Registre_Maintenance!A:E,5,FALSE),"Non trouvé")</f>
        <v>4G</v>
      </c>
      <c r="I1506" s="6" t="str">
        <f>IFERROR(VLOOKUP(LOG_RESEAU[[#This Row],[Cell_ID]],Registre_Maintenance!A:F,6,FALSE),"Non trouvé")</f>
        <v>Ericsson</v>
      </c>
      <c r="J1506" s="6" t="str">
        <f t="shared" si="69"/>
        <v>OK</v>
      </c>
      <c r="K1506" s="6">
        <f t="shared" si="70"/>
        <v>3</v>
      </c>
      <c r="L1506" s="6">
        <f t="shared" si="71"/>
        <v>139</v>
      </c>
    </row>
    <row r="1507" spans="1:12" ht="15.75" x14ac:dyDescent="0.25">
      <c r="A1507" s="6" t="s">
        <v>1425</v>
      </c>
      <c r="B1507" s="7">
        <v>45218.314583333333</v>
      </c>
      <c r="C1507" s="6">
        <v>45</v>
      </c>
      <c r="D1507" s="6" t="s">
        <v>794</v>
      </c>
      <c r="E1507" s="8" t="str">
        <f>IFERROR(VLOOKUP(LOG_RESEAU[[#This Row],[Cell_ID]],Registre_Maintenance!A:B,2,FALSE),"Non trouvé")</f>
        <v>Non trouvé</v>
      </c>
      <c r="F1507" s="8" t="str">
        <f>IFERROR(VLOOKUP(LOG_RESEAU[[#This Row],[Cell_ID]],Registre_Maintenance!A:C,3,FALSE),"Non trouvé")</f>
        <v>Non trouvé</v>
      </c>
      <c r="G1507" s="8" t="str">
        <f>IFERROR(VLOOKUP(LOG_RESEAU[[#This Row],[Cell_ID]],Registre_Maintenance!A:D,4,FALSE),"Non trouvé")</f>
        <v>Non trouvé</v>
      </c>
      <c r="H1507" s="6" t="str">
        <f>IFERROR(VLOOKUP(LOG_RESEAU[[#This Row],[Cell_ID]],Registre_Maintenance!A:E,5,FALSE),"Non trouvé")</f>
        <v>Non trouvé</v>
      </c>
      <c r="I1507" s="6" t="str">
        <f>IFERROR(VLOOKUP(LOG_RESEAU[[#This Row],[Cell_ID]],Registre_Maintenance!A:F,6,FALSE),"Non trouvé")</f>
        <v>Non trouvé</v>
      </c>
      <c r="J1507" s="6" t="str">
        <f t="shared" si="69"/>
        <v>Antenne inconnue</v>
      </c>
      <c r="K1507" s="6">
        <f t="shared" si="70"/>
        <v>2</v>
      </c>
      <c r="L1507" s="6">
        <f t="shared" si="71"/>
        <v>51</v>
      </c>
    </row>
    <row r="1508" spans="1:12" ht="15.75" x14ac:dyDescent="0.25">
      <c r="A1508" s="6" t="s">
        <v>1425</v>
      </c>
      <c r="B1508" s="7">
        <v>45209.977777777778</v>
      </c>
      <c r="C1508" s="6">
        <v>6</v>
      </c>
      <c r="D1508" s="6" t="s">
        <v>792</v>
      </c>
      <c r="E1508" s="8" t="str">
        <f>IFERROR(VLOOKUP(LOG_RESEAU[[#This Row],[Cell_ID]],Registre_Maintenance!A:B,2,FALSE),"Non trouvé")</f>
        <v>Non trouvé</v>
      </c>
      <c r="F1508" s="8" t="str">
        <f>IFERROR(VLOOKUP(LOG_RESEAU[[#This Row],[Cell_ID]],Registre_Maintenance!A:C,3,FALSE),"Non trouvé")</f>
        <v>Non trouvé</v>
      </c>
      <c r="G1508" s="8" t="str">
        <f>IFERROR(VLOOKUP(LOG_RESEAU[[#This Row],[Cell_ID]],Registre_Maintenance!A:D,4,FALSE),"Non trouvé")</f>
        <v>Non trouvé</v>
      </c>
      <c r="H1508" s="6" t="str">
        <f>IFERROR(VLOOKUP(LOG_RESEAU[[#This Row],[Cell_ID]],Registre_Maintenance!A:E,5,FALSE),"Non trouvé")</f>
        <v>Non trouvé</v>
      </c>
      <c r="I1508" s="6" t="str">
        <f>IFERROR(VLOOKUP(LOG_RESEAU[[#This Row],[Cell_ID]],Registre_Maintenance!A:F,6,FALSE),"Non trouvé")</f>
        <v>Non trouvé</v>
      </c>
      <c r="J1508" s="6" t="str">
        <f t="shared" si="69"/>
        <v>Antenne inconnue</v>
      </c>
      <c r="K1508" s="6">
        <f t="shared" si="70"/>
        <v>2</v>
      </c>
      <c r="L1508" s="6">
        <f t="shared" si="71"/>
        <v>51</v>
      </c>
    </row>
    <row r="1509" spans="1:12" ht="15.75" x14ac:dyDescent="0.25">
      <c r="A1509" s="6" t="s">
        <v>1083</v>
      </c>
      <c r="B1509" s="7">
        <v>45228.34097222222</v>
      </c>
      <c r="C1509" s="6">
        <v>118</v>
      </c>
      <c r="D1509" s="6" t="s">
        <v>792</v>
      </c>
      <c r="E1509" s="8" t="str">
        <f>IFERROR(VLOOKUP(LOG_RESEAU[[#This Row],[Cell_ID]],Registre_Maintenance!A:B,2,FALSE),"Non trouvé")</f>
        <v>Non trouvé</v>
      </c>
      <c r="F1509" s="8" t="str">
        <f>IFERROR(VLOOKUP(LOG_RESEAU[[#This Row],[Cell_ID]],Registre_Maintenance!A:C,3,FALSE),"Non trouvé")</f>
        <v>Non trouvé</v>
      </c>
      <c r="G1509" s="8" t="str">
        <f>IFERROR(VLOOKUP(LOG_RESEAU[[#This Row],[Cell_ID]],Registre_Maintenance!A:D,4,FALSE),"Non trouvé")</f>
        <v>Non trouvé</v>
      </c>
      <c r="H1509" s="6" t="str">
        <f>IFERROR(VLOOKUP(LOG_RESEAU[[#This Row],[Cell_ID]],Registre_Maintenance!A:E,5,FALSE),"Non trouvé")</f>
        <v>Non trouvé</v>
      </c>
      <c r="I1509" s="6" t="str">
        <f>IFERROR(VLOOKUP(LOG_RESEAU[[#This Row],[Cell_ID]],Registre_Maintenance!A:F,6,FALSE),"Non trouvé")</f>
        <v>Non trouvé</v>
      </c>
      <c r="J1509" s="6" t="str">
        <f t="shared" si="69"/>
        <v>Antenne inconnue</v>
      </c>
      <c r="K1509" s="6">
        <f t="shared" si="70"/>
        <v>1</v>
      </c>
      <c r="L1509" s="6">
        <f t="shared" si="71"/>
        <v>118</v>
      </c>
    </row>
    <row r="1510" spans="1:12" ht="15.75" x14ac:dyDescent="0.25">
      <c r="A1510" s="6" t="s">
        <v>1119</v>
      </c>
      <c r="B1510" s="7">
        <v>45212.965277777781</v>
      </c>
      <c r="C1510" s="6">
        <v>27</v>
      </c>
      <c r="D1510" s="6" t="s">
        <v>792</v>
      </c>
      <c r="E1510" s="8" t="str">
        <f>IFERROR(VLOOKUP(LOG_RESEAU[[#This Row],[Cell_ID]],Registre_Maintenance!A:B,2,FALSE),"Non trouvé")</f>
        <v>Kongo-Central</v>
      </c>
      <c r="F1510" s="8">
        <f>IFERROR(VLOOKUP(LOG_RESEAU[[#This Row],[Cell_ID]],Registre_Maintenance!A:C,3,FALSE),"Non trouvé")</f>
        <v>0.79124300000000003</v>
      </c>
      <c r="G1510" s="8">
        <f>IFERROR(VLOOKUP(LOG_RESEAU[[#This Row],[Cell_ID]],Registre_Maintenance!A:D,4,FALSE),"Non trouvé")</f>
        <v>25.273389000000002</v>
      </c>
      <c r="H1510" s="6" t="str">
        <f>IFERROR(VLOOKUP(LOG_RESEAU[[#This Row],[Cell_ID]],Registre_Maintenance!A:E,5,FALSE),"Non trouvé")</f>
        <v>4G</v>
      </c>
      <c r="I1510" s="6" t="str">
        <f>IFERROR(VLOOKUP(LOG_RESEAU[[#This Row],[Cell_ID]],Registre_Maintenance!A:F,6,FALSE),"Non trouvé")</f>
        <v>Nokia</v>
      </c>
      <c r="J1510" s="6" t="str">
        <f t="shared" si="69"/>
        <v>OK</v>
      </c>
      <c r="K1510" s="6">
        <f t="shared" si="70"/>
        <v>1</v>
      </c>
      <c r="L1510" s="6">
        <f t="shared" si="71"/>
        <v>27</v>
      </c>
    </row>
    <row r="1511" spans="1:12" ht="15.75" x14ac:dyDescent="0.25">
      <c r="A1511" s="6" t="s">
        <v>1221</v>
      </c>
      <c r="B1511" s="7">
        <v>45218.286111111112</v>
      </c>
      <c r="C1511" s="6">
        <v>89</v>
      </c>
      <c r="D1511" s="6" t="s">
        <v>794</v>
      </c>
      <c r="E1511" s="8" t="str">
        <f>IFERROR(VLOOKUP(LOG_RESEAU[[#This Row],[Cell_ID]],Registre_Maintenance!A:B,2,FALSE),"Non trouvé")</f>
        <v>Kwango</v>
      </c>
      <c r="F1511" s="8">
        <f>IFERROR(VLOOKUP(LOG_RESEAU[[#This Row],[Cell_ID]],Registre_Maintenance!A:C,3,FALSE),"Non trouvé")</f>
        <v>-7.5129409999999996</v>
      </c>
      <c r="G1511" s="8">
        <f>IFERROR(VLOOKUP(LOG_RESEAU[[#This Row],[Cell_ID]],Registre_Maintenance!A:D,4,FALSE),"Non trouvé")</f>
        <v>18.701522000000001</v>
      </c>
      <c r="H1511" s="6" t="str">
        <f>IFERROR(VLOOKUP(LOG_RESEAU[[#This Row],[Cell_ID]],Registre_Maintenance!A:E,5,FALSE),"Non trouvé")</f>
        <v>4G</v>
      </c>
      <c r="I1511" s="6" t="str">
        <f>IFERROR(VLOOKUP(LOG_RESEAU[[#This Row],[Cell_ID]],Registre_Maintenance!A:F,6,FALSE),"Non trouvé")</f>
        <v>Nokia</v>
      </c>
      <c r="J1511" s="6" t="str">
        <f t="shared" si="69"/>
        <v>OK</v>
      </c>
      <c r="K1511" s="6">
        <f t="shared" si="70"/>
        <v>2</v>
      </c>
      <c r="L1511" s="6">
        <f t="shared" si="71"/>
        <v>150</v>
      </c>
    </row>
    <row r="1512" spans="1:12" ht="15.75" x14ac:dyDescent="0.25">
      <c r="A1512" s="6" t="s">
        <v>1221</v>
      </c>
      <c r="B1512" s="7">
        <v>45221.197916666657</v>
      </c>
      <c r="C1512" s="6">
        <v>61</v>
      </c>
      <c r="D1512" s="6" t="s">
        <v>792</v>
      </c>
      <c r="E1512" s="8" t="str">
        <f>IFERROR(VLOOKUP(LOG_RESEAU[[#This Row],[Cell_ID]],Registre_Maintenance!A:B,2,FALSE),"Non trouvé")</f>
        <v>Kwango</v>
      </c>
      <c r="F1512" s="8">
        <f>IFERROR(VLOOKUP(LOG_RESEAU[[#This Row],[Cell_ID]],Registre_Maintenance!A:C,3,FALSE),"Non trouvé")</f>
        <v>-7.5129409999999996</v>
      </c>
      <c r="G1512" s="8">
        <f>IFERROR(VLOOKUP(LOG_RESEAU[[#This Row],[Cell_ID]],Registre_Maintenance!A:D,4,FALSE),"Non trouvé")</f>
        <v>18.701522000000001</v>
      </c>
      <c r="H1512" s="6" t="str">
        <f>IFERROR(VLOOKUP(LOG_RESEAU[[#This Row],[Cell_ID]],Registre_Maintenance!A:E,5,FALSE),"Non trouvé")</f>
        <v>4G</v>
      </c>
      <c r="I1512" s="6" t="str">
        <f>IFERROR(VLOOKUP(LOG_RESEAU[[#This Row],[Cell_ID]],Registre_Maintenance!A:F,6,FALSE),"Non trouvé")</f>
        <v>Nokia</v>
      </c>
      <c r="J1512" s="6" t="str">
        <f t="shared" si="69"/>
        <v>OK</v>
      </c>
      <c r="K1512" s="6">
        <f t="shared" si="70"/>
        <v>2</v>
      </c>
      <c r="L1512" s="6">
        <f t="shared" si="71"/>
        <v>150</v>
      </c>
    </row>
    <row r="1513" spans="1:12" ht="15.75" x14ac:dyDescent="0.25">
      <c r="A1513" s="6" t="s">
        <v>1038</v>
      </c>
      <c r="B1513" s="7">
        <v>45208.957638888889</v>
      </c>
      <c r="C1513" s="6">
        <v>115</v>
      </c>
      <c r="D1513" s="6" t="s">
        <v>794</v>
      </c>
      <c r="E1513" s="8" t="str">
        <f>IFERROR(VLOOKUP(LOG_RESEAU[[#This Row],[Cell_ID]],Registre_Maintenance!A:B,2,FALSE),"Non trouvé")</f>
        <v>Tshopo</v>
      </c>
      <c r="F1513" s="8">
        <f>IFERROR(VLOOKUP(LOG_RESEAU[[#This Row],[Cell_ID]],Registre_Maintenance!A:C,3,FALSE),"Non trouvé")</f>
        <v>-6.1837850000000003</v>
      </c>
      <c r="G1513" s="8">
        <f>IFERROR(VLOOKUP(LOG_RESEAU[[#This Row],[Cell_ID]],Registre_Maintenance!A:D,4,FALSE),"Non trouvé")</f>
        <v>25.138759</v>
      </c>
      <c r="H1513" s="6" t="str">
        <f>IFERROR(VLOOKUP(LOG_RESEAU[[#This Row],[Cell_ID]],Registre_Maintenance!A:E,5,FALSE),"Non trouvé")</f>
        <v>3G</v>
      </c>
      <c r="I1513" s="6" t="str">
        <f>IFERROR(VLOOKUP(LOG_RESEAU[[#This Row],[Cell_ID]],Registre_Maintenance!A:F,6,FALSE),"Non trouvé")</f>
        <v>Ericsson</v>
      </c>
      <c r="J1513" s="6" t="str">
        <f t="shared" si="69"/>
        <v>OK</v>
      </c>
      <c r="K1513" s="6">
        <f t="shared" si="70"/>
        <v>1</v>
      </c>
      <c r="L1513" s="6">
        <f t="shared" si="71"/>
        <v>115</v>
      </c>
    </row>
    <row r="1514" spans="1:12" ht="15.75" x14ac:dyDescent="0.25">
      <c r="A1514" s="6" t="s">
        <v>1522</v>
      </c>
      <c r="B1514" s="7">
        <v>45226.747916666667</v>
      </c>
      <c r="C1514" s="6">
        <v>68</v>
      </c>
      <c r="D1514" s="6" t="s">
        <v>800</v>
      </c>
      <c r="E1514" s="8">
        <f>IFERROR(VLOOKUP(LOG_RESEAU[[#This Row],[Cell_ID]],Registre_Maintenance!A:B,2,FALSE),"Non trouvé")</f>
        <v>0</v>
      </c>
      <c r="F1514" s="8">
        <f>IFERROR(VLOOKUP(LOG_RESEAU[[#This Row],[Cell_ID]],Registre_Maintenance!A:C,3,FALSE),"Non trouvé")</f>
        <v>3.9790009999999998</v>
      </c>
      <c r="G1514" s="8">
        <f>IFERROR(VLOOKUP(LOG_RESEAU[[#This Row],[Cell_ID]],Registre_Maintenance!A:D,4,FALSE),"Non trouvé")</f>
        <v>28.069559000000002</v>
      </c>
      <c r="H1514" s="6" t="str">
        <f>IFERROR(VLOOKUP(LOG_RESEAU[[#This Row],[Cell_ID]],Registre_Maintenance!A:E,5,FALSE),"Non trouvé")</f>
        <v>3G</v>
      </c>
      <c r="I1514" s="6" t="str">
        <f>IFERROR(VLOOKUP(LOG_RESEAU[[#This Row],[Cell_ID]],Registre_Maintenance!A:F,6,FALSE),"Non trouvé")</f>
        <v>Huawei</v>
      </c>
      <c r="J1514" s="6" t="str">
        <f t="shared" si="69"/>
        <v>OK</v>
      </c>
      <c r="K1514" s="6">
        <f t="shared" si="70"/>
        <v>1</v>
      </c>
      <c r="L1514" s="6">
        <f t="shared" si="71"/>
        <v>68</v>
      </c>
    </row>
    <row r="1515" spans="1:12" ht="15.75" x14ac:dyDescent="0.25">
      <c r="A1515" s="6" t="s">
        <v>1461</v>
      </c>
      <c r="B1515" s="7">
        <v>45200.534722222219</v>
      </c>
      <c r="C1515" s="6">
        <v>50</v>
      </c>
      <c r="D1515" s="6" t="s">
        <v>792</v>
      </c>
      <c r="E1515" s="8" t="str">
        <f>IFERROR(VLOOKUP(LOG_RESEAU[[#This Row],[Cell_ID]],Registre_Maintenance!A:B,2,FALSE),"Non trouvé")</f>
        <v>Tshuapa</v>
      </c>
      <c r="F1515" s="8">
        <f>IFERROR(VLOOKUP(LOG_RESEAU[[#This Row],[Cell_ID]],Registre_Maintenance!A:C,3,FALSE),"Non trouvé")</f>
        <v>-7.7587710000000003</v>
      </c>
      <c r="G1515" s="8">
        <f>IFERROR(VLOOKUP(LOG_RESEAU[[#This Row],[Cell_ID]],Registre_Maintenance!A:D,4,FALSE),"Non trouvé")</f>
        <v>17.880848</v>
      </c>
      <c r="H1515" s="6" t="str">
        <f>IFERROR(VLOOKUP(LOG_RESEAU[[#This Row],[Cell_ID]],Registre_Maintenance!A:E,5,FALSE),"Non trouvé")</f>
        <v>3G</v>
      </c>
      <c r="I1515" s="6" t="str">
        <f>IFERROR(VLOOKUP(LOG_RESEAU[[#This Row],[Cell_ID]],Registre_Maintenance!A:F,6,FALSE),"Non trouvé")</f>
        <v>Ericsson</v>
      </c>
      <c r="J1515" s="6" t="str">
        <f t="shared" si="69"/>
        <v>OK</v>
      </c>
      <c r="K1515" s="6">
        <f t="shared" si="70"/>
        <v>1</v>
      </c>
      <c r="L1515" s="6">
        <f t="shared" si="71"/>
        <v>50</v>
      </c>
    </row>
    <row r="1516" spans="1:12" ht="15.75" x14ac:dyDescent="0.25">
      <c r="A1516" s="6" t="s">
        <v>1507</v>
      </c>
      <c r="B1516" s="7">
        <v>45213.87222222222</v>
      </c>
      <c r="C1516" s="6">
        <v>46</v>
      </c>
      <c r="D1516" s="6" t="s">
        <v>800</v>
      </c>
      <c r="E1516" s="8" t="str">
        <f>IFERROR(VLOOKUP(LOG_RESEAU[[#This Row],[Cell_ID]],Registre_Maintenance!A:B,2,FALSE),"Non trouvé")</f>
        <v>Sankuru</v>
      </c>
      <c r="F1516" s="8">
        <f>IFERROR(VLOOKUP(LOG_RESEAU[[#This Row],[Cell_ID]],Registre_Maintenance!A:C,3,FALSE),"Non trouvé")</f>
        <v>-7.513261</v>
      </c>
      <c r="G1516" s="8">
        <f>IFERROR(VLOOKUP(LOG_RESEAU[[#This Row],[Cell_ID]],Registre_Maintenance!A:D,4,FALSE),"Non trouvé")</f>
        <v>24.338812000000001</v>
      </c>
      <c r="H1516" s="6" t="str">
        <f>IFERROR(VLOOKUP(LOG_RESEAU[[#This Row],[Cell_ID]],Registre_Maintenance!A:E,5,FALSE),"Non trouvé")</f>
        <v>5G</v>
      </c>
      <c r="I1516" s="6" t="str">
        <f>IFERROR(VLOOKUP(LOG_RESEAU[[#This Row],[Cell_ID]],Registre_Maintenance!A:F,6,FALSE),"Non trouvé")</f>
        <v>Huawei</v>
      </c>
      <c r="J1516" s="6" t="str">
        <f t="shared" si="69"/>
        <v>OK</v>
      </c>
      <c r="K1516" s="6">
        <f t="shared" si="70"/>
        <v>1</v>
      </c>
      <c r="L1516" s="6">
        <f t="shared" si="71"/>
        <v>46</v>
      </c>
    </row>
    <row r="1517" spans="1:12" ht="15.75" x14ac:dyDescent="0.25">
      <c r="A1517" s="6" t="s">
        <v>1222</v>
      </c>
      <c r="B1517" s="7">
        <v>45217.368750000001</v>
      </c>
      <c r="C1517" s="6">
        <v>8</v>
      </c>
      <c r="D1517" s="6" t="s">
        <v>794</v>
      </c>
      <c r="E1517" s="8" t="str">
        <f>IFERROR(VLOOKUP(LOG_RESEAU[[#This Row],[Cell_ID]],Registre_Maintenance!A:B,2,FALSE),"Non trouvé")</f>
        <v>Nord-Kivu</v>
      </c>
      <c r="F1517" s="8">
        <f>IFERROR(VLOOKUP(LOG_RESEAU[[#This Row],[Cell_ID]],Registre_Maintenance!A:C,3,FALSE),"Non trouvé")</f>
        <v>-4.1754939999999996</v>
      </c>
      <c r="G1517" s="8">
        <f>IFERROR(VLOOKUP(LOG_RESEAU[[#This Row],[Cell_ID]],Registre_Maintenance!A:D,4,FALSE),"Non trouvé")</f>
        <v>16.704664999999999</v>
      </c>
      <c r="H1517" s="6" t="str">
        <f>IFERROR(VLOOKUP(LOG_RESEAU[[#This Row],[Cell_ID]],Registre_Maintenance!A:E,5,FALSE),"Non trouvé")</f>
        <v>3G</v>
      </c>
      <c r="I1517" s="6" t="str">
        <f>IFERROR(VLOOKUP(LOG_RESEAU[[#This Row],[Cell_ID]],Registre_Maintenance!A:F,6,FALSE),"Non trouvé")</f>
        <v>Ericsson</v>
      </c>
      <c r="J1517" s="6" t="str">
        <f t="shared" si="69"/>
        <v>OK</v>
      </c>
      <c r="K1517" s="6">
        <f t="shared" si="70"/>
        <v>2</v>
      </c>
      <c r="L1517" s="6">
        <f t="shared" si="71"/>
        <v>105</v>
      </c>
    </row>
    <row r="1518" spans="1:12" ht="15.75" x14ac:dyDescent="0.25">
      <c r="A1518" s="6" t="s">
        <v>1222</v>
      </c>
      <c r="B1518" s="7">
        <v>45219.181250000001</v>
      </c>
      <c r="C1518" s="6">
        <v>97</v>
      </c>
      <c r="D1518" s="6" t="s">
        <v>800</v>
      </c>
      <c r="E1518" s="8" t="str">
        <f>IFERROR(VLOOKUP(LOG_RESEAU[[#This Row],[Cell_ID]],Registre_Maintenance!A:B,2,FALSE),"Non trouvé")</f>
        <v>Nord-Kivu</v>
      </c>
      <c r="F1518" s="8">
        <f>IFERROR(VLOOKUP(LOG_RESEAU[[#This Row],[Cell_ID]],Registre_Maintenance!A:C,3,FALSE),"Non trouvé")</f>
        <v>-4.1754939999999996</v>
      </c>
      <c r="G1518" s="8">
        <f>IFERROR(VLOOKUP(LOG_RESEAU[[#This Row],[Cell_ID]],Registre_Maintenance!A:D,4,FALSE),"Non trouvé")</f>
        <v>16.704664999999999</v>
      </c>
      <c r="H1518" s="6" t="str">
        <f>IFERROR(VLOOKUP(LOG_RESEAU[[#This Row],[Cell_ID]],Registre_Maintenance!A:E,5,FALSE),"Non trouvé")</f>
        <v>3G</v>
      </c>
      <c r="I1518" s="6" t="str">
        <f>IFERROR(VLOOKUP(LOG_RESEAU[[#This Row],[Cell_ID]],Registre_Maintenance!A:F,6,FALSE),"Non trouvé")</f>
        <v>Ericsson</v>
      </c>
      <c r="J1518" s="6" t="str">
        <f t="shared" si="69"/>
        <v>OK</v>
      </c>
      <c r="K1518" s="6">
        <f t="shared" si="70"/>
        <v>2</v>
      </c>
      <c r="L1518" s="6">
        <f t="shared" si="71"/>
        <v>105</v>
      </c>
    </row>
    <row r="1519" spans="1:12" ht="15.75" x14ac:dyDescent="0.25">
      <c r="A1519" s="6" t="s">
        <v>1504</v>
      </c>
      <c r="B1519" s="7">
        <v>45206.974305555559</v>
      </c>
      <c r="C1519" s="6">
        <v>53</v>
      </c>
      <c r="D1519" s="6" t="s">
        <v>800</v>
      </c>
      <c r="E1519" s="8" t="str">
        <f>IFERROR(VLOOKUP(LOG_RESEAU[[#This Row],[Cell_ID]],Registre_Maintenance!A:B,2,FALSE),"Non trouvé")</f>
        <v>Haut-Katanga</v>
      </c>
      <c r="F1519" s="8">
        <f>IFERROR(VLOOKUP(LOG_RESEAU[[#This Row],[Cell_ID]],Registre_Maintenance!A:C,3,FALSE),"Non trouvé")</f>
        <v>-2.926736</v>
      </c>
      <c r="G1519" s="8">
        <f>IFERROR(VLOOKUP(LOG_RESEAU[[#This Row],[Cell_ID]],Registre_Maintenance!A:D,4,FALSE),"Non trouvé")</f>
        <v>18.170461</v>
      </c>
      <c r="H1519" s="6" t="str">
        <f>IFERROR(VLOOKUP(LOG_RESEAU[[#This Row],[Cell_ID]],Registre_Maintenance!A:E,5,FALSE),"Non trouvé")</f>
        <v>5G</v>
      </c>
      <c r="I1519" s="6" t="str">
        <f>IFERROR(VLOOKUP(LOG_RESEAU[[#This Row],[Cell_ID]],Registre_Maintenance!A:F,6,FALSE),"Non trouvé")</f>
        <v>Ericsson</v>
      </c>
      <c r="J1519" s="6" t="str">
        <f t="shared" si="69"/>
        <v>OK</v>
      </c>
      <c r="K1519" s="6">
        <f t="shared" si="70"/>
        <v>1</v>
      </c>
      <c r="L1519" s="6">
        <f t="shared" si="71"/>
        <v>53</v>
      </c>
    </row>
    <row r="1520" spans="1:12" ht="15.75" x14ac:dyDescent="0.25">
      <c r="A1520" s="6" t="s">
        <v>1417</v>
      </c>
      <c r="B1520" s="7">
        <v>45217.755555555559</v>
      </c>
      <c r="C1520" s="6">
        <v>100</v>
      </c>
      <c r="D1520" s="6" t="s">
        <v>794</v>
      </c>
      <c r="E1520" s="8" t="str">
        <f>IFERROR(VLOOKUP(LOG_RESEAU[[#This Row],[Cell_ID]],Registre_Maintenance!A:B,2,FALSE),"Non trouvé")</f>
        <v>Haut-Uele</v>
      </c>
      <c r="F1520" s="8">
        <f>IFERROR(VLOOKUP(LOG_RESEAU[[#This Row],[Cell_ID]],Registre_Maintenance!A:C,3,FALSE),"Non trouvé")</f>
        <v>-3.003879</v>
      </c>
      <c r="G1520" s="8">
        <f>IFERROR(VLOOKUP(LOG_RESEAU[[#This Row],[Cell_ID]],Registre_Maintenance!A:D,4,FALSE),"Non trouvé")</f>
        <v>23.633893</v>
      </c>
      <c r="H1520" s="6" t="str">
        <f>IFERROR(VLOOKUP(LOG_RESEAU[[#This Row],[Cell_ID]],Registre_Maintenance!A:E,5,FALSE),"Non trouvé")</f>
        <v>5G</v>
      </c>
      <c r="I1520" s="6" t="str">
        <f>IFERROR(VLOOKUP(LOG_RESEAU[[#This Row],[Cell_ID]],Registre_Maintenance!A:F,6,FALSE),"Non trouvé")</f>
        <v>Ericsson</v>
      </c>
      <c r="J1520" s="6" t="str">
        <f t="shared" si="69"/>
        <v>OK</v>
      </c>
      <c r="K1520" s="6">
        <f t="shared" si="70"/>
        <v>1</v>
      </c>
      <c r="L1520" s="6">
        <f t="shared" si="71"/>
        <v>100</v>
      </c>
    </row>
    <row r="1521" spans="1:12" ht="15.75" x14ac:dyDescent="0.25">
      <c r="A1521" s="6" t="s">
        <v>1215</v>
      </c>
      <c r="B1521" s="7">
        <v>45214.59375</v>
      </c>
      <c r="C1521" s="6">
        <v>51</v>
      </c>
      <c r="D1521" s="6" t="s">
        <v>792</v>
      </c>
      <c r="E1521" s="8" t="str">
        <f>IFERROR(VLOOKUP(LOG_RESEAU[[#This Row],[Cell_ID]],Registre_Maintenance!A:B,2,FALSE),"Non trouvé")</f>
        <v>Non trouvé</v>
      </c>
      <c r="F1521" s="8" t="str">
        <f>IFERROR(VLOOKUP(LOG_RESEAU[[#This Row],[Cell_ID]],Registre_Maintenance!A:C,3,FALSE),"Non trouvé")</f>
        <v>Non trouvé</v>
      </c>
      <c r="G1521" s="8" t="str">
        <f>IFERROR(VLOOKUP(LOG_RESEAU[[#This Row],[Cell_ID]],Registre_Maintenance!A:D,4,FALSE),"Non trouvé")</f>
        <v>Non trouvé</v>
      </c>
      <c r="H1521" s="6" t="str">
        <f>IFERROR(VLOOKUP(LOG_RESEAU[[#This Row],[Cell_ID]],Registre_Maintenance!A:E,5,FALSE),"Non trouvé")</f>
        <v>Non trouvé</v>
      </c>
      <c r="I1521" s="6" t="str">
        <f>IFERROR(VLOOKUP(LOG_RESEAU[[#This Row],[Cell_ID]],Registre_Maintenance!A:F,6,FALSE),"Non trouvé")</f>
        <v>Non trouvé</v>
      </c>
      <c r="J1521" s="6" t="str">
        <f t="shared" si="69"/>
        <v>Antenne inconnue</v>
      </c>
      <c r="K1521" s="6">
        <f t="shared" si="70"/>
        <v>3</v>
      </c>
      <c r="L1521" s="6">
        <f t="shared" si="71"/>
        <v>120</v>
      </c>
    </row>
    <row r="1522" spans="1:12" ht="15.75" x14ac:dyDescent="0.25">
      <c r="A1522" s="6" t="s">
        <v>1215</v>
      </c>
      <c r="B1522" s="7">
        <v>45209.251388888893</v>
      </c>
      <c r="C1522" s="6">
        <v>46</v>
      </c>
      <c r="D1522" s="6" t="s">
        <v>800</v>
      </c>
      <c r="E1522" s="8" t="str">
        <f>IFERROR(VLOOKUP(LOG_RESEAU[[#This Row],[Cell_ID]],Registre_Maintenance!A:B,2,FALSE),"Non trouvé")</f>
        <v>Non trouvé</v>
      </c>
      <c r="F1522" s="8" t="str">
        <f>IFERROR(VLOOKUP(LOG_RESEAU[[#This Row],[Cell_ID]],Registre_Maintenance!A:C,3,FALSE),"Non trouvé")</f>
        <v>Non trouvé</v>
      </c>
      <c r="G1522" s="8" t="str">
        <f>IFERROR(VLOOKUP(LOG_RESEAU[[#This Row],[Cell_ID]],Registre_Maintenance!A:D,4,FALSE),"Non trouvé")</f>
        <v>Non trouvé</v>
      </c>
      <c r="H1522" s="6" t="str">
        <f>IFERROR(VLOOKUP(LOG_RESEAU[[#This Row],[Cell_ID]],Registre_Maintenance!A:E,5,FALSE),"Non trouvé")</f>
        <v>Non trouvé</v>
      </c>
      <c r="I1522" s="6" t="str">
        <f>IFERROR(VLOOKUP(LOG_RESEAU[[#This Row],[Cell_ID]],Registre_Maintenance!A:F,6,FALSE),"Non trouvé")</f>
        <v>Non trouvé</v>
      </c>
      <c r="J1522" s="6" t="str">
        <f t="shared" si="69"/>
        <v>Antenne inconnue</v>
      </c>
      <c r="K1522" s="6">
        <f t="shared" si="70"/>
        <v>3</v>
      </c>
      <c r="L1522" s="6">
        <f t="shared" si="71"/>
        <v>120</v>
      </c>
    </row>
    <row r="1523" spans="1:12" ht="15.75" x14ac:dyDescent="0.25">
      <c r="A1523" s="6" t="s">
        <v>1215</v>
      </c>
      <c r="B1523" s="7">
        <v>45228.100694444453</v>
      </c>
      <c r="C1523" s="6">
        <v>23</v>
      </c>
      <c r="D1523" s="6" t="s">
        <v>792</v>
      </c>
      <c r="E1523" s="8" t="str">
        <f>IFERROR(VLOOKUP(LOG_RESEAU[[#This Row],[Cell_ID]],Registre_Maintenance!A:B,2,FALSE),"Non trouvé")</f>
        <v>Non trouvé</v>
      </c>
      <c r="F1523" s="8" t="str">
        <f>IFERROR(VLOOKUP(LOG_RESEAU[[#This Row],[Cell_ID]],Registre_Maintenance!A:C,3,FALSE),"Non trouvé")</f>
        <v>Non trouvé</v>
      </c>
      <c r="G1523" s="8" t="str">
        <f>IFERROR(VLOOKUP(LOG_RESEAU[[#This Row],[Cell_ID]],Registre_Maintenance!A:D,4,FALSE),"Non trouvé")</f>
        <v>Non trouvé</v>
      </c>
      <c r="H1523" s="6" t="str">
        <f>IFERROR(VLOOKUP(LOG_RESEAU[[#This Row],[Cell_ID]],Registre_Maintenance!A:E,5,FALSE),"Non trouvé")</f>
        <v>Non trouvé</v>
      </c>
      <c r="I1523" s="6" t="str">
        <f>IFERROR(VLOOKUP(LOG_RESEAU[[#This Row],[Cell_ID]],Registre_Maintenance!A:F,6,FALSE),"Non trouvé")</f>
        <v>Non trouvé</v>
      </c>
      <c r="J1523" s="6" t="str">
        <f t="shared" si="69"/>
        <v>Antenne inconnue</v>
      </c>
      <c r="K1523" s="6">
        <f t="shared" si="70"/>
        <v>3</v>
      </c>
      <c r="L1523" s="6">
        <f t="shared" si="71"/>
        <v>120</v>
      </c>
    </row>
    <row r="1524" spans="1:12" ht="15.75" x14ac:dyDescent="0.25">
      <c r="A1524" s="6" t="s">
        <v>1030</v>
      </c>
      <c r="B1524" s="7">
        <v>45214.713194444441</v>
      </c>
      <c r="C1524" s="6">
        <v>25</v>
      </c>
      <c r="D1524" s="6" t="s">
        <v>794</v>
      </c>
      <c r="E1524" s="8" t="str">
        <f>IFERROR(VLOOKUP(LOG_RESEAU[[#This Row],[Cell_ID]],Registre_Maintenance!A:B,2,FALSE),"Non trouvé")</f>
        <v>Haut-Katanga</v>
      </c>
      <c r="F1524" s="8">
        <f>IFERROR(VLOOKUP(LOG_RESEAU[[#This Row],[Cell_ID]],Registre_Maintenance!A:C,3,FALSE),"Non trouvé")</f>
        <v>0.172153</v>
      </c>
      <c r="G1524" s="8">
        <f>IFERROR(VLOOKUP(LOG_RESEAU[[#This Row],[Cell_ID]],Registre_Maintenance!A:D,4,FALSE),"Non trouvé")</f>
        <v>21.091376</v>
      </c>
      <c r="H1524" s="6" t="str">
        <f>IFERROR(VLOOKUP(LOG_RESEAU[[#This Row],[Cell_ID]],Registre_Maintenance!A:E,5,FALSE),"Non trouvé")</f>
        <v>3G</v>
      </c>
      <c r="I1524" s="6" t="str">
        <f>IFERROR(VLOOKUP(LOG_RESEAU[[#This Row],[Cell_ID]],Registre_Maintenance!A:F,6,FALSE),"Non trouvé")</f>
        <v>Ericsson</v>
      </c>
      <c r="J1524" s="6" t="str">
        <f t="shared" si="69"/>
        <v>OK</v>
      </c>
      <c r="K1524" s="6">
        <f t="shared" si="70"/>
        <v>3</v>
      </c>
      <c r="L1524" s="6">
        <f t="shared" si="71"/>
        <v>165</v>
      </c>
    </row>
    <row r="1525" spans="1:12" ht="15.75" x14ac:dyDescent="0.25">
      <c r="A1525" s="6" t="s">
        <v>1030</v>
      </c>
      <c r="B1525" s="7">
        <v>45201.574305555558</v>
      </c>
      <c r="C1525" s="6">
        <v>75</v>
      </c>
      <c r="D1525" s="6" t="s">
        <v>792</v>
      </c>
      <c r="E1525" s="8" t="str">
        <f>IFERROR(VLOOKUP(LOG_RESEAU[[#This Row],[Cell_ID]],Registre_Maintenance!A:B,2,FALSE),"Non trouvé")</f>
        <v>Haut-Katanga</v>
      </c>
      <c r="F1525" s="8">
        <f>IFERROR(VLOOKUP(LOG_RESEAU[[#This Row],[Cell_ID]],Registre_Maintenance!A:C,3,FALSE),"Non trouvé")</f>
        <v>0.172153</v>
      </c>
      <c r="G1525" s="8">
        <f>IFERROR(VLOOKUP(LOG_RESEAU[[#This Row],[Cell_ID]],Registre_Maintenance!A:D,4,FALSE),"Non trouvé")</f>
        <v>21.091376</v>
      </c>
      <c r="H1525" s="6" t="str">
        <f>IFERROR(VLOOKUP(LOG_RESEAU[[#This Row],[Cell_ID]],Registre_Maintenance!A:E,5,FALSE),"Non trouvé")</f>
        <v>3G</v>
      </c>
      <c r="I1525" s="6" t="str">
        <f>IFERROR(VLOOKUP(LOG_RESEAU[[#This Row],[Cell_ID]],Registre_Maintenance!A:F,6,FALSE),"Non trouvé")</f>
        <v>Ericsson</v>
      </c>
      <c r="J1525" s="6" t="str">
        <f t="shared" si="69"/>
        <v>OK</v>
      </c>
      <c r="K1525" s="6">
        <f t="shared" si="70"/>
        <v>3</v>
      </c>
      <c r="L1525" s="6">
        <f t="shared" si="71"/>
        <v>165</v>
      </c>
    </row>
    <row r="1526" spans="1:12" ht="15.75" x14ac:dyDescent="0.25">
      <c r="A1526" s="6" t="s">
        <v>1030</v>
      </c>
      <c r="B1526" s="7">
        <v>45224.428472222222</v>
      </c>
      <c r="C1526" s="6">
        <v>65</v>
      </c>
      <c r="D1526" s="6" t="s">
        <v>800</v>
      </c>
      <c r="E1526" s="8" t="str">
        <f>IFERROR(VLOOKUP(LOG_RESEAU[[#This Row],[Cell_ID]],Registre_Maintenance!A:B,2,FALSE),"Non trouvé")</f>
        <v>Haut-Katanga</v>
      </c>
      <c r="F1526" s="8">
        <f>IFERROR(VLOOKUP(LOG_RESEAU[[#This Row],[Cell_ID]],Registre_Maintenance!A:C,3,FALSE),"Non trouvé")</f>
        <v>0.172153</v>
      </c>
      <c r="G1526" s="8">
        <f>IFERROR(VLOOKUP(LOG_RESEAU[[#This Row],[Cell_ID]],Registre_Maintenance!A:D,4,FALSE),"Non trouvé")</f>
        <v>21.091376</v>
      </c>
      <c r="H1526" s="6" t="str">
        <f>IFERROR(VLOOKUP(LOG_RESEAU[[#This Row],[Cell_ID]],Registre_Maintenance!A:E,5,FALSE),"Non trouvé")</f>
        <v>3G</v>
      </c>
      <c r="I1526" s="6" t="str">
        <f>IFERROR(VLOOKUP(LOG_RESEAU[[#This Row],[Cell_ID]],Registre_Maintenance!A:F,6,FALSE),"Non trouvé")</f>
        <v>Ericsson</v>
      </c>
      <c r="J1526" s="6" t="str">
        <f t="shared" si="69"/>
        <v>OK</v>
      </c>
      <c r="K1526" s="6">
        <f t="shared" si="70"/>
        <v>3</v>
      </c>
      <c r="L1526" s="6">
        <f t="shared" si="71"/>
        <v>165</v>
      </c>
    </row>
    <row r="1527" spans="1:12" ht="15.75" x14ac:dyDescent="0.25">
      <c r="A1527" s="6" t="s">
        <v>1089</v>
      </c>
      <c r="B1527" s="7">
        <v>45228.758333333331</v>
      </c>
      <c r="C1527" s="6">
        <v>54</v>
      </c>
      <c r="D1527" s="6" t="s">
        <v>794</v>
      </c>
      <c r="E1527" s="8" t="str">
        <f>IFERROR(VLOOKUP(LOG_RESEAU[[#This Row],[Cell_ID]],Registre_Maintenance!A:B,2,FALSE),"Non trouvé")</f>
        <v>Non trouvé</v>
      </c>
      <c r="F1527" s="8" t="str">
        <f>IFERROR(VLOOKUP(LOG_RESEAU[[#This Row],[Cell_ID]],Registre_Maintenance!A:C,3,FALSE),"Non trouvé")</f>
        <v>Non trouvé</v>
      </c>
      <c r="G1527" s="8" t="str">
        <f>IFERROR(VLOOKUP(LOG_RESEAU[[#This Row],[Cell_ID]],Registre_Maintenance!A:D,4,FALSE),"Non trouvé")</f>
        <v>Non trouvé</v>
      </c>
      <c r="H1527" s="6" t="str">
        <f>IFERROR(VLOOKUP(LOG_RESEAU[[#This Row],[Cell_ID]],Registre_Maintenance!A:E,5,FALSE),"Non trouvé")</f>
        <v>Non trouvé</v>
      </c>
      <c r="I1527" s="6" t="str">
        <f>IFERROR(VLOOKUP(LOG_RESEAU[[#This Row],[Cell_ID]],Registre_Maintenance!A:F,6,FALSE),"Non trouvé")</f>
        <v>Non trouvé</v>
      </c>
      <c r="J1527" s="6" t="str">
        <f t="shared" si="69"/>
        <v>Antenne inconnue</v>
      </c>
      <c r="K1527" s="6">
        <f t="shared" si="70"/>
        <v>1</v>
      </c>
      <c r="L1527" s="6">
        <f t="shared" si="71"/>
        <v>54</v>
      </c>
    </row>
    <row r="1528" spans="1:12" ht="15.75" x14ac:dyDescent="0.25">
      <c r="A1528" s="6" t="s">
        <v>1276</v>
      </c>
      <c r="B1528" s="7">
        <v>45213.027083333327</v>
      </c>
      <c r="C1528" s="6">
        <v>68</v>
      </c>
      <c r="D1528" s="6" t="s">
        <v>792</v>
      </c>
      <c r="E1528" s="8" t="str">
        <f>IFERROR(VLOOKUP(LOG_RESEAU[[#This Row],[Cell_ID]],Registre_Maintenance!A:B,2,FALSE),"Non trouvé")</f>
        <v>Kwango</v>
      </c>
      <c r="F1528" s="8">
        <f>IFERROR(VLOOKUP(LOG_RESEAU[[#This Row],[Cell_ID]],Registre_Maintenance!A:C,3,FALSE),"Non trouvé")</f>
        <v>-8.1210620000000002</v>
      </c>
      <c r="G1528" s="8">
        <f>IFERROR(VLOOKUP(LOG_RESEAU[[#This Row],[Cell_ID]],Registre_Maintenance!A:D,4,FALSE),"Non trouvé")</f>
        <v>21.094390000000001</v>
      </c>
      <c r="H1528" s="6" t="str">
        <f>IFERROR(VLOOKUP(LOG_RESEAU[[#This Row],[Cell_ID]],Registre_Maintenance!A:E,5,FALSE),"Non trouvé")</f>
        <v>5G</v>
      </c>
      <c r="I1528" s="6" t="str">
        <f>IFERROR(VLOOKUP(LOG_RESEAU[[#This Row],[Cell_ID]],Registre_Maintenance!A:F,6,FALSE),"Non trouvé")</f>
        <v>ZTE</v>
      </c>
      <c r="J1528" s="6" t="str">
        <f t="shared" si="69"/>
        <v>OK</v>
      </c>
      <c r="K1528" s="6">
        <f t="shared" si="70"/>
        <v>1</v>
      </c>
      <c r="L1528" s="6">
        <f t="shared" si="71"/>
        <v>68</v>
      </c>
    </row>
    <row r="1529" spans="1:12" ht="15.75" x14ac:dyDescent="0.25">
      <c r="A1529" s="6" t="s">
        <v>1295</v>
      </c>
      <c r="B1529" s="7">
        <v>45211.618750000001</v>
      </c>
      <c r="C1529" s="6">
        <v>92</v>
      </c>
      <c r="D1529" s="6" t="s">
        <v>794</v>
      </c>
      <c r="E1529" s="8" t="str">
        <f>IFERROR(VLOOKUP(LOG_RESEAU[[#This Row],[Cell_ID]],Registre_Maintenance!A:B,2,FALSE),"Non trouvé")</f>
        <v>Tshopo</v>
      </c>
      <c r="F1529" s="8">
        <f>IFERROR(VLOOKUP(LOG_RESEAU[[#This Row],[Cell_ID]],Registre_Maintenance!A:C,3,FALSE),"Non trouvé")</f>
        <v>-0.85624699999999998</v>
      </c>
      <c r="G1529" s="8">
        <f>IFERROR(VLOOKUP(LOG_RESEAU[[#This Row],[Cell_ID]],Registre_Maintenance!A:D,4,FALSE),"Non trouvé")</f>
        <v>28.624870000000001</v>
      </c>
      <c r="H1529" s="6" t="str">
        <f>IFERROR(VLOOKUP(LOG_RESEAU[[#This Row],[Cell_ID]],Registre_Maintenance!A:E,5,FALSE),"Non trouvé")</f>
        <v>3G</v>
      </c>
      <c r="I1529" s="6" t="str">
        <f>IFERROR(VLOOKUP(LOG_RESEAU[[#This Row],[Cell_ID]],Registre_Maintenance!A:F,6,FALSE),"Non trouvé")</f>
        <v>Ericsson</v>
      </c>
      <c r="J1529" s="6" t="str">
        <f t="shared" si="69"/>
        <v>OK</v>
      </c>
      <c r="K1529" s="6">
        <f t="shared" si="70"/>
        <v>2</v>
      </c>
      <c r="L1529" s="6">
        <f t="shared" si="71"/>
        <v>187</v>
      </c>
    </row>
    <row r="1530" spans="1:12" ht="15.75" x14ac:dyDescent="0.25">
      <c r="A1530" s="6" t="s">
        <v>1295</v>
      </c>
      <c r="B1530" s="7">
        <v>45215.775000000001</v>
      </c>
      <c r="C1530" s="6">
        <v>95</v>
      </c>
      <c r="D1530" s="6" t="s">
        <v>800</v>
      </c>
      <c r="E1530" s="8" t="str">
        <f>IFERROR(VLOOKUP(LOG_RESEAU[[#This Row],[Cell_ID]],Registre_Maintenance!A:B,2,FALSE),"Non trouvé")</f>
        <v>Tshopo</v>
      </c>
      <c r="F1530" s="8">
        <f>IFERROR(VLOOKUP(LOG_RESEAU[[#This Row],[Cell_ID]],Registre_Maintenance!A:C,3,FALSE),"Non trouvé")</f>
        <v>-0.85624699999999998</v>
      </c>
      <c r="G1530" s="8">
        <f>IFERROR(VLOOKUP(LOG_RESEAU[[#This Row],[Cell_ID]],Registre_Maintenance!A:D,4,FALSE),"Non trouvé")</f>
        <v>28.624870000000001</v>
      </c>
      <c r="H1530" s="6" t="str">
        <f>IFERROR(VLOOKUP(LOG_RESEAU[[#This Row],[Cell_ID]],Registre_Maintenance!A:E,5,FALSE),"Non trouvé")</f>
        <v>3G</v>
      </c>
      <c r="I1530" s="6" t="str">
        <f>IFERROR(VLOOKUP(LOG_RESEAU[[#This Row],[Cell_ID]],Registre_Maintenance!A:F,6,FALSE),"Non trouvé")</f>
        <v>Ericsson</v>
      </c>
      <c r="J1530" s="6" t="str">
        <f t="shared" si="69"/>
        <v>OK</v>
      </c>
      <c r="K1530" s="6">
        <f t="shared" si="70"/>
        <v>2</v>
      </c>
      <c r="L1530" s="6">
        <f t="shared" si="71"/>
        <v>187</v>
      </c>
    </row>
    <row r="1531" spans="1:12" ht="15.75" x14ac:dyDescent="0.25">
      <c r="A1531" s="6" t="s">
        <v>1228</v>
      </c>
      <c r="B1531" s="7">
        <v>45221.857638888891</v>
      </c>
      <c r="C1531" s="6">
        <v>60</v>
      </c>
      <c r="D1531" s="6" t="s">
        <v>792</v>
      </c>
      <c r="E1531" s="8" t="str">
        <f>IFERROR(VLOOKUP(LOG_RESEAU[[#This Row],[Cell_ID]],Registre_Maintenance!A:B,2,FALSE),"Non trouvé")</f>
        <v>Non trouvé</v>
      </c>
      <c r="F1531" s="8" t="str">
        <f>IFERROR(VLOOKUP(LOG_RESEAU[[#This Row],[Cell_ID]],Registre_Maintenance!A:C,3,FALSE),"Non trouvé")</f>
        <v>Non trouvé</v>
      </c>
      <c r="G1531" s="8" t="str">
        <f>IFERROR(VLOOKUP(LOG_RESEAU[[#This Row],[Cell_ID]],Registre_Maintenance!A:D,4,FALSE),"Non trouvé")</f>
        <v>Non trouvé</v>
      </c>
      <c r="H1531" s="6" t="str">
        <f>IFERROR(VLOOKUP(LOG_RESEAU[[#This Row],[Cell_ID]],Registre_Maintenance!A:E,5,FALSE),"Non trouvé")</f>
        <v>Non trouvé</v>
      </c>
      <c r="I1531" s="6" t="str">
        <f>IFERROR(VLOOKUP(LOG_RESEAU[[#This Row],[Cell_ID]],Registre_Maintenance!A:F,6,FALSE),"Non trouvé")</f>
        <v>Non trouvé</v>
      </c>
      <c r="J1531" s="6" t="str">
        <f t="shared" si="69"/>
        <v>Antenne inconnue</v>
      </c>
      <c r="K1531" s="6">
        <f t="shared" si="70"/>
        <v>2</v>
      </c>
      <c r="L1531" s="6">
        <f t="shared" si="71"/>
        <v>71</v>
      </c>
    </row>
    <row r="1532" spans="1:12" ht="15.75" x14ac:dyDescent="0.25">
      <c r="A1532" s="6" t="s">
        <v>1228</v>
      </c>
      <c r="B1532" s="7">
        <v>45202.054861111108</v>
      </c>
      <c r="C1532" s="6">
        <v>11</v>
      </c>
      <c r="D1532" s="6" t="s">
        <v>794</v>
      </c>
      <c r="E1532" s="8" t="str">
        <f>IFERROR(VLOOKUP(LOG_RESEAU[[#This Row],[Cell_ID]],Registre_Maintenance!A:B,2,FALSE),"Non trouvé")</f>
        <v>Non trouvé</v>
      </c>
      <c r="F1532" s="8" t="str">
        <f>IFERROR(VLOOKUP(LOG_RESEAU[[#This Row],[Cell_ID]],Registre_Maintenance!A:C,3,FALSE),"Non trouvé")</f>
        <v>Non trouvé</v>
      </c>
      <c r="G1532" s="8" t="str">
        <f>IFERROR(VLOOKUP(LOG_RESEAU[[#This Row],[Cell_ID]],Registre_Maintenance!A:D,4,FALSE),"Non trouvé")</f>
        <v>Non trouvé</v>
      </c>
      <c r="H1532" s="6" t="str">
        <f>IFERROR(VLOOKUP(LOG_RESEAU[[#This Row],[Cell_ID]],Registre_Maintenance!A:E,5,FALSE),"Non trouvé")</f>
        <v>Non trouvé</v>
      </c>
      <c r="I1532" s="6" t="str">
        <f>IFERROR(VLOOKUP(LOG_RESEAU[[#This Row],[Cell_ID]],Registre_Maintenance!A:F,6,FALSE),"Non trouvé")</f>
        <v>Non trouvé</v>
      </c>
      <c r="J1532" s="6" t="str">
        <f t="shared" si="69"/>
        <v>Antenne inconnue</v>
      </c>
      <c r="K1532" s="6">
        <f t="shared" si="70"/>
        <v>2</v>
      </c>
      <c r="L1532" s="6">
        <f t="shared" si="71"/>
        <v>71</v>
      </c>
    </row>
    <row r="1533" spans="1:12" ht="15.75" x14ac:dyDescent="0.25">
      <c r="A1533" s="6" t="s">
        <v>1509</v>
      </c>
      <c r="B1533" s="7">
        <v>45204.948611111111</v>
      </c>
      <c r="C1533" s="6">
        <v>47</v>
      </c>
      <c r="D1533" s="6" t="s">
        <v>800</v>
      </c>
      <c r="E1533" s="8" t="str">
        <f>IFERROR(VLOOKUP(LOG_RESEAU[[#This Row],[Cell_ID]],Registre_Maintenance!A:B,2,FALSE),"Non trouvé")</f>
        <v>Non trouvé</v>
      </c>
      <c r="F1533" s="8" t="str">
        <f>IFERROR(VLOOKUP(LOG_RESEAU[[#This Row],[Cell_ID]],Registre_Maintenance!A:C,3,FALSE),"Non trouvé")</f>
        <v>Non trouvé</v>
      </c>
      <c r="G1533" s="8" t="str">
        <f>IFERROR(VLOOKUP(LOG_RESEAU[[#This Row],[Cell_ID]],Registre_Maintenance!A:D,4,FALSE),"Non trouvé")</f>
        <v>Non trouvé</v>
      </c>
      <c r="H1533" s="6" t="str">
        <f>IFERROR(VLOOKUP(LOG_RESEAU[[#This Row],[Cell_ID]],Registre_Maintenance!A:E,5,FALSE),"Non trouvé")</f>
        <v>Non trouvé</v>
      </c>
      <c r="I1533" s="6" t="str">
        <f>IFERROR(VLOOKUP(LOG_RESEAU[[#This Row],[Cell_ID]],Registre_Maintenance!A:F,6,FALSE),"Non trouvé")</f>
        <v>Non trouvé</v>
      </c>
      <c r="J1533" s="6" t="str">
        <f t="shared" si="69"/>
        <v>Antenne inconnue</v>
      </c>
      <c r="K1533" s="6">
        <f t="shared" si="70"/>
        <v>1</v>
      </c>
      <c r="L1533" s="6">
        <f t="shared" si="71"/>
        <v>47</v>
      </c>
    </row>
    <row r="1534" spans="1:12" ht="15.75" x14ac:dyDescent="0.25">
      <c r="A1534" s="6" t="s">
        <v>1361</v>
      </c>
      <c r="B1534" s="7">
        <v>45215.322222222218</v>
      </c>
      <c r="C1534" s="6">
        <v>57</v>
      </c>
      <c r="D1534" s="6" t="s">
        <v>792</v>
      </c>
      <c r="E1534" s="8" t="str">
        <f>IFERROR(VLOOKUP(LOG_RESEAU[[#This Row],[Cell_ID]],Registre_Maintenance!A:B,2,FALSE),"Non trouvé")</f>
        <v>Non trouvé</v>
      </c>
      <c r="F1534" s="8" t="str">
        <f>IFERROR(VLOOKUP(LOG_RESEAU[[#This Row],[Cell_ID]],Registre_Maintenance!A:C,3,FALSE),"Non trouvé")</f>
        <v>Non trouvé</v>
      </c>
      <c r="G1534" s="8" t="str">
        <f>IFERROR(VLOOKUP(LOG_RESEAU[[#This Row],[Cell_ID]],Registre_Maintenance!A:D,4,FALSE),"Non trouvé")</f>
        <v>Non trouvé</v>
      </c>
      <c r="H1534" s="6" t="str">
        <f>IFERROR(VLOOKUP(LOG_RESEAU[[#This Row],[Cell_ID]],Registre_Maintenance!A:E,5,FALSE),"Non trouvé")</f>
        <v>Non trouvé</v>
      </c>
      <c r="I1534" s="6" t="str">
        <f>IFERROR(VLOOKUP(LOG_RESEAU[[#This Row],[Cell_ID]],Registre_Maintenance!A:F,6,FALSE),"Non trouvé")</f>
        <v>Non trouvé</v>
      </c>
      <c r="J1534" s="6" t="str">
        <f t="shared" si="69"/>
        <v>Antenne inconnue</v>
      </c>
      <c r="K1534" s="6">
        <f t="shared" si="70"/>
        <v>3</v>
      </c>
      <c r="L1534" s="6">
        <f t="shared" si="71"/>
        <v>114</v>
      </c>
    </row>
    <row r="1535" spans="1:12" ht="15.75" x14ac:dyDescent="0.25">
      <c r="A1535" s="6" t="s">
        <v>1361</v>
      </c>
      <c r="B1535" s="7">
        <v>45220.506249999999</v>
      </c>
      <c r="C1535" s="6">
        <v>20</v>
      </c>
      <c r="D1535" s="6" t="s">
        <v>794</v>
      </c>
      <c r="E1535" s="8" t="str">
        <f>IFERROR(VLOOKUP(LOG_RESEAU[[#This Row],[Cell_ID]],Registre_Maintenance!A:B,2,FALSE),"Non trouvé")</f>
        <v>Non trouvé</v>
      </c>
      <c r="F1535" s="8" t="str">
        <f>IFERROR(VLOOKUP(LOG_RESEAU[[#This Row],[Cell_ID]],Registre_Maintenance!A:C,3,FALSE),"Non trouvé")</f>
        <v>Non trouvé</v>
      </c>
      <c r="G1535" s="8" t="str">
        <f>IFERROR(VLOOKUP(LOG_RESEAU[[#This Row],[Cell_ID]],Registre_Maintenance!A:D,4,FALSE),"Non trouvé")</f>
        <v>Non trouvé</v>
      </c>
      <c r="H1535" s="6" t="str">
        <f>IFERROR(VLOOKUP(LOG_RESEAU[[#This Row],[Cell_ID]],Registre_Maintenance!A:E,5,FALSE),"Non trouvé")</f>
        <v>Non trouvé</v>
      </c>
      <c r="I1535" s="6" t="str">
        <f>IFERROR(VLOOKUP(LOG_RESEAU[[#This Row],[Cell_ID]],Registre_Maintenance!A:F,6,FALSE),"Non trouvé")</f>
        <v>Non trouvé</v>
      </c>
      <c r="J1535" s="6" t="str">
        <f t="shared" si="69"/>
        <v>Antenne inconnue</v>
      </c>
      <c r="K1535" s="6">
        <f t="shared" si="70"/>
        <v>3</v>
      </c>
      <c r="L1535" s="6">
        <f t="shared" si="71"/>
        <v>114</v>
      </c>
    </row>
    <row r="1536" spans="1:12" ht="15.75" x14ac:dyDescent="0.25">
      <c r="A1536" s="6" t="s">
        <v>1361</v>
      </c>
      <c r="B1536" s="7">
        <v>45229.986805555563</v>
      </c>
      <c r="C1536" s="6">
        <v>37</v>
      </c>
      <c r="D1536" s="6" t="s">
        <v>792</v>
      </c>
      <c r="E1536" s="8" t="str">
        <f>IFERROR(VLOOKUP(LOG_RESEAU[[#This Row],[Cell_ID]],Registre_Maintenance!A:B,2,FALSE),"Non trouvé")</f>
        <v>Non trouvé</v>
      </c>
      <c r="F1536" s="8" t="str">
        <f>IFERROR(VLOOKUP(LOG_RESEAU[[#This Row],[Cell_ID]],Registre_Maintenance!A:C,3,FALSE),"Non trouvé")</f>
        <v>Non trouvé</v>
      </c>
      <c r="G1536" s="8" t="str">
        <f>IFERROR(VLOOKUP(LOG_RESEAU[[#This Row],[Cell_ID]],Registre_Maintenance!A:D,4,FALSE),"Non trouvé")</f>
        <v>Non trouvé</v>
      </c>
      <c r="H1536" s="6" t="str">
        <f>IFERROR(VLOOKUP(LOG_RESEAU[[#This Row],[Cell_ID]],Registre_Maintenance!A:E,5,FALSE),"Non trouvé")</f>
        <v>Non trouvé</v>
      </c>
      <c r="I1536" s="6" t="str">
        <f>IFERROR(VLOOKUP(LOG_RESEAU[[#This Row],[Cell_ID]],Registre_Maintenance!A:F,6,FALSE),"Non trouvé")</f>
        <v>Non trouvé</v>
      </c>
      <c r="J1536" s="6" t="str">
        <f t="shared" si="69"/>
        <v>Antenne inconnue</v>
      </c>
      <c r="K1536" s="6">
        <f t="shared" si="70"/>
        <v>3</v>
      </c>
      <c r="L1536" s="6">
        <f t="shared" si="71"/>
        <v>114</v>
      </c>
    </row>
    <row r="1537" spans="1:12" ht="15.75" x14ac:dyDescent="0.25">
      <c r="A1537" s="6" t="s">
        <v>1166</v>
      </c>
      <c r="B1537" s="7">
        <v>45205.711111111108</v>
      </c>
      <c r="C1537" s="6">
        <v>109</v>
      </c>
      <c r="D1537" s="6" t="s">
        <v>792</v>
      </c>
      <c r="E1537" s="8" t="str">
        <f>IFERROR(VLOOKUP(LOG_RESEAU[[#This Row],[Cell_ID]],Registre_Maintenance!A:B,2,FALSE),"Non trouvé")</f>
        <v>Non trouvé</v>
      </c>
      <c r="F1537" s="8" t="str">
        <f>IFERROR(VLOOKUP(LOG_RESEAU[[#This Row],[Cell_ID]],Registre_Maintenance!A:C,3,FALSE),"Non trouvé")</f>
        <v>Non trouvé</v>
      </c>
      <c r="G1537" s="8" t="str">
        <f>IFERROR(VLOOKUP(LOG_RESEAU[[#This Row],[Cell_ID]],Registre_Maintenance!A:D,4,FALSE),"Non trouvé")</f>
        <v>Non trouvé</v>
      </c>
      <c r="H1537" s="6" t="str">
        <f>IFERROR(VLOOKUP(LOG_RESEAU[[#This Row],[Cell_ID]],Registre_Maintenance!A:E,5,FALSE),"Non trouvé")</f>
        <v>Non trouvé</v>
      </c>
      <c r="I1537" s="6" t="str">
        <f>IFERROR(VLOOKUP(LOG_RESEAU[[#This Row],[Cell_ID]],Registre_Maintenance!A:F,6,FALSE),"Non trouvé")</f>
        <v>Non trouvé</v>
      </c>
      <c r="J1537" s="6" t="str">
        <f t="shared" si="69"/>
        <v>Antenne inconnue</v>
      </c>
      <c r="K1537" s="6">
        <f t="shared" si="70"/>
        <v>2</v>
      </c>
      <c r="L1537" s="6">
        <f t="shared" si="71"/>
        <v>118</v>
      </c>
    </row>
    <row r="1538" spans="1:12" ht="15.75" x14ac:dyDescent="0.25">
      <c r="A1538" s="6" t="s">
        <v>1166</v>
      </c>
      <c r="B1538" s="7">
        <v>45200.06527777778</v>
      </c>
      <c r="C1538" s="6">
        <v>9</v>
      </c>
      <c r="D1538" s="6" t="s">
        <v>794</v>
      </c>
      <c r="E1538" s="8" t="str">
        <f>IFERROR(VLOOKUP(LOG_RESEAU[[#This Row],[Cell_ID]],Registre_Maintenance!A:B,2,FALSE),"Non trouvé")</f>
        <v>Non trouvé</v>
      </c>
      <c r="F1538" s="8" t="str">
        <f>IFERROR(VLOOKUP(LOG_RESEAU[[#This Row],[Cell_ID]],Registre_Maintenance!A:C,3,FALSE),"Non trouvé")</f>
        <v>Non trouvé</v>
      </c>
      <c r="G1538" s="8" t="str">
        <f>IFERROR(VLOOKUP(LOG_RESEAU[[#This Row],[Cell_ID]],Registre_Maintenance!A:D,4,FALSE),"Non trouvé")</f>
        <v>Non trouvé</v>
      </c>
      <c r="H1538" s="6" t="str">
        <f>IFERROR(VLOOKUP(LOG_RESEAU[[#This Row],[Cell_ID]],Registre_Maintenance!A:E,5,FALSE),"Non trouvé")</f>
        <v>Non trouvé</v>
      </c>
      <c r="I1538" s="6" t="str">
        <f>IFERROR(VLOOKUP(LOG_RESEAU[[#This Row],[Cell_ID]],Registre_Maintenance!A:F,6,FALSE),"Non trouvé")</f>
        <v>Non trouvé</v>
      </c>
      <c r="J1538" s="6" t="str">
        <f t="shared" ref="J1538:J1601" si="72">IF(ISERROR(SEARCH("Non trouvé",F1538)),"OK","Antenne inconnue")</f>
        <v>Antenne inconnue</v>
      </c>
      <c r="K1538" s="6">
        <f t="shared" ref="K1538:K1601" si="73">COUNTIF(A:A,A1538)</f>
        <v>2</v>
      </c>
      <c r="L1538" s="6">
        <f t="shared" ref="L1538:L1601" si="74">SUMIF(A:A,A1538,C:C)</f>
        <v>118</v>
      </c>
    </row>
    <row r="1539" spans="1:12" ht="15.75" x14ac:dyDescent="0.25">
      <c r="A1539" s="6" t="s">
        <v>1483</v>
      </c>
      <c r="B1539" s="7">
        <v>45215.776388888888</v>
      </c>
      <c r="C1539" s="6">
        <v>87</v>
      </c>
      <c r="D1539" s="6" t="s">
        <v>792</v>
      </c>
      <c r="E1539" s="8" t="str">
        <f>IFERROR(VLOOKUP(LOG_RESEAU[[#This Row],[Cell_ID]],Registre_Maintenance!A:B,2,FALSE),"Non trouvé")</f>
        <v>Kasai</v>
      </c>
      <c r="F1539" s="8">
        <f>IFERROR(VLOOKUP(LOG_RESEAU[[#This Row],[Cell_ID]],Registre_Maintenance!A:C,3,FALSE),"Non trouvé")</f>
        <v>2.5665840000000002</v>
      </c>
      <c r="G1539" s="8">
        <f>IFERROR(VLOOKUP(LOG_RESEAU[[#This Row],[Cell_ID]],Registre_Maintenance!A:D,4,FALSE),"Non trouvé")</f>
        <v>15.764796</v>
      </c>
      <c r="H1539" s="6" t="str">
        <f>IFERROR(VLOOKUP(LOG_RESEAU[[#This Row],[Cell_ID]],Registre_Maintenance!A:E,5,FALSE),"Non trouvé")</f>
        <v>3G</v>
      </c>
      <c r="I1539" s="6" t="str">
        <f>IFERROR(VLOOKUP(LOG_RESEAU[[#This Row],[Cell_ID]],Registre_Maintenance!A:F,6,FALSE),"Non trouvé")</f>
        <v>ZTE</v>
      </c>
      <c r="J1539" s="6" t="str">
        <f t="shared" si="72"/>
        <v>OK</v>
      </c>
      <c r="K1539" s="6">
        <f t="shared" si="73"/>
        <v>1</v>
      </c>
      <c r="L1539" s="6">
        <f t="shared" si="74"/>
        <v>87</v>
      </c>
    </row>
    <row r="1540" spans="1:12" ht="15.75" x14ac:dyDescent="0.25">
      <c r="A1540" s="6" t="s">
        <v>1216</v>
      </c>
      <c r="B1540" s="7">
        <v>45206.162499999999</v>
      </c>
      <c r="C1540" s="6">
        <v>69</v>
      </c>
      <c r="D1540" s="6" t="s">
        <v>794</v>
      </c>
      <c r="E1540" s="8" t="str">
        <f>IFERROR(VLOOKUP(LOG_RESEAU[[#This Row],[Cell_ID]],Registre_Maintenance!A:B,2,FALSE),"Non trouvé")</f>
        <v>Non trouvé</v>
      </c>
      <c r="F1540" s="8" t="str">
        <f>IFERROR(VLOOKUP(LOG_RESEAU[[#This Row],[Cell_ID]],Registre_Maintenance!A:C,3,FALSE),"Non trouvé")</f>
        <v>Non trouvé</v>
      </c>
      <c r="G1540" s="8" t="str">
        <f>IFERROR(VLOOKUP(LOG_RESEAU[[#This Row],[Cell_ID]],Registre_Maintenance!A:D,4,FALSE),"Non trouvé")</f>
        <v>Non trouvé</v>
      </c>
      <c r="H1540" s="6" t="str">
        <f>IFERROR(VLOOKUP(LOG_RESEAU[[#This Row],[Cell_ID]],Registre_Maintenance!A:E,5,FALSE),"Non trouvé")</f>
        <v>Non trouvé</v>
      </c>
      <c r="I1540" s="6" t="str">
        <f>IFERROR(VLOOKUP(LOG_RESEAU[[#This Row],[Cell_ID]],Registre_Maintenance!A:F,6,FALSE),"Non trouvé")</f>
        <v>Non trouvé</v>
      </c>
      <c r="J1540" s="6" t="str">
        <f t="shared" si="72"/>
        <v>Antenne inconnue</v>
      </c>
      <c r="K1540" s="6">
        <f t="shared" si="73"/>
        <v>1</v>
      </c>
      <c r="L1540" s="6">
        <f t="shared" si="74"/>
        <v>69</v>
      </c>
    </row>
    <row r="1541" spans="1:12" ht="15.75" x14ac:dyDescent="0.25">
      <c r="A1541" s="6" t="s">
        <v>1026</v>
      </c>
      <c r="B1541" s="7">
        <v>45204.283333333333</v>
      </c>
      <c r="C1541" s="6">
        <v>11</v>
      </c>
      <c r="D1541" s="6" t="s">
        <v>792</v>
      </c>
      <c r="E1541" s="8" t="str">
        <f>IFERROR(VLOOKUP(LOG_RESEAU[[#This Row],[Cell_ID]],Registre_Maintenance!A:B,2,FALSE),"Non trouvé")</f>
        <v>Lomami</v>
      </c>
      <c r="F1541" s="8">
        <f>IFERROR(VLOOKUP(LOG_RESEAU[[#This Row],[Cell_ID]],Registre_Maintenance!A:C,3,FALSE),"Non trouvé")</f>
        <v>-2.2371569999999998</v>
      </c>
      <c r="G1541" s="8">
        <f>IFERROR(VLOOKUP(LOG_RESEAU[[#This Row],[Cell_ID]],Registre_Maintenance!A:D,4,FALSE),"Non trouvé")</f>
        <v>25.926188</v>
      </c>
      <c r="H1541" s="6" t="str">
        <f>IFERROR(VLOOKUP(LOG_RESEAU[[#This Row],[Cell_ID]],Registre_Maintenance!A:E,5,FALSE),"Non trouvé")</f>
        <v>3G</v>
      </c>
      <c r="I1541" s="6" t="str">
        <f>IFERROR(VLOOKUP(LOG_RESEAU[[#This Row],[Cell_ID]],Registre_Maintenance!A:F,6,FALSE),"Non trouvé")</f>
        <v>Nokia</v>
      </c>
      <c r="J1541" s="6" t="str">
        <f t="shared" si="72"/>
        <v>OK</v>
      </c>
      <c r="K1541" s="6">
        <f t="shared" si="73"/>
        <v>3</v>
      </c>
      <c r="L1541" s="6">
        <f t="shared" si="74"/>
        <v>171</v>
      </c>
    </row>
    <row r="1542" spans="1:12" ht="15.75" x14ac:dyDescent="0.25">
      <c r="A1542" s="6" t="s">
        <v>1026</v>
      </c>
      <c r="B1542" s="7">
        <v>45215.376388888893</v>
      </c>
      <c r="C1542" s="6">
        <v>65</v>
      </c>
      <c r="D1542" s="6" t="s">
        <v>792</v>
      </c>
      <c r="E1542" s="8" t="str">
        <f>IFERROR(VLOOKUP(LOG_RESEAU[[#This Row],[Cell_ID]],Registre_Maintenance!A:B,2,FALSE),"Non trouvé")</f>
        <v>Lomami</v>
      </c>
      <c r="F1542" s="8">
        <f>IFERROR(VLOOKUP(LOG_RESEAU[[#This Row],[Cell_ID]],Registre_Maintenance!A:C,3,FALSE),"Non trouvé")</f>
        <v>-2.2371569999999998</v>
      </c>
      <c r="G1542" s="8">
        <f>IFERROR(VLOOKUP(LOG_RESEAU[[#This Row],[Cell_ID]],Registre_Maintenance!A:D,4,FALSE),"Non trouvé")</f>
        <v>25.926188</v>
      </c>
      <c r="H1542" s="6" t="str">
        <f>IFERROR(VLOOKUP(LOG_RESEAU[[#This Row],[Cell_ID]],Registre_Maintenance!A:E,5,FALSE),"Non trouvé")</f>
        <v>3G</v>
      </c>
      <c r="I1542" s="6" t="str">
        <f>IFERROR(VLOOKUP(LOG_RESEAU[[#This Row],[Cell_ID]],Registre_Maintenance!A:F,6,FALSE),"Non trouvé")</f>
        <v>Nokia</v>
      </c>
      <c r="J1542" s="6" t="str">
        <f t="shared" si="72"/>
        <v>OK</v>
      </c>
      <c r="K1542" s="6">
        <f t="shared" si="73"/>
        <v>3</v>
      </c>
      <c r="L1542" s="6">
        <f t="shared" si="74"/>
        <v>171</v>
      </c>
    </row>
    <row r="1543" spans="1:12" ht="15.75" x14ac:dyDescent="0.25">
      <c r="A1543" s="6" t="s">
        <v>1026</v>
      </c>
      <c r="B1543" s="7">
        <v>45224.482638888891</v>
      </c>
      <c r="C1543" s="6">
        <v>95</v>
      </c>
      <c r="D1543" s="6" t="s">
        <v>800</v>
      </c>
      <c r="E1543" s="8" t="str">
        <f>IFERROR(VLOOKUP(LOG_RESEAU[[#This Row],[Cell_ID]],Registre_Maintenance!A:B,2,FALSE),"Non trouvé")</f>
        <v>Lomami</v>
      </c>
      <c r="F1543" s="8">
        <f>IFERROR(VLOOKUP(LOG_RESEAU[[#This Row],[Cell_ID]],Registre_Maintenance!A:C,3,FALSE),"Non trouvé")</f>
        <v>-2.2371569999999998</v>
      </c>
      <c r="G1543" s="8">
        <f>IFERROR(VLOOKUP(LOG_RESEAU[[#This Row],[Cell_ID]],Registre_Maintenance!A:D,4,FALSE),"Non trouvé")</f>
        <v>25.926188</v>
      </c>
      <c r="H1543" s="6" t="str">
        <f>IFERROR(VLOOKUP(LOG_RESEAU[[#This Row],[Cell_ID]],Registre_Maintenance!A:E,5,FALSE),"Non trouvé")</f>
        <v>3G</v>
      </c>
      <c r="I1543" s="6" t="str">
        <f>IFERROR(VLOOKUP(LOG_RESEAU[[#This Row],[Cell_ID]],Registre_Maintenance!A:F,6,FALSE),"Non trouvé")</f>
        <v>Nokia</v>
      </c>
      <c r="J1543" s="6" t="str">
        <f t="shared" si="72"/>
        <v>OK</v>
      </c>
      <c r="K1543" s="6">
        <f t="shared" si="73"/>
        <v>3</v>
      </c>
      <c r="L1543" s="6">
        <f t="shared" si="74"/>
        <v>171</v>
      </c>
    </row>
    <row r="1544" spans="1:12" ht="15.75" x14ac:dyDescent="0.25">
      <c r="A1544" s="6" t="s">
        <v>1111</v>
      </c>
      <c r="B1544" s="7">
        <v>45216.902777777781</v>
      </c>
      <c r="C1544" s="6">
        <v>20</v>
      </c>
      <c r="D1544" s="6" t="s">
        <v>792</v>
      </c>
      <c r="E1544" s="8" t="str">
        <f>IFERROR(VLOOKUP(LOG_RESEAU[[#This Row],[Cell_ID]],Registre_Maintenance!A:B,2,FALSE),"Non trouvé")</f>
        <v>Kwilu</v>
      </c>
      <c r="F1544" s="8">
        <f>IFERROR(VLOOKUP(LOG_RESEAU[[#This Row],[Cell_ID]],Registre_Maintenance!A:C,3,FALSE),"Non trouvé")</f>
        <v>-4.2408359999999998</v>
      </c>
      <c r="G1544" s="8">
        <f>IFERROR(VLOOKUP(LOG_RESEAU[[#This Row],[Cell_ID]],Registre_Maintenance!A:D,4,FALSE),"Non trouvé")</f>
        <v>26.210014000000001</v>
      </c>
      <c r="H1544" s="6" t="str">
        <f>IFERROR(VLOOKUP(LOG_RESEAU[[#This Row],[Cell_ID]],Registre_Maintenance!A:E,5,FALSE),"Non trouvé")</f>
        <v>4G</v>
      </c>
      <c r="I1544" s="6" t="str">
        <f>IFERROR(VLOOKUP(LOG_RESEAU[[#This Row],[Cell_ID]],Registre_Maintenance!A:F,6,FALSE),"Non trouvé")</f>
        <v>Huawei</v>
      </c>
      <c r="J1544" s="6" t="str">
        <f t="shared" si="72"/>
        <v>OK</v>
      </c>
      <c r="K1544" s="6">
        <f t="shared" si="73"/>
        <v>1</v>
      </c>
      <c r="L1544" s="6">
        <f t="shared" si="74"/>
        <v>20</v>
      </c>
    </row>
    <row r="1545" spans="1:12" ht="15.75" x14ac:dyDescent="0.25">
      <c r="A1545" s="6" t="s">
        <v>1186</v>
      </c>
      <c r="B1545" s="7">
        <v>45227.163194444453</v>
      </c>
      <c r="C1545" s="6">
        <v>78</v>
      </c>
      <c r="D1545" s="6" t="s">
        <v>800</v>
      </c>
      <c r="E1545" s="8" t="str">
        <f>IFERROR(VLOOKUP(LOG_RESEAU[[#This Row],[Cell_ID]],Registre_Maintenance!A:B,2,FALSE),"Non trouvé")</f>
        <v>Non trouvé</v>
      </c>
      <c r="F1545" s="8" t="str">
        <f>IFERROR(VLOOKUP(LOG_RESEAU[[#This Row],[Cell_ID]],Registre_Maintenance!A:C,3,FALSE),"Non trouvé")</f>
        <v>Non trouvé</v>
      </c>
      <c r="G1545" s="8" t="str">
        <f>IFERROR(VLOOKUP(LOG_RESEAU[[#This Row],[Cell_ID]],Registre_Maintenance!A:D,4,FALSE),"Non trouvé")</f>
        <v>Non trouvé</v>
      </c>
      <c r="H1545" s="6" t="str">
        <f>IFERROR(VLOOKUP(LOG_RESEAU[[#This Row],[Cell_ID]],Registre_Maintenance!A:E,5,FALSE),"Non trouvé")</f>
        <v>Non trouvé</v>
      </c>
      <c r="I1545" s="6" t="str">
        <f>IFERROR(VLOOKUP(LOG_RESEAU[[#This Row],[Cell_ID]],Registre_Maintenance!A:F,6,FALSE),"Non trouvé")</f>
        <v>Non trouvé</v>
      </c>
      <c r="J1545" s="6" t="str">
        <f t="shared" si="72"/>
        <v>Antenne inconnue</v>
      </c>
      <c r="K1545" s="6">
        <f t="shared" si="73"/>
        <v>1</v>
      </c>
      <c r="L1545" s="6">
        <f t="shared" si="74"/>
        <v>78</v>
      </c>
    </row>
    <row r="1546" spans="1:12" ht="15.75" x14ac:dyDescent="0.25">
      <c r="A1546" s="6" t="s">
        <v>1185</v>
      </c>
      <c r="B1546" s="7">
        <v>45221.839583333327</v>
      </c>
      <c r="C1546" s="6">
        <v>18</v>
      </c>
      <c r="D1546" s="6" t="s">
        <v>794</v>
      </c>
      <c r="E1546" s="8" t="str">
        <f>IFERROR(VLOOKUP(LOG_RESEAU[[#This Row],[Cell_ID]],Registre_Maintenance!A:B,2,FALSE),"Non trouvé")</f>
        <v>Non trouvé</v>
      </c>
      <c r="F1546" s="8" t="str">
        <f>IFERROR(VLOOKUP(LOG_RESEAU[[#This Row],[Cell_ID]],Registre_Maintenance!A:C,3,FALSE),"Non trouvé")</f>
        <v>Non trouvé</v>
      </c>
      <c r="G1546" s="8" t="str">
        <f>IFERROR(VLOOKUP(LOG_RESEAU[[#This Row],[Cell_ID]],Registre_Maintenance!A:D,4,FALSE),"Non trouvé")</f>
        <v>Non trouvé</v>
      </c>
      <c r="H1546" s="6" t="str">
        <f>IFERROR(VLOOKUP(LOG_RESEAU[[#This Row],[Cell_ID]],Registre_Maintenance!A:E,5,FALSE),"Non trouvé")</f>
        <v>Non trouvé</v>
      </c>
      <c r="I1546" s="6" t="str">
        <f>IFERROR(VLOOKUP(LOG_RESEAU[[#This Row],[Cell_ID]],Registre_Maintenance!A:F,6,FALSE),"Non trouvé")</f>
        <v>Non trouvé</v>
      </c>
      <c r="J1546" s="6" t="str">
        <f t="shared" si="72"/>
        <v>Antenne inconnue</v>
      </c>
      <c r="K1546" s="6">
        <f t="shared" si="73"/>
        <v>1</v>
      </c>
      <c r="L1546" s="6">
        <f t="shared" si="74"/>
        <v>18</v>
      </c>
    </row>
    <row r="1547" spans="1:12" ht="15.75" x14ac:dyDescent="0.25">
      <c r="A1547" s="6" t="s">
        <v>1178</v>
      </c>
      <c r="B1547" s="7">
        <v>45214.109722222223</v>
      </c>
      <c r="C1547" s="6">
        <v>102</v>
      </c>
      <c r="D1547" s="6" t="s">
        <v>800</v>
      </c>
      <c r="E1547" s="8" t="str">
        <f>IFERROR(VLOOKUP(LOG_RESEAU[[#This Row],[Cell_ID]],Registre_Maintenance!A:B,2,FALSE),"Non trouvé")</f>
        <v>Non trouvé</v>
      </c>
      <c r="F1547" s="8" t="str">
        <f>IFERROR(VLOOKUP(LOG_RESEAU[[#This Row],[Cell_ID]],Registre_Maintenance!A:C,3,FALSE),"Non trouvé")</f>
        <v>Non trouvé</v>
      </c>
      <c r="G1547" s="8" t="str">
        <f>IFERROR(VLOOKUP(LOG_RESEAU[[#This Row],[Cell_ID]],Registre_Maintenance!A:D,4,FALSE),"Non trouvé")</f>
        <v>Non trouvé</v>
      </c>
      <c r="H1547" s="6" t="str">
        <f>IFERROR(VLOOKUP(LOG_RESEAU[[#This Row],[Cell_ID]],Registre_Maintenance!A:E,5,FALSE),"Non trouvé")</f>
        <v>Non trouvé</v>
      </c>
      <c r="I1547" s="6" t="str">
        <f>IFERROR(VLOOKUP(LOG_RESEAU[[#This Row],[Cell_ID]],Registre_Maintenance!A:F,6,FALSE),"Non trouvé")</f>
        <v>Non trouvé</v>
      </c>
      <c r="J1547" s="6" t="str">
        <f t="shared" si="72"/>
        <v>Antenne inconnue</v>
      </c>
      <c r="K1547" s="6">
        <f t="shared" si="73"/>
        <v>2</v>
      </c>
      <c r="L1547" s="6">
        <f t="shared" si="74"/>
        <v>109</v>
      </c>
    </row>
    <row r="1548" spans="1:12" ht="15.75" x14ac:dyDescent="0.25">
      <c r="A1548" s="6" t="s">
        <v>1178</v>
      </c>
      <c r="B1548" s="7">
        <v>45210.84097222222</v>
      </c>
      <c r="C1548" s="6">
        <v>7</v>
      </c>
      <c r="D1548" s="6" t="s">
        <v>794</v>
      </c>
      <c r="E1548" s="8" t="str">
        <f>IFERROR(VLOOKUP(LOG_RESEAU[[#This Row],[Cell_ID]],Registre_Maintenance!A:B,2,FALSE),"Non trouvé")</f>
        <v>Non trouvé</v>
      </c>
      <c r="F1548" s="8" t="str">
        <f>IFERROR(VLOOKUP(LOG_RESEAU[[#This Row],[Cell_ID]],Registre_Maintenance!A:C,3,FALSE),"Non trouvé")</f>
        <v>Non trouvé</v>
      </c>
      <c r="G1548" s="8" t="str">
        <f>IFERROR(VLOOKUP(LOG_RESEAU[[#This Row],[Cell_ID]],Registre_Maintenance!A:D,4,FALSE),"Non trouvé")</f>
        <v>Non trouvé</v>
      </c>
      <c r="H1548" s="6" t="str">
        <f>IFERROR(VLOOKUP(LOG_RESEAU[[#This Row],[Cell_ID]],Registre_Maintenance!A:E,5,FALSE),"Non trouvé")</f>
        <v>Non trouvé</v>
      </c>
      <c r="I1548" s="6" t="str">
        <f>IFERROR(VLOOKUP(LOG_RESEAU[[#This Row],[Cell_ID]],Registre_Maintenance!A:F,6,FALSE),"Non trouvé")</f>
        <v>Non trouvé</v>
      </c>
      <c r="J1548" s="6" t="str">
        <f t="shared" si="72"/>
        <v>Antenne inconnue</v>
      </c>
      <c r="K1548" s="6">
        <f t="shared" si="73"/>
        <v>2</v>
      </c>
      <c r="L1548" s="6">
        <f t="shared" si="74"/>
        <v>109</v>
      </c>
    </row>
    <row r="1549" spans="1:12" ht="15.75" x14ac:dyDescent="0.25">
      <c r="A1549" s="6" t="s">
        <v>1217</v>
      </c>
      <c r="B1549" s="7">
        <v>45226.586805555547</v>
      </c>
      <c r="C1549" s="6">
        <v>33</v>
      </c>
      <c r="D1549" s="6" t="s">
        <v>792</v>
      </c>
      <c r="E1549" s="8" t="str">
        <f>IFERROR(VLOOKUP(LOG_RESEAU[[#This Row],[Cell_ID]],Registre_Maintenance!A:B,2,FALSE),"Non trouvé")</f>
        <v>Nord-Ubangi</v>
      </c>
      <c r="F1549" s="8">
        <f>IFERROR(VLOOKUP(LOG_RESEAU[[#This Row],[Cell_ID]],Registre_Maintenance!A:C,3,FALSE),"Non trouvé")</f>
        <v>-7.7839049999999999</v>
      </c>
      <c r="G1549" s="8">
        <f>IFERROR(VLOOKUP(LOG_RESEAU[[#This Row],[Cell_ID]],Registre_Maintenance!A:D,4,FALSE),"Non trouvé")</f>
        <v>14.114281999999999</v>
      </c>
      <c r="H1549" s="6" t="str">
        <f>IFERROR(VLOOKUP(LOG_RESEAU[[#This Row],[Cell_ID]],Registre_Maintenance!A:E,5,FALSE),"Non trouvé")</f>
        <v>3G</v>
      </c>
      <c r="I1549" s="6" t="str">
        <f>IFERROR(VLOOKUP(LOG_RESEAU[[#This Row],[Cell_ID]],Registre_Maintenance!A:F,6,FALSE),"Non trouvé")</f>
        <v>ZTE</v>
      </c>
      <c r="J1549" s="6" t="str">
        <f t="shared" si="72"/>
        <v>OK</v>
      </c>
      <c r="K1549" s="6">
        <f t="shared" si="73"/>
        <v>3</v>
      </c>
      <c r="L1549" s="6">
        <f t="shared" si="74"/>
        <v>156</v>
      </c>
    </row>
    <row r="1550" spans="1:12" ht="15.75" x14ac:dyDescent="0.25">
      <c r="A1550" s="6" t="s">
        <v>1217</v>
      </c>
      <c r="B1550" s="7">
        <v>45201.009027777778</v>
      </c>
      <c r="C1550" s="6">
        <v>56</v>
      </c>
      <c r="D1550" s="6" t="s">
        <v>800</v>
      </c>
      <c r="E1550" s="8" t="str">
        <f>IFERROR(VLOOKUP(LOG_RESEAU[[#This Row],[Cell_ID]],Registre_Maintenance!A:B,2,FALSE),"Non trouvé")</f>
        <v>Nord-Ubangi</v>
      </c>
      <c r="F1550" s="8">
        <f>IFERROR(VLOOKUP(LOG_RESEAU[[#This Row],[Cell_ID]],Registre_Maintenance!A:C,3,FALSE),"Non trouvé")</f>
        <v>-7.7839049999999999</v>
      </c>
      <c r="G1550" s="8">
        <f>IFERROR(VLOOKUP(LOG_RESEAU[[#This Row],[Cell_ID]],Registre_Maintenance!A:D,4,FALSE),"Non trouvé")</f>
        <v>14.114281999999999</v>
      </c>
      <c r="H1550" s="6" t="str">
        <f>IFERROR(VLOOKUP(LOG_RESEAU[[#This Row],[Cell_ID]],Registre_Maintenance!A:E,5,FALSE),"Non trouvé")</f>
        <v>3G</v>
      </c>
      <c r="I1550" s="6" t="str">
        <f>IFERROR(VLOOKUP(LOG_RESEAU[[#This Row],[Cell_ID]],Registre_Maintenance!A:F,6,FALSE),"Non trouvé")</f>
        <v>ZTE</v>
      </c>
      <c r="J1550" s="6" t="str">
        <f t="shared" si="72"/>
        <v>OK</v>
      </c>
      <c r="K1550" s="6">
        <f t="shared" si="73"/>
        <v>3</v>
      </c>
      <c r="L1550" s="6">
        <f t="shared" si="74"/>
        <v>156</v>
      </c>
    </row>
    <row r="1551" spans="1:12" ht="15.75" x14ac:dyDescent="0.25">
      <c r="A1551" s="6" t="s">
        <v>1217</v>
      </c>
      <c r="B1551" s="7">
        <v>45209.659722222219</v>
      </c>
      <c r="C1551" s="6">
        <v>67</v>
      </c>
      <c r="D1551" s="6" t="s">
        <v>792</v>
      </c>
      <c r="E1551" s="8" t="str">
        <f>IFERROR(VLOOKUP(LOG_RESEAU[[#This Row],[Cell_ID]],Registre_Maintenance!A:B,2,FALSE),"Non trouvé")</f>
        <v>Nord-Ubangi</v>
      </c>
      <c r="F1551" s="8">
        <f>IFERROR(VLOOKUP(LOG_RESEAU[[#This Row],[Cell_ID]],Registre_Maintenance!A:C,3,FALSE),"Non trouvé")</f>
        <v>-7.7839049999999999</v>
      </c>
      <c r="G1551" s="8">
        <f>IFERROR(VLOOKUP(LOG_RESEAU[[#This Row],[Cell_ID]],Registre_Maintenance!A:D,4,FALSE),"Non trouvé")</f>
        <v>14.114281999999999</v>
      </c>
      <c r="H1551" s="6" t="str">
        <f>IFERROR(VLOOKUP(LOG_RESEAU[[#This Row],[Cell_ID]],Registre_Maintenance!A:E,5,FALSE),"Non trouvé")</f>
        <v>3G</v>
      </c>
      <c r="I1551" s="6" t="str">
        <f>IFERROR(VLOOKUP(LOG_RESEAU[[#This Row],[Cell_ID]],Registre_Maintenance!A:F,6,FALSE),"Non trouvé")</f>
        <v>ZTE</v>
      </c>
      <c r="J1551" s="6" t="str">
        <f t="shared" si="72"/>
        <v>OK</v>
      </c>
      <c r="K1551" s="6">
        <f t="shared" si="73"/>
        <v>3</v>
      </c>
      <c r="L1551" s="6">
        <f t="shared" si="74"/>
        <v>156</v>
      </c>
    </row>
    <row r="1552" spans="1:12" ht="15.75" x14ac:dyDescent="0.25">
      <c r="A1552" s="6" t="s">
        <v>1050</v>
      </c>
      <c r="B1552" s="7">
        <v>45218.635416666657</v>
      </c>
      <c r="C1552" s="6">
        <v>17</v>
      </c>
      <c r="D1552" s="6" t="s">
        <v>792</v>
      </c>
      <c r="E1552" s="8" t="str">
        <f>IFERROR(VLOOKUP(LOG_RESEAU[[#This Row],[Cell_ID]],Registre_Maintenance!A:B,2,FALSE),"Non trouvé")</f>
        <v>Non trouvé</v>
      </c>
      <c r="F1552" s="8" t="str">
        <f>IFERROR(VLOOKUP(LOG_RESEAU[[#This Row],[Cell_ID]],Registre_Maintenance!A:C,3,FALSE),"Non trouvé")</f>
        <v>Non trouvé</v>
      </c>
      <c r="G1552" s="8" t="str">
        <f>IFERROR(VLOOKUP(LOG_RESEAU[[#This Row],[Cell_ID]],Registre_Maintenance!A:D,4,FALSE),"Non trouvé")</f>
        <v>Non trouvé</v>
      </c>
      <c r="H1552" s="6" t="str">
        <f>IFERROR(VLOOKUP(LOG_RESEAU[[#This Row],[Cell_ID]],Registre_Maintenance!A:E,5,FALSE),"Non trouvé")</f>
        <v>Non trouvé</v>
      </c>
      <c r="I1552" s="6" t="str">
        <f>IFERROR(VLOOKUP(LOG_RESEAU[[#This Row],[Cell_ID]],Registre_Maintenance!A:F,6,FALSE),"Non trouvé")</f>
        <v>Non trouvé</v>
      </c>
      <c r="J1552" s="6" t="str">
        <f t="shared" si="72"/>
        <v>Antenne inconnue</v>
      </c>
      <c r="K1552" s="6">
        <f t="shared" si="73"/>
        <v>2</v>
      </c>
      <c r="L1552" s="6">
        <f t="shared" si="74"/>
        <v>53</v>
      </c>
    </row>
    <row r="1553" spans="1:12" ht="15.75" x14ac:dyDescent="0.25">
      <c r="A1553" s="6" t="s">
        <v>1050</v>
      </c>
      <c r="B1553" s="7">
        <v>45214.185416666667</v>
      </c>
      <c r="C1553" s="6">
        <v>36</v>
      </c>
      <c r="D1553" s="6" t="s">
        <v>800</v>
      </c>
      <c r="E1553" s="8" t="str">
        <f>IFERROR(VLOOKUP(LOG_RESEAU[[#This Row],[Cell_ID]],Registre_Maintenance!A:B,2,FALSE),"Non trouvé")</f>
        <v>Non trouvé</v>
      </c>
      <c r="F1553" s="8" t="str">
        <f>IFERROR(VLOOKUP(LOG_RESEAU[[#This Row],[Cell_ID]],Registre_Maintenance!A:C,3,FALSE),"Non trouvé")</f>
        <v>Non trouvé</v>
      </c>
      <c r="G1553" s="8" t="str">
        <f>IFERROR(VLOOKUP(LOG_RESEAU[[#This Row],[Cell_ID]],Registre_Maintenance!A:D,4,FALSE),"Non trouvé")</f>
        <v>Non trouvé</v>
      </c>
      <c r="H1553" s="6" t="str">
        <f>IFERROR(VLOOKUP(LOG_RESEAU[[#This Row],[Cell_ID]],Registre_Maintenance!A:E,5,FALSE),"Non trouvé")</f>
        <v>Non trouvé</v>
      </c>
      <c r="I1553" s="6" t="str">
        <f>IFERROR(VLOOKUP(LOG_RESEAU[[#This Row],[Cell_ID]],Registre_Maintenance!A:F,6,FALSE),"Non trouvé")</f>
        <v>Non trouvé</v>
      </c>
      <c r="J1553" s="6" t="str">
        <f t="shared" si="72"/>
        <v>Antenne inconnue</v>
      </c>
      <c r="K1553" s="6">
        <f t="shared" si="73"/>
        <v>2</v>
      </c>
      <c r="L1553" s="6">
        <f t="shared" si="74"/>
        <v>53</v>
      </c>
    </row>
    <row r="1554" spans="1:12" ht="15.75" x14ac:dyDescent="0.25">
      <c r="A1554" s="6" t="s">
        <v>1063</v>
      </c>
      <c r="B1554" s="7">
        <v>45201.224999999999</v>
      </c>
      <c r="C1554" s="6">
        <v>83</v>
      </c>
      <c r="D1554" s="6" t="s">
        <v>800</v>
      </c>
      <c r="E1554" s="8" t="str">
        <f>IFERROR(VLOOKUP(LOG_RESEAU[[#This Row],[Cell_ID]],Registre_Maintenance!A:B,2,FALSE),"Non trouvé")</f>
        <v>Nord-Kivu</v>
      </c>
      <c r="F1554" s="8">
        <f>IFERROR(VLOOKUP(LOG_RESEAU[[#This Row],[Cell_ID]],Registre_Maintenance!A:C,3,FALSE),"Non trouvé")</f>
        <v>0.82868600000000003</v>
      </c>
      <c r="G1554" s="8">
        <f>IFERROR(VLOOKUP(LOG_RESEAU[[#This Row],[Cell_ID]],Registre_Maintenance!A:D,4,FALSE),"Non trouvé")</f>
        <v>26.958843999999999</v>
      </c>
      <c r="H1554" s="6" t="str">
        <f>IFERROR(VLOOKUP(LOG_RESEAU[[#This Row],[Cell_ID]],Registre_Maintenance!A:E,5,FALSE),"Non trouvé")</f>
        <v>5G</v>
      </c>
      <c r="I1554" s="6" t="str">
        <f>IFERROR(VLOOKUP(LOG_RESEAU[[#This Row],[Cell_ID]],Registre_Maintenance!A:F,6,FALSE),"Non trouvé")</f>
        <v>ZTE</v>
      </c>
      <c r="J1554" s="6" t="str">
        <f t="shared" si="72"/>
        <v>OK</v>
      </c>
      <c r="K1554" s="6">
        <f t="shared" si="73"/>
        <v>5</v>
      </c>
      <c r="L1554" s="6">
        <f t="shared" si="74"/>
        <v>385</v>
      </c>
    </row>
    <row r="1555" spans="1:12" ht="15.75" x14ac:dyDescent="0.25">
      <c r="A1555" s="6" t="s">
        <v>1063</v>
      </c>
      <c r="B1555" s="7">
        <v>45225.776388888888</v>
      </c>
      <c r="C1555" s="6">
        <v>71</v>
      </c>
      <c r="D1555" s="6" t="s">
        <v>794</v>
      </c>
      <c r="E1555" s="8" t="str">
        <f>IFERROR(VLOOKUP(LOG_RESEAU[[#This Row],[Cell_ID]],Registre_Maintenance!A:B,2,FALSE),"Non trouvé")</f>
        <v>Nord-Kivu</v>
      </c>
      <c r="F1555" s="8">
        <f>IFERROR(VLOOKUP(LOG_RESEAU[[#This Row],[Cell_ID]],Registre_Maintenance!A:C,3,FALSE),"Non trouvé")</f>
        <v>0.82868600000000003</v>
      </c>
      <c r="G1555" s="8">
        <f>IFERROR(VLOOKUP(LOG_RESEAU[[#This Row],[Cell_ID]],Registre_Maintenance!A:D,4,FALSE),"Non trouvé")</f>
        <v>26.958843999999999</v>
      </c>
      <c r="H1555" s="6" t="str">
        <f>IFERROR(VLOOKUP(LOG_RESEAU[[#This Row],[Cell_ID]],Registre_Maintenance!A:E,5,FALSE),"Non trouvé")</f>
        <v>5G</v>
      </c>
      <c r="I1555" s="6" t="str">
        <f>IFERROR(VLOOKUP(LOG_RESEAU[[#This Row],[Cell_ID]],Registre_Maintenance!A:F,6,FALSE),"Non trouvé")</f>
        <v>ZTE</v>
      </c>
      <c r="J1555" s="6" t="str">
        <f t="shared" si="72"/>
        <v>OK</v>
      </c>
      <c r="K1555" s="6">
        <f t="shared" si="73"/>
        <v>5</v>
      </c>
      <c r="L1555" s="6">
        <f t="shared" si="74"/>
        <v>385</v>
      </c>
    </row>
    <row r="1556" spans="1:12" ht="15.75" x14ac:dyDescent="0.25">
      <c r="A1556" s="6" t="s">
        <v>1063</v>
      </c>
      <c r="B1556" s="7">
        <v>45208.959027777782</v>
      </c>
      <c r="C1556" s="6">
        <v>98</v>
      </c>
      <c r="D1556" s="6" t="s">
        <v>792</v>
      </c>
      <c r="E1556" s="8" t="str">
        <f>IFERROR(VLOOKUP(LOG_RESEAU[[#This Row],[Cell_ID]],Registre_Maintenance!A:B,2,FALSE),"Non trouvé")</f>
        <v>Nord-Kivu</v>
      </c>
      <c r="F1556" s="8">
        <f>IFERROR(VLOOKUP(LOG_RESEAU[[#This Row],[Cell_ID]],Registre_Maintenance!A:C,3,FALSE),"Non trouvé")</f>
        <v>0.82868600000000003</v>
      </c>
      <c r="G1556" s="8">
        <f>IFERROR(VLOOKUP(LOG_RESEAU[[#This Row],[Cell_ID]],Registre_Maintenance!A:D,4,FALSE),"Non trouvé")</f>
        <v>26.958843999999999</v>
      </c>
      <c r="H1556" s="6" t="str">
        <f>IFERROR(VLOOKUP(LOG_RESEAU[[#This Row],[Cell_ID]],Registre_Maintenance!A:E,5,FALSE),"Non trouvé")</f>
        <v>5G</v>
      </c>
      <c r="I1556" s="6" t="str">
        <f>IFERROR(VLOOKUP(LOG_RESEAU[[#This Row],[Cell_ID]],Registre_Maintenance!A:F,6,FALSE),"Non trouvé")</f>
        <v>ZTE</v>
      </c>
      <c r="J1556" s="6" t="str">
        <f t="shared" si="72"/>
        <v>OK</v>
      </c>
      <c r="K1556" s="6">
        <f t="shared" si="73"/>
        <v>5</v>
      </c>
      <c r="L1556" s="6">
        <f t="shared" si="74"/>
        <v>385</v>
      </c>
    </row>
    <row r="1557" spans="1:12" ht="15.75" x14ac:dyDescent="0.25">
      <c r="A1557" s="6" t="s">
        <v>1063</v>
      </c>
      <c r="B1557" s="7">
        <v>45229.065972222219</v>
      </c>
      <c r="C1557" s="6">
        <v>93</v>
      </c>
      <c r="D1557" s="6" t="s">
        <v>794</v>
      </c>
      <c r="E1557" s="8" t="str">
        <f>IFERROR(VLOOKUP(LOG_RESEAU[[#This Row],[Cell_ID]],Registre_Maintenance!A:B,2,FALSE),"Non trouvé")</f>
        <v>Nord-Kivu</v>
      </c>
      <c r="F1557" s="8">
        <f>IFERROR(VLOOKUP(LOG_RESEAU[[#This Row],[Cell_ID]],Registre_Maintenance!A:C,3,FALSE),"Non trouvé")</f>
        <v>0.82868600000000003</v>
      </c>
      <c r="G1557" s="8">
        <f>IFERROR(VLOOKUP(LOG_RESEAU[[#This Row],[Cell_ID]],Registre_Maintenance!A:D,4,FALSE),"Non trouvé")</f>
        <v>26.958843999999999</v>
      </c>
      <c r="H1557" s="6" t="str">
        <f>IFERROR(VLOOKUP(LOG_RESEAU[[#This Row],[Cell_ID]],Registre_Maintenance!A:E,5,FALSE),"Non trouvé")</f>
        <v>5G</v>
      </c>
      <c r="I1557" s="6" t="str">
        <f>IFERROR(VLOOKUP(LOG_RESEAU[[#This Row],[Cell_ID]],Registre_Maintenance!A:F,6,FALSE),"Non trouvé")</f>
        <v>ZTE</v>
      </c>
      <c r="J1557" s="6" t="str">
        <f t="shared" si="72"/>
        <v>OK</v>
      </c>
      <c r="K1557" s="6">
        <f t="shared" si="73"/>
        <v>5</v>
      </c>
      <c r="L1557" s="6">
        <f t="shared" si="74"/>
        <v>385</v>
      </c>
    </row>
    <row r="1558" spans="1:12" ht="15.75" x14ac:dyDescent="0.25">
      <c r="A1558" s="6" t="s">
        <v>1063</v>
      </c>
      <c r="B1558" s="7">
        <v>45201.212500000001</v>
      </c>
      <c r="C1558" s="6">
        <v>40</v>
      </c>
      <c r="D1558" s="6" t="s">
        <v>800</v>
      </c>
      <c r="E1558" s="8" t="str">
        <f>IFERROR(VLOOKUP(LOG_RESEAU[[#This Row],[Cell_ID]],Registre_Maintenance!A:B,2,FALSE),"Non trouvé")</f>
        <v>Nord-Kivu</v>
      </c>
      <c r="F1558" s="8">
        <f>IFERROR(VLOOKUP(LOG_RESEAU[[#This Row],[Cell_ID]],Registre_Maintenance!A:C,3,FALSE),"Non trouvé")</f>
        <v>0.82868600000000003</v>
      </c>
      <c r="G1558" s="8">
        <f>IFERROR(VLOOKUP(LOG_RESEAU[[#This Row],[Cell_ID]],Registre_Maintenance!A:D,4,FALSE),"Non trouvé")</f>
        <v>26.958843999999999</v>
      </c>
      <c r="H1558" s="6" t="str">
        <f>IFERROR(VLOOKUP(LOG_RESEAU[[#This Row],[Cell_ID]],Registre_Maintenance!A:E,5,FALSE),"Non trouvé")</f>
        <v>5G</v>
      </c>
      <c r="I1558" s="6" t="str">
        <f>IFERROR(VLOOKUP(LOG_RESEAU[[#This Row],[Cell_ID]],Registre_Maintenance!A:F,6,FALSE),"Non trouvé")</f>
        <v>ZTE</v>
      </c>
      <c r="J1558" s="6" t="str">
        <f t="shared" si="72"/>
        <v>OK</v>
      </c>
      <c r="K1558" s="6">
        <f t="shared" si="73"/>
        <v>5</v>
      </c>
      <c r="L1558" s="6">
        <f t="shared" si="74"/>
        <v>385</v>
      </c>
    </row>
    <row r="1559" spans="1:12" ht="15.75" x14ac:dyDescent="0.25">
      <c r="A1559" s="6" t="s">
        <v>1317</v>
      </c>
      <c r="B1559" s="7">
        <v>45210.805555555547</v>
      </c>
      <c r="C1559" s="6">
        <v>97</v>
      </c>
      <c r="D1559" s="6" t="s">
        <v>794</v>
      </c>
      <c r="E1559" s="8" t="str">
        <f>IFERROR(VLOOKUP(LOG_RESEAU[[#This Row],[Cell_ID]],Registre_Maintenance!A:B,2,FALSE),"Non trouvé")</f>
        <v>Non trouvé</v>
      </c>
      <c r="F1559" s="8" t="str">
        <f>IFERROR(VLOOKUP(LOG_RESEAU[[#This Row],[Cell_ID]],Registre_Maintenance!A:C,3,FALSE),"Non trouvé")</f>
        <v>Non trouvé</v>
      </c>
      <c r="G1559" s="8" t="str">
        <f>IFERROR(VLOOKUP(LOG_RESEAU[[#This Row],[Cell_ID]],Registre_Maintenance!A:D,4,FALSE),"Non trouvé")</f>
        <v>Non trouvé</v>
      </c>
      <c r="H1559" s="6" t="str">
        <f>IFERROR(VLOOKUP(LOG_RESEAU[[#This Row],[Cell_ID]],Registre_Maintenance!A:E,5,FALSE),"Non trouvé")</f>
        <v>Non trouvé</v>
      </c>
      <c r="I1559" s="6" t="str">
        <f>IFERROR(VLOOKUP(LOG_RESEAU[[#This Row],[Cell_ID]],Registre_Maintenance!A:F,6,FALSE),"Non trouvé")</f>
        <v>Non trouvé</v>
      </c>
      <c r="J1559" s="6" t="str">
        <f t="shared" si="72"/>
        <v>Antenne inconnue</v>
      </c>
      <c r="K1559" s="6">
        <f t="shared" si="73"/>
        <v>2</v>
      </c>
      <c r="L1559" s="6">
        <f t="shared" si="74"/>
        <v>156</v>
      </c>
    </row>
    <row r="1560" spans="1:12" ht="15.75" x14ac:dyDescent="0.25">
      <c r="A1560" s="6" t="s">
        <v>1317</v>
      </c>
      <c r="B1560" s="7">
        <v>45215.088888888888</v>
      </c>
      <c r="C1560" s="6">
        <v>59</v>
      </c>
      <c r="D1560" s="6" t="s">
        <v>792</v>
      </c>
      <c r="E1560" s="8" t="str">
        <f>IFERROR(VLOOKUP(LOG_RESEAU[[#This Row],[Cell_ID]],Registre_Maintenance!A:B,2,FALSE),"Non trouvé")</f>
        <v>Non trouvé</v>
      </c>
      <c r="F1560" s="8" t="str">
        <f>IFERROR(VLOOKUP(LOG_RESEAU[[#This Row],[Cell_ID]],Registre_Maintenance!A:C,3,FALSE),"Non trouvé")</f>
        <v>Non trouvé</v>
      </c>
      <c r="G1560" s="8" t="str">
        <f>IFERROR(VLOOKUP(LOG_RESEAU[[#This Row],[Cell_ID]],Registre_Maintenance!A:D,4,FALSE),"Non trouvé")</f>
        <v>Non trouvé</v>
      </c>
      <c r="H1560" s="6" t="str">
        <f>IFERROR(VLOOKUP(LOG_RESEAU[[#This Row],[Cell_ID]],Registre_Maintenance!A:E,5,FALSE),"Non trouvé")</f>
        <v>Non trouvé</v>
      </c>
      <c r="I1560" s="6" t="str">
        <f>IFERROR(VLOOKUP(LOG_RESEAU[[#This Row],[Cell_ID]],Registre_Maintenance!A:F,6,FALSE),"Non trouvé")</f>
        <v>Non trouvé</v>
      </c>
      <c r="J1560" s="6" t="str">
        <f t="shared" si="72"/>
        <v>Antenne inconnue</v>
      </c>
      <c r="K1560" s="6">
        <f t="shared" si="73"/>
        <v>2</v>
      </c>
      <c r="L1560" s="6">
        <f t="shared" si="74"/>
        <v>156</v>
      </c>
    </row>
    <row r="1561" spans="1:12" ht="15.75" x14ac:dyDescent="0.25">
      <c r="A1561" s="6" t="s">
        <v>1029</v>
      </c>
      <c r="B1561" s="7">
        <v>45227.484722222223</v>
      </c>
      <c r="C1561" s="6">
        <v>24</v>
      </c>
      <c r="D1561" s="6" t="s">
        <v>800</v>
      </c>
      <c r="E1561" s="8" t="str">
        <f>IFERROR(VLOOKUP(LOG_RESEAU[[#This Row],[Cell_ID]],Registre_Maintenance!A:B,2,FALSE),"Non trouvé")</f>
        <v>Non trouvé</v>
      </c>
      <c r="F1561" s="8" t="str">
        <f>IFERROR(VLOOKUP(LOG_RESEAU[[#This Row],[Cell_ID]],Registre_Maintenance!A:C,3,FALSE),"Non trouvé")</f>
        <v>Non trouvé</v>
      </c>
      <c r="G1561" s="8" t="str">
        <f>IFERROR(VLOOKUP(LOG_RESEAU[[#This Row],[Cell_ID]],Registre_Maintenance!A:D,4,FALSE),"Non trouvé")</f>
        <v>Non trouvé</v>
      </c>
      <c r="H1561" s="6" t="str">
        <f>IFERROR(VLOOKUP(LOG_RESEAU[[#This Row],[Cell_ID]],Registre_Maintenance!A:E,5,FALSE),"Non trouvé")</f>
        <v>Non trouvé</v>
      </c>
      <c r="I1561" s="6" t="str">
        <f>IFERROR(VLOOKUP(LOG_RESEAU[[#This Row],[Cell_ID]],Registre_Maintenance!A:F,6,FALSE),"Non trouvé")</f>
        <v>Non trouvé</v>
      </c>
      <c r="J1561" s="6" t="str">
        <f t="shared" si="72"/>
        <v>Antenne inconnue</v>
      </c>
      <c r="K1561" s="6">
        <f t="shared" si="73"/>
        <v>2</v>
      </c>
      <c r="L1561" s="6">
        <f t="shared" si="74"/>
        <v>76</v>
      </c>
    </row>
    <row r="1562" spans="1:12" ht="15.75" x14ac:dyDescent="0.25">
      <c r="A1562" s="6" t="s">
        <v>1029</v>
      </c>
      <c r="B1562" s="7">
        <v>45221.106249999997</v>
      </c>
      <c r="C1562" s="6">
        <v>52</v>
      </c>
      <c r="D1562" s="6" t="s">
        <v>792</v>
      </c>
      <c r="E1562" s="8" t="str">
        <f>IFERROR(VLOOKUP(LOG_RESEAU[[#This Row],[Cell_ID]],Registre_Maintenance!A:B,2,FALSE),"Non trouvé")</f>
        <v>Non trouvé</v>
      </c>
      <c r="F1562" s="8" t="str">
        <f>IFERROR(VLOOKUP(LOG_RESEAU[[#This Row],[Cell_ID]],Registre_Maintenance!A:C,3,FALSE),"Non trouvé")</f>
        <v>Non trouvé</v>
      </c>
      <c r="G1562" s="8" t="str">
        <f>IFERROR(VLOOKUP(LOG_RESEAU[[#This Row],[Cell_ID]],Registre_Maintenance!A:D,4,FALSE),"Non trouvé")</f>
        <v>Non trouvé</v>
      </c>
      <c r="H1562" s="6" t="str">
        <f>IFERROR(VLOOKUP(LOG_RESEAU[[#This Row],[Cell_ID]],Registre_Maintenance!A:E,5,FALSE),"Non trouvé")</f>
        <v>Non trouvé</v>
      </c>
      <c r="I1562" s="6" t="str">
        <f>IFERROR(VLOOKUP(LOG_RESEAU[[#This Row],[Cell_ID]],Registre_Maintenance!A:F,6,FALSE),"Non trouvé")</f>
        <v>Non trouvé</v>
      </c>
      <c r="J1562" s="6" t="str">
        <f t="shared" si="72"/>
        <v>Antenne inconnue</v>
      </c>
      <c r="K1562" s="6">
        <f t="shared" si="73"/>
        <v>2</v>
      </c>
      <c r="L1562" s="6">
        <f t="shared" si="74"/>
        <v>76</v>
      </c>
    </row>
    <row r="1563" spans="1:12" ht="15.75" x14ac:dyDescent="0.25">
      <c r="A1563" s="6" t="s">
        <v>1224</v>
      </c>
      <c r="B1563" s="7">
        <v>45211.908333333333</v>
      </c>
      <c r="C1563" s="6">
        <v>32</v>
      </c>
      <c r="D1563" s="6" t="s">
        <v>800</v>
      </c>
      <c r="E1563" s="8" t="str">
        <f>IFERROR(VLOOKUP(LOG_RESEAU[[#This Row],[Cell_ID]],Registre_Maintenance!A:B,2,FALSE),"Non trouvé")</f>
        <v>Non trouvé</v>
      </c>
      <c r="F1563" s="8" t="str">
        <f>IFERROR(VLOOKUP(LOG_RESEAU[[#This Row],[Cell_ID]],Registre_Maintenance!A:C,3,FALSE),"Non trouvé")</f>
        <v>Non trouvé</v>
      </c>
      <c r="G1563" s="8" t="str">
        <f>IFERROR(VLOOKUP(LOG_RESEAU[[#This Row],[Cell_ID]],Registre_Maintenance!A:D,4,FALSE),"Non trouvé")</f>
        <v>Non trouvé</v>
      </c>
      <c r="H1563" s="6" t="str">
        <f>IFERROR(VLOOKUP(LOG_RESEAU[[#This Row],[Cell_ID]],Registre_Maintenance!A:E,5,FALSE),"Non trouvé")</f>
        <v>Non trouvé</v>
      </c>
      <c r="I1563" s="6" t="str">
        <f>IFERROR(VLOOKUP(LOG_RESEAU[[#This Row],[Cell_ID]],Registre_Maintenance!A:F,6,FALSE),"Non trouvé")</f>
        <v>Non trouvé</v>
      </c>
      <c r="J1563" s="6" t="str">
        <f t="shared" si="72"/>
        <v>Antenne inconnue</v>
      </c>
      <c r="K1563" s="6">
        <f t="shared" si="73"/>
        <v>2</v>
      </c>
      <c r="L1563" s="6">
        <f t="shared" si="74"/>
        <v>114</v>
      </c>
    </row>
    <row r="1564" spans="1:12" ht="15.75" x14ac:dyDescent="0.25">
      <c r="A1564" s="6" t="s">
        <v>1224</v>
      </c>
      <c r="B1564" s="7">
        <v>45212.200694444437</v>
      </c>
      <c r="C1564" s="6">
        <v>82</v>
      </c>
      <c r="D1564" s="6" t="s">
        <v>794</v>
      </c>
      <c r="E1564" s="8" t="str">
        <f>IFERROR(VLOOKUP(LOG_RESEAU[[#This Row],[Cell_ID]],Registre_Maintenance!A:B,2,FALSE),"Non trouvé")</f>
        <v>Non trouvé</v>
      </c>
      <c r="F1564" s="8" t="str">
        <f>IFERROR(VLOOKUP(LOG_RESEAU[[#This Row],[Cell_ID]],Registre_Maintenance!A:C,3,FALSE),"Non trouvé")</f>
        <v>Non trouvé</v>
      </c>
      <c r="G1564" s="8" t="str">
        <f>IFERROR(VLOOKUP(LOG_RESEAU[[#This Row],[Cell_ID]],Registre_Maintenance!A:D,4,FALSE),"Non trouvé")</f>
        <v>Non trouvé</v>
      </c>
      <c r="H1564" s="6" t="str">
        <f>IFERROR(VLOOKUP(LOG_RESEAU[[#This Row],[Cell_ID]],Registre_Maintenance!A:E,5,FALSE),"Non trouvé")</f>
        <v>Non trouvé</v>
      </c>
      <c r="I1564" s="6" t="str">
        <f>IFERROR(VLOOKUP(LOG_RESEAU[[#This Row],[Cell_ID]],Registre_Maintenance!A:F,6,FALSE),"Non trouvé")</f>
        <v>Non trouvé</v>
      </c>
      <c r="J1564" s="6" t="str">
        <f t="shared" si="72"/>
        <v>Antenne inconnue</v>
      </c>
      <c r="K1564" s="6">
        <f t="shared" si="73"/>
        <v>2</v>
      </c>
      <c r="L1564" s="6">
        <f t="shared" si="74"/>
        <v>114</v>
      </c>
    </row>
    <row r="1565" spans="1:12" ht="15.75" x14ac:dyDescent="0.25">
      <c r="A1565" s="6" t="s">
        <v>1262</v>
      </c>
      <c r="B1565" s="7">
        <v>45219.920138888891</v>
      </c>
      <c r="C1565" s="6">
        <v>91</v>
      </c>
      <c r="D1565" s="6" t="s">
        <v>792</v>
      </c>
      <c r="E1565" s="8" t="str">
        <f>IFERROR(VLOOKUP(LOG_RESEAU[[#This Row],[Cell_ID]],Registre_Maintenance!A:B,2,FALSE),"Non trouvé")</f>
        <v>Non trouvé</v>
      </c>
      <c r="F1565" s="8" t="str">
        <f>IFERROR(VLOOKUP(LOG_RESEAU[[#This Row],[Cell_ID]],Registre_Maintenance!A:C,3,FALSE),"Non trouvé")</f>
        <v>Non trouvé</v>
      </c>
      <c r="G1565" s="8" t="str">
        <f>IFERROR(VLOOKUP(LOG_RESEAU[[#This Row],[Cell_ID]],Registre_Maintenance!A:D,4,FALSE),"Non trouvé")</f>
        <v>Non trouvé</v>
      </c>
      <c r="H1565" s="6" t="str">
        <f>IFERROR(VLOOKUP(LOG_RESEAU[[#This Row],[Cell_ID]],Registre_Maintenance!A:E,5,FALSE),"Non trouvé")</f>
        <v>Non trouvé</v>
      </c>
      <c r="I1565" s="6" t="str">
        <f>IFERROR(VLOOKUP(LOG_RESEAU[[#This Row],[Cell_ID]],Registre_Maintenance!A:F,6,FALSE),"Non trouvé")</f>
        <v>Non trouvé</v>
      </c>
      <c r="J1565" s="6" t="str">
        <f t="shared" si="72"/>
        <v>Antenne inconnue</v>
      </c>
      <c r="K1565" s="6">
        <f t="shared" si="73"/>
        <v>1</v>
      </c>
      <c r="L1565" s="6">
        <f t="shared" si="74"/>
        <v>91</v>
      </c>
    </row>
    <row r="1566" spans="1:12" ht="15.75" x14ac:dyDescent="0.25">
      <c r="A1566" s="6" t="s">
        <v>1290</v>
      </c>
      <c r="B1566" s="7">
        <v>45203.477083333331</v>
      </c>
      <c r="C1566" s="6">
        <v>93</v>
      </c>
      <c r="D1566" s="6" t="s">
        <v>800</v>
      </c>
      <c r="E1566" s="8" t="str">
        <f>IFERROR(VLOOKUP(LOG_RESEAU[[#This Row],[Cell_ID]],Registre_Maintenance!A:B,2,FALSE),"Non trouvé")</f>
        <v>Non trouvé</v>
      </c>
      <c r="F1566" s="8" t="str">
        <f>IFERROR(VLOOKUP(LOG_RESEAU[[#This Row],[Cell_ID]],Registre_Maintenance!A:C,3,FALSE),"Non trouvé")</f>
        <v>Non trouvé</v>
      </c>
      <c r="G1566" s="8" t="str">
        <f>IFERROR(VLOOKUP(LOG_RESEAU[[#This Row],[Cell_ID]],Registre_Maintenance!A:D,4,FALSE),"Non trouvé")</f>
        <v>Non trouvé</v>
      </c>
      <c r="H1566" s="6" t="str">
        <f>IFERROR(VLOOKUP(LOG_RESEAU[[#This Row],[Cell_ID]],Registre_Maintenance!A:E,5,FALSE),"Non trouvé")</f>
        <v>Non trouvé</v>
      </c>
      <c r="I1566" s="6" t="str">
        <f>IFERROR(VLOOKUP(LOG_RESEAU[[#This Row],[Cell_ID]],Registre_Maintenance!A:F,6,FALSE),"Non trouvé")</f>
        <v>Non trouvé</v>
      </c>
      <c r="J1566" s="6" t="str">
        <f t="shared" si="72"/>
        <v>Antenne inconnue</v>
      </c>
      <c r="K1566" s="6">
        <f t="shared" si="73"/>
        <v>2</v>
      </c>
      <c r="L1566" s="6">
        <f t="shared" si="74"/>
        <v>168</v>
      </c>
    </row>
    <row r="1567" spans="1:12" ht="15.75" x14ac:dyDescent="0.25">
      <c r="A1567" s="6" t="s">
        <v>1290</v>
      </c>
      <c r="B1567" s="7">
        <v>45208.711111111108</v>
      </c>
      <c r="C1567" s="6">
        <v>75</v>
      </c>
      <c r="D1567" s="6" t="s">
        <v>800</v>
      </c>
      <c r="E1567" s="8" t="str">
        <f>IFERROR(VLOOKUP(LOG_RESEAU[[#This Row],[Cell_ID]],Registre_Maintenance!A:B,2,FALSE),"Non trouvé")</f>
        <v>Non trouvé</v>
      </c>
      <c r="F1567" s="8" t="str">
        <f>IFERROR(VLOOKUP(LOG_RESEAU[[#This Row],[Cell_ID]],Registre_Maintenance!A:C,3,FALSE),"Non trouvé")</f>
        <v>Non trouvé</v>
      </c>
      <c r="G1567" s="8" t="str">
        <f>IFERROR(VLOOKUP(LOG_RESEAU[[#This Row],[Cell_ID]],Registre_Maintenance!A:D,4,FALSE),"Non trouvé")</f>
        <v>Non trouvé</v>
      </c>
      <c r="H1567" s="6" t="str">
        <f>IFERROR(VLOOKUP(LOG_RESEAU[[#This Row],[Cell_ID]],Registre_Maintenance!A:E,5,FALSE),"Non trouvé")</f>
        <v>Non trouvé</v>
      </c>
      <c r="I1567" s="6" t="str">
        <f>IFERROR(VLOOKUP(LOG_RESEAU[[#This Row],[Cell_ID]],Registre_Maintenance!A:F,6,FALSE),"Non trouvé")</f>
        <v>Non trouvé</v>
      </c>
      <c r="J1567" s="6" t="str">
        <f t="shared" si="72"/>
        <v>Antenne inconnue</v>
      </c>
      <c r="K1567" s="6">
        <f t="shared" si="73"/>
        <v>2</v>
      </c>
      <c r="L1567" s="6">
        <f t="shared" si="74"/>
        <v>168</v>
      </c>
    </row>
    <row r="1568" spans="1:12" ht="15.75" x14ac:dyDescent="0.25">
      <c r="A1568" s="6" t="s">
        <v>1131</v>
      </c>
      <c r="B1568" s="7">
        <v>45204.297222222223</v>
      </c>
      <c r="C1568" s="6">
        <v>111</v>
      </c>
      <c r="D1568" s="6" t="s">
        <v>800</v>
      </c>
      <c r="E1568" s="8" t="str">
        <f>IFERROR(VLOOKUP(LOG_RESEAU[[#This Row],[Cell_ID]],Registre_Maintenance!A:B,2,FALSE),"Non trouvé")</f>
        <v>Nord-Ubangi</v>
      </c>
      <c r="F1568" s="8">
        <f>IFERROR(VLOOKUP(LOG_RESEAU[[#This Row],[Cell_ID]],Registre_Maintenance!A:C,3,FALSE),"Non trouvé")</f>
        <v>-1.342476</v>
      </c>
      <c r="G1568" s="8">
        <f>IFERROR(VLOOKUP(LOG_RESEAU[[#This Row],[Cell_ID]],Registre_Maintenance!A:D,4,FALSE),"Non trouvé")</f>
        <v>15.986086</v>
      </c>
      <c r="H1568" s="6" t="str">
        <f>IFERROR(VLOOKUP(LOG_RESEAU[[#This Row],[Cell_ID]],Registre_Maintenance!A:E,5,FALSE),"Non trouvé")</f>
        <v>4G</v>
      </c>
      <c r="I1568" s="6" t="str">
        <f>IFERROR(VLOOKUP(LOG_RESEAU[[#This Row],[Cell_ID]],Registre_Maintenance!A:F,6,FALSE),"Non trouvé")</f>
        <v>Ericsson</v>
      </c>
      <c r="J1568" s="6" t="str">
        <f t="shared" si="72"/>
        <v>OK</v>
      </c>
      <c r="K1568" s="6">
        <f t="shared" si="73"/>
        <v>4</v>
      </c>
      <c r="L1568" s="6">
        <f t="shared" si="74"/>
        <v>352</v>
      </c>
    </row>
    <row r="1569" spans="1:12" ht="15.75" x14ac:dyDescent="0.25">
      <c r="A1569" s="6" t="s">
        <v>1131</v>
      </c>
      <c r="B1569" s="7">
        <v>45227.587500000001</v>
      </c>
      <c r="C1569" s="6">
        <v>50</v>
      </c>
      <c r="D1569" s="6" t="s">
        <v>800</v>
      </c>
      <c r="E1569" s="8" t="str">
        <f>IFERROR(VLOOKUP(LOG_RESEAU[[#This Row],[Cell_ID]],Registre_Maintenance!A:B,2,FALSE),"Non trouvé")</f>
        <v>Nord-Ubangi</v>
      </c>
      <c r="F1569" s="8">
        <f>IFERROR(VLOOKUP(LOG_RESEAU[[#This Row],[Cell_ID]],Registre_Maintenance!A:C,3,FALSE),"Non trouvé")</f>
        <v>-1.342476</v>
      </c>
      <c r="G1569" s="8">
        <f>IFERROR(VLOOKUP(LOG_RESEAU[[#This Row],[Cell_ID]],Registre_Maintenance!A:D,4,FALSE),"Non trouvé")</f>
        <v>15.986086</v>
      </c>
      <c r="H1569" s="6" t="str">
        <f>IFERROR(VLOOKUP(LOG_RESEAU[[#This Row],[Cell_ID]],Registre_Maintenance!A:E,5,FALSE),"Non trouvé")</f>
        <v>4G</v>
      </c>
      <c r="I1569" s="6" t="str">
        <f>IFERROR(VLOOKUP(LOG_RESEAU[[#This Row],[Cell_ID]],Registre_Maintenance!A:F,6,FALSE),"Non trouvé")</f>
        <v>Ericsson</v>
      </c>
      <c r="J1569" s="6" t="str">
        <f t="shared" si="72"/>
        <v>OK</v>
      </c>
      <c r="K1569" s="6">
        <f t="shared" si="73"/>
        <v>4</v>
      </c>
      <c r="L1569" s="6">
        <f t="shared" si="74"/>
        <v>352</v>
      </c>
    </row>
    <row r="1570" spans="1:12" ht="15.75" x14ac:dyDescent="0.25">
      <c r="A1570" s="6" t="s">
        <v>1131</v>
      </c>
      <c r="B1570" s="7">
        <v>45229.722916666673</v>
      </c>
      <c r="C1570" s="6">
        <v>76</v>
      </c>
      <c r="D1570" s="6" t="s">
        <v>800</v>
      </c>
      <c r="E1570" s="8" t="str">
        <f>IFERROR(VLOOKUP(LOG_RESEAU[[#This Row],[Cell_ID]],Registre_Maintenance!A:B,2,FALSE),"Non trouvé")</f>
        <v>Nord-Ubangi</v>
      </c>
      <c r="F1570" s="8">
        <f>IFERROR(VLOOKUP(LOG_RESEAU[[#This Row],[Cell_ID]],Registre_Maintenance!A:C,3,FALSE),"Non trouvé")</f>
        <v>-1.342476</v>
      </c>
      <c r="G1570" s="8">
        <f>IFERROR(VLOOKUP(LOG_RESEAU[[#This Row],[Cell_ID]],Registre_Maintenance!A:D,4,FALSE),"Non trouvé")</f>
        <v>15.986086</v>
      </c>
      <c r="H1570" s="6" t="str">
        <f>IFERROR(VLOOKUP(LOG_RESEAU[[#This Row],[Cell_ID]],Registre_Maintenance!A:E,5,FALSE),"Non trouvé")</f>
        <v>4G</v>
      </c>
      <c r="I1570" s="6" t="str">
        <f>IFERROR(VLOOKUP(LOG_RESEAU[[#This Row],[Cell_ID]],Registre_Maintenance!A:F,6,FALSE),"Non trouvé")</f>
        <v>Ericsson</v>
      </c>
      <c r="J1570" s="6" t="str">
        <f t="shared" si="72"/>
        <v>OK</v>
      </c>
      <c r="K1570" s="6">
        <f t="shared" si="73"/>
        <v>4</v>
      </c>
      <c r="L1570" s="6">
        <f t="shared" si="74"/>
        <v>352</v>
      </c>
    </row>
    <row r="1571" spans="1:12" ht="15.75" x14ac:dyDescent="0.25">
      <c r="A1571" s="6" t="s">
        <v>1131</v>
      </c>
      <c r="B1571" s="7">
        <v>45214.018750000003</v>
      </c>
      <c r="C1571" s="6">
        <v>115</v>
      </c>
      <c r="D1571" s="6" t="s">
        <v>800</v>
      </c>
      <c r="E1571" s="8" t="str">
        <f>IFERROR(VLOOKUP(LOG_RESEAU[[#This Row],[Cell_ID]],Registre_Maintenance!A:B,2,FALSE),"Non trouvé")</f>
        <v>Nord-Ubangi</v>
      </c>
      <c r="F1571" s="8">
        <f>IFERROR(VLOOKUP(LOG_RESEAU[[#This Row],[Cell_ID]],Registre_Maintenance!A:C,3,FALSE),"Non trouvé")</f>
        <v>-1.342476</v>
      </c>
      <c r="G1571" s="8">
        <f>IFERROR(VLOOKUP(LOG_RESEAU[[#This Row],[Cell_ID]],Registre_Maintenance!A:D,4,FALSE),"Non trouvé")</f>
        <v>15.986086</v>
      </c>
      <c r="H1571" s="6" t="str">
        <f>IFERROR(VLOOKUP(LOG_RESEAU[[#This Row],[Cell_ID]],Registre_Maintenance!A:E,5,FALSE),"Non trouvé")</f>
        <v>4G</v>
      </c>
      <c r="I1571" s="6" t="str">
        <f>IFERROR(VLOOKUP(LOG_RESEAU[[#This Row],[Cell_ID]],Registre_Maintenance!A:F,6,FALSE),"Non trouvé")</f>
        <v>Ericsson</v>
      </c>
      <c r="J1571" s="6" t="str">
        <f t="shared" si="72"/>
        <v>OK</v>
      </c>
      <c r="K1571" s="6">
        <f t="shared" si="73"/>
        <v>4</v>
      </c>
      <c r="L1571" s="6">
        <f t="shared" si="74"/>
        <v>352</v>
      </c>
    </row>
    <row r="1572" spans="1:12" ht="15.75" x14ac:dyDescent="0.25">
      <c r="A1572" s="6" t="s">
        <v>1488</v>
      </c>
      <c r="B1572" s="7">
        <v>45227.297222222223</v>
      </c>
      <c r="C1572" s="6">
        <v>92</v>
      </c>
      <c r="D1572" s="6" t="s">
        <v>792</v>
      </c>
      <c r="E1572" s="8" t="str">
        <f>IFERROR(VLOOKUP(LOG_RESEAU[[#This Row],[Cell_ID]],Registre_Maintenance!A:B,2,FALSE),"Non trouvé")</f>
        <v>Haut-Lomami</v>
      </c>
      <c r="F1572" s="8">
        <f>IFERROR(VLOOKUP(LOG_RESEAU[[#This Row],[Cell_ID]],Registre_Maintenance!A:C,3,FALSE),"Non trouvé")</f>
        <v>-5.5559329999999996</v>
      </c>
      <c r="G1572" s="8">
        <f>IFERROR(VLOOKUP(LOG_RESEAU[[#This Row],[Cell_ID]],Registre_Maintenance!A:D,4,FALSE),"Non trouvé")</f>
        <v>13.508692999999999</v>
      </c>
      <c r="H1572" s="6" t="str">
        <f>IFERROR(VLOOKUP(LOG_RESEAU[[#This Row],[Cell_ID]],Registre_Maintenance!A:E,5,FALSE),"Non trouvé")</f>
        <v>3G</v>
      </c>
      <c r="I1572" s="6" t="str">
        <f>IFERROR(VLOOKUP(LOG_RESEAU[[#This Row],[Cell_ID]],Registre_Maintenance!A:F,6,FALSE),"Non trouvé")</f>
        <v>Nokia</v>
      </c>
      <c r="J1572" s="6" t="str">
        <f t="shared" si="72"/>
        <v>OK</v>
      </c>
      <c r="K1572" s="6">
        <f t="shared" si="73"/>
        <v>1</v>
      </c>
      <c r="L1572" s="6">
        <f t="shared" si="74"/>
        <v>92</v>
      </c>
    </row>
    <row r="1573" spans="1:12" ht="15.75" x14ac:dyDescent="0.25">
      <c r="A1573" s="6" t="s">
        <v>1325</v>
      </c>
      <c r="B1573" s="7">
        <v>45224.831944444442</v>
      </c>
      <c r="C1573" s="6">
        <v>100</v>
      </c>
      <c r="D1573" s="6" t="s">
        <v>794</v>
      </c>
      <c r="E1573" s="8" t="str">
        <f>IFERROR(VLOOKUP(LOG_RESEAU[[#This Row],[Cell_ID]],Registre_Maintenance!A:B,2,FALSE),"Non trouvé")</f>
        <v>Non trouvé</v>
      </c>
      <c r="F1573" s="8" t="str">
        <f>IFERROR(VLOOKUP(LOG_RESEAU[[#This Row],[Cell_ID]],Registre_Maintenance!A:C,3,FALSE),"Non trouvé")</f>
        <v>Non trouvé</v>
      </c>
      <c r="G1573" s="8" t="str">
        <f>IFERROR(VLOOKUP(LOG_RESEAU[[#This Row],[Cell_ID]],Registre_Maintenance!A:D,4,FALSE),"Non trouvé")</f>
        <v>Non trouvé</v>
      </c>
      <c r="H1573" s="6" t="str">
        <f>IFERROR(VLOOKUP(LOG_RESEAU[[#This Row],[Cell_ID]],Registre_Maintenance!A:E,5,FALSE),"Non trouvé")</f>
        <v>Non trouvé</v>
      </c>
      <c r="I1573" s="6" t="str">
        <f>IFERROR(VLOOKUP(LOG_RESEAU[[#This Row],[Cell_ID]],Registre_Maintenance!A:F,6,FALSE),"Non trouvé")</f>
        <v>Non trouvé</v>
      </c>
      <c r="J1573" s="6" t="str">
        <f t="shared" si="72"/>
        <v>Antenne inconnue</v>
      </c>
      <c r="K1573" s="6">
        <f t="shared" si="73"/>
        <v>1</v>
      </c>
      <c r="L1573" s="6">
        <f t="shared" si="74"/>
        <v>100</v>
      </c>
    </row>
    <row r="1574" spans="1:12" ht="15.75" x14ac:dyDescent="0.25">
      <c r="A1574" s="6" t="s">
        <v>1327</v>
      </c>
      <c r="B1574" s="7">
        <v>45230.303472222222</v>
      </c>
      <c r="C1574" s="6">
        <v>83</v>
      </c>
      <c r="D1574" s="6" t="s">
        <v>792</v>
      </c>
      <c r="E1574" s="8" t="str">
        <f>IFERROR(VLOOKUP(LOG_RESEAU[[#This Row],[Cell_ID]],Registre_Maintenance!A:B,2,FALSE),"Non trouvé")</f>
        <v>Kongo-Central</v>
      </c>
      <c r="F1574" s="8">
        <f>IFERROR(VLOOKUP(LOG_RESEAU[[#This Row],[Cell_ID]],Registre_Maintenance!A:C,3,FALSE),"Non trouvé")</f>
        <v>-9.8208710000000004</v>
      </c>
      <c r="G1574" s="8">
        <f>IFERROR(VLOOKUP(LOG_RESEAU[[#This Row],[Cell_ID]],Registre_Maintenance!A:D,4,FALSE),"Non trouvé")</f>
        <v>23.229807000000001</v>
      </c>
      <c r="H1574" s="6" t="str">
        <f>IFERROR(VLOOKUP(LOG_RESEAU[[#This Row],[Cell_ID]],Registre_Maintenance!A:E,5,FALSE),"Non trouvé")</f>
        <v>5G</v>
      </c>
      <c r="I1574" s="6" t="str">
        <f>IFERROR(VLOOKUP(LOG_RESEAU[[#This Row],[Cell_ID]],Registre_Maintenance!A:F,6,FALSE),"Non trouvé")</f>
        <v>Nokia</v>
      </c>
      <c r="J1574" s="6" t="str">
        <f t="shared" si="72"/>
        <v>OK</v>
      </c>
      <c r="K1574" s="6">
        <f t="shared" si="73"/>
        <v>2</v>
      </c>
      <c r="L1574" s="6">
        <f t="shared" si="74"/>
        <v>136</v>
      </c>
    </row>
    <row r="1575" spans="1:12" ht="15.75" x14ac:dyDescent="0.25">
      <c r="A1575" s="6" t="s">
        <v>1327</v>
      </c>
      <c r="B1575" s="7">
        <v>45220.154861111107</v>
      </c>
      <c r="C1575" s="6">
        <v>53</v>
      </c>
      <c r="D1575" s="6" t="s">
        <v>794</v>
      </c>
      <c r="E1575" s="8" t="str">
        <f>IFERROR(VLOOKUP(LOG_RESEAU[[#This Row],[Cell_ID]],Registre_Maintenance!A:B,2,FALSE),"Non trouvé")</f>
        <v>Kongo-Central</v>
      </c>
      <c r="F1575" s="8">
        <f>IFERROR(VLOOKUP(LOG_RESEAU[[#This Row],[Cell_ID]],Registre_Maintenance!A:C,3,FALSE),"Non trouvé")</f>
        <v>-9.8208710000000004</v>
      </c>
      <c r="G1575" s="8">
        <f>IFERROR(VLOOKUP(LOG_RESEAU[[#This Row],[Cell_ID]],Registre_Maintenance!A:D,4,FALSE),"Non trouvé")</f>
        <v>23.229807000000001</v>
      </c>
      <c r="H1575" s="6" t="str">
        <f>IFERROR(VLOOKUP(LOG_RESEAU[[#This Row],[Cell_ID]],Registre_Maintenance!A:E,5,FALSE),"Non trouvé")</f>
        <v>5G</v>
      </c>
      <c r="I1575" s="6" t="str">
        <f>IFERROR(VLOOKUP(LOG_RESEAU[[#This Row],[Cell_ID]],Registre_Maintenance!A:F,6,FALSE),"Non trouvé")</f>
        <v>Nokia</v>
      </c>
      <c r="J1575" s="6" t="str">
        <f t="shared" si="72"/>
        <v>OK</v>
      </c>
      <c r="K1575" s="6">
        <f t="shared" si="73"/>
        <v>2</v>
      </c>
      <c r="L1575" s="6">
        <f t="shared" si="74"/>
        <v>136</v>
      </c>
    </row>
    <row r="1576" spans="1:12" ht="15.75" x14ac:dyDescent="0.25">
      <c r="A1576" s="6" t="s">
        <v>1322</v>
      </c>
      <c r="B1576" s="7">
        <v>45226.885416666657</v>
      </c>
      <c r="C1576" s="6">
        <v>96</v>
      </c>
      <c r="D1576" s="6" t="s">
        <v>792</v>
      </c>
      <c r="E1576" s="8" t="str">
        <f>IFERROR(VLOOKUP(LOG_RESEAU[[#This Row],[Cell_ID]],Registre_Maintenance!A:B,2,FALSE),"Non trouvé")</f>
        <v>Non trouvé</v>
      </c>
      <c r="F1576" s="8" t="str">
        <f>IFERROR(VLOOKUP(LOG_RESEAU[[#This Row],[Cell_ID]],Registre_Maintenance!A:C,3,FALSE),"Non trouvé")</f>
        <v>Non trouvé</v>
      </c>
      <c r="G1576" s="8" t="str">
        <f>IFERROR(VLOOKUP(LOG_RESEAU[[#This Row],[Cell_ID]],Registre_Maintenance!A:D,4,FALSE),"Non trouvé")</f>
        <v>Non trouvé</v>
      </c>
      <c r="H1576" s="6" t="str">
        <f>IFERROR(VLOOKUP(LOG_RESEAU[[#This Row],[Cell_ID]],Registre_Maintenance!A:E,5,FALSE),"Non trouvé")</f>
        <v>Non trouvé</v>
      </c>
      <c r="I1576" s="6" t="str">
        <f>IFERROR(VLOOKUP(LOG_RESEAU[[#This Row],[Cell_ID]],Registre_Maintenance!A:F,6,FALSE),"Non trouvé")</f>
        <v>Non trouvé</v>
      </c>
      <c r="J1576" s="6" t="str">
        <f t="shared" si="72"/>
        <v>Antenne inconnue</v>
      </c>
      <c r="K1576" s="6">
        <f t="shared" si="73"/>
        <v>1</v>
      </c>
      <c r="L1576" s="6">
        <f t="shared" si="74"/>
        <v>96</v>
      </c>
    </row>
    <row r="1577" spans="1:12" ht="15.75" x14ac:dyDescent="0.25">
      <c r="A1577" s="6" t="s">
        <v>1332</v>
      </c>
      <c r="B1577" s="7">
        <v>45202.529166666667</v>
      </c>
      <c r="C1577" s="6">
        <v>109</v>
      </c>
      <c r="D1577" s="6" t="s">
        <v>800</v>
      </c>
      <c r="E1577" s="8" t="str">
        <f>IFERROR(VLOOKUP(LOG_RESEAU[[#This Row],[Cell_ID]],Registre_Maintenance!A:B,2,FALSE),"Non trouvé")</f>
        <v>Haut-Uele</v>
      </c>
      <c r="F1577" s="8">
        <f>IFERROR(VLOOKUP(LOG_RESEAU[[#This Row],[Cell_ID]],Registre_Maintenance!A:C,3,FALSE),"Non trouvé")</f>
        <v>-7.1483749999999997</v>
      </c>
      <c r="G1577" s="8">
        <f>IFERROR(VLOOKUP(LOG_RESEAU[[#This Row],[Cell_ID]],Registre_Maintenance!A:D,4,FALSE),"Non trouvé")</f>
        <v>26.014271000000001</v>
      </c>
      <c r="H1577" s="6" t="str">
        <f>IFERROR(VLOOKUP(LOG_RESEAU[[#This Row],[Cell_ID]],Registre_Maintenance!A:E,5,FALSE),"Non trouvé")</f>
        <v>5G</v>
      </c>
      <c r="I1577" s="6" t="str">
        <f>IFERROR(VLOOKUP(LOG_RESEAU[[#This Row],[Cell_ID]],Registre_Maintenance!A:F,6,FALSE),"Non trouvé")</f>
        <v>Huawei</v>
      </c>
      <c r="J1577" s="6" t="str">
        <f t="shared" si="72"/>
        <v>OK</v>
      </c>
      <c r="K1577" s="6">
        <f t="shared" si="73"/>
        <v>3</v>
      </c>
      <c r="L1577" s="6">
        <f t="shared" si="74"/>
        <v>291</v>
      </c>
    </row>
    <row r="1578" spans="1:12" ht="15.75" x14ac:dyDescent="0.25">
      <c r="A1578" s="6" t="s">
        <v>1332</v>
      </c>
      <c r="B1578" s="7">
        <v>45219.527083333327</v>
      </c>
      <c r="C1578" s="6">
        <v>95</v>
      </c>
      <c r="D1578" s="6" t="s">
        <v>794</v>
      </c>
      <c r="E1578" s="8" t="str">
        <f>IFERROR(VLOOKUP(LOG_RESEAU[[#This Row],[Cell_ID]],Registre_Maintenance!A:B,2,FALSE),"Non trouvé")</f>
        <v>Haut-Uele</v>
      </c>
      <c r="F1578" s="8">
        <f>IFERROR(VLOOKUP(LOG_RESEAU[[#This Row],[Cell_ID]],Registre_Maintenance!A:C,3,FALSE),"Non trouvé")</f>
        <v>-7.1483749999999997</v>
      </c>
      <c r="G1578" s="8">
        <f>IFERROR(VLOOKUP(LOG_RESEAU[[#This Row],[Cell_ID]],Registre_Maintenance!A:D,4,FALSE),"Non trouvé")</f>
        <v>26.014271000000001</v>
      </c>
      <c r="H1578" s="6" t="str">
        <f>IFERROR(VLOOKUP(LOG_RESEAU[[#This Row],[Cell_ID]],Registre_Maintenance!A:E,5,FALSE),"Non trouvé")</f>
        <v>5G</v>
      </c>
      <c r="I1578" s="6" t="str">
        <f>IFERROR(VLOOKUP(LOG_RESEAU[[#This Row],[Cell_ID]],Registre_Maintenance!A:F,6,FALSE),"Non trouvé")</f>
        <v>Huawei</v>
      </c>
      <c r="J1578" s="6" t="str">
        <f t="shared" si="72"/>
        <v>OK</v>
      </c>
      <c r="K1578" s="6">
        <f t="shared" si="73"/>
        <v>3</v>
      </c>
      <c r="L1578" s="6">
        <f t="shared" si="74"/>
        <v>291</v>
      </c>
    </row>
    <row r="1579" spans="1:12" ht="15.75" x14ac:dyDescent="0.25">
      <c r="A1579" s="6" t="s">
        <v>1332</v>
      </c>
      <c r="B1579" s="7">
        <v>45211.888888888891</v>
      </c>
      <c r="C1579" s="6">
        <v>87</v>
      </c>
      <c r="D1579" s="6" t="s">
        <v>800</v>
      </c>
      <c r="E1579" s="8" t="str">
        <f>IFERROR(VLOOKUP(LOG_RESEAU[[#This Row],[Cell_ID]],Registre_Maintenance!A:B,2,FALSE),"Non trouvé")</f>
        <v>Haut-Uele</v>
      </c>
      <c r="F1579" s="8">
        <f>IFERROR(VLOOKUP(LOG_RESEAU[[#This Row],[Cell_ID]],Registre_Maintenance!A:C,3,FALSE),"Non trouvé")</f>
        <v>-7.1483749999999997</v>
      </c>
      <c r="G1579" s="8">
        <f>IFERROR(VLOOKUP(LOG_RESEAU[[#This Row],[Cell_ID]],Registre_Maintenance!A:D,4,FALSE),"Non trouvé")</f>
        <v>26.014271000000001</v>
      </c>
      <c r="H1579" s="6" t="str">
        <f>IFERROR(VLOOKUP(LOG_RESEAU[[#This Row],[Cell_ID]],Registre_Maintenance!A:E,5,FALSE),"Non trouvé")</f>
        <v>5G</v>
      </c>
      <c r="I1579" s="6" t="str">
        <f>IFERROR(VLOOKUP(LOG_RESEAU[[#This Row],[Cell_ID]],Registre_Maintenance!A:F,6,FALSE),"Non trouvé")</f>
        <v>Huawei</v>
      </c>
      <c r="J1579" s="6" t="str">
        <f t="shared" si="72"/>
        <v>OK</v>
      </c>
      <c r="K1579" s="6">
        <f t="shared" si="73"/>
        <v>3</v>
      </c>
      <c r="L1579" s="6">
        <f t="shared" si="74"/>
        <v>291</v>
      </c>
    </row>
    <row r="1580" spans="1:12" ht="15.75" x14ac:dyDescent="0.25">
      <c r="A1580" s="6" t="s">
        <v>1515</v>
      </c>
      <c r="B1580" s="7">
        <v>45226.997916666667</v>
      </c>
      <c r="C1580" s="6">
        <v>53</v>
      </c>
      <c r="D1580" s="6" t="s">
        <v>792</v>
      </c>
      <c r="E1580" s="8" t="str">
        <f>IFERROR(VLOOKUP(LOG_RESEAU[[#This Row],[Cell_ID]],Registre_Maintenance!A:B,2,FALSE),"Non trouvé")</f>
        <v>Nord-Ubangi</v>
      </c>
      <c r="F1580" s="8">
        <f>IFERROR(VLOOKUP(LOG_RESEAU[[#This Row],[Cell_ID]],Registre_Maintenance!A:C,3,FALSE),"Non trouvé")</f>
        <v>-7.8373179999999998</v>
      </c>
      <c r="G1580" s="8">
        <f>IFERROR(VLOOKUP(LOG_RESEAU[[#This Row],[Cell_ID]],Registre_Maintenance!A:D,4,FALSE),"Non trouvé")</f>
        <v>20.527591999999999</v>
      </c>
      <c r="H1580" s="6" t="str">
        <f>IFERROR(VLOOKUP(LOG_RESEAU[[#This Row],[Cell_ID]],Registre_Maintenance!A:E,5,FALSE),"Non trouvé")</f>
        <v>4G</v>
      </c>
      <c r="I1580" s="6" t="str">
        <f>IFERROR(VLOOKUP(LOG_RESEAU[[#This Row],[Cell_ID]],Registre_Maintenance!A:F,6,FALSE),"Non trouvé")</f>
        <v>Ericsson</v>
      </c>
      <c r="J1580" s="6" t="str">
        <f t="shared" si="72"/>
        <v>OK</v>
      </c>
      <c r="K1580" s="6">
        <f t="shared" si="73"/>
        <v>1</v>
      </c>
      <c r="L1580" s="6">
        <f t="shared" si="74"/>
        <v>53</v>
      </c>
    </row>
    <row r="1581" spans="1:12" ht="15.75" x14ac:dyDescent="0.25">
      <c r="A1581" s="6" t="s">
        <v>1491</v>
      </c>
      <c r="B1581" s="7">
        <v>45214.081944444442</v>
      </c>
      <c r="C1581" s="6">
        <v>87</v>
      </c>
      <c r="D1581" s="6" t="s">
        <v>800</v>
      </c>
      <c r="E1581" s="8" t="str">
        <f>IFERROR(VLOOKUP(LOG_RESEAU[[#This Row],[Cell_ID]],Registre_Maintenance!A:B,2,FALSE),"Non trouvé")</f>
        <v>Non trouvé</v>
      </c>
      <c r="F1581" s="8" t="str">
        <f>IFERROR(VLOOKUP(LOG_RESEAU[[#This Row],[Cell_ID]],Registre_Maintenance!A:C,3,FALSE),"Non trouvé")</f>
        <v>Non trouvé</v>
      </c>
      <c r="G1581" s="8" t="str">
        <f>IFERROR(VLOOKUP(LOG_RESEAU[[#This Row],[Cell_ID]],Registre_Maintenance!A:D,4,FALSE),"Non trouvé")</f>
        <v>Non trouvé</v>
      </c>
      <c r="H1581" s="6" t="str">
        <f>IFERROR(VLOOKUP(LOG_RESEAU[[#This Row],[Cell_ID]],Registre_Maintenance!A:E,5,FALSE),"Non trouvé")</f>
        <v>Non trouvé</v>
      </c>
      <c r="I1581" s="6" t="str">
        <f>IFERROR(VLOOKUP(LOG_RESEAU[[#This Row],[Cell_ID]],Registre_Maintenance!A:F,6,FALSE),"Non trouvé")</f>
        <v>Non trouvé</v>
      </c>
      <c r="J1581" s="6" t="str">
        <f t="shared" si="72"/>
        <v>Antenne inconnue</v>
      </c>
      <c r="K1581" s="6">
        <f t="shared" si="73"/>
        <v>2</v>
      </c>
      <c r="L1581" s="6">
        <f t="shared" si="74"/>
        <v>115</v>
      </c>
    </row>
    <row r="1582" spans="1:12" ht="15.75" x14ac:dyDescent="0.25">
      <c r="A1582" s="6" t="s">
        <v>1491</v>
      </c>
      <c r="B1582" s="7">
        <v>45207.199305555558</v>
      </c>
      <c r="C1582" s="6">
        <v>28</v>
      </c>
      <c r="D1582" s="6" t="s">
        <v>800</v>
      </c>
      <c r="E1582" s="8" t="str">
        <f>IFERROR(VLOOKUP(LOG_RESEAU[[#This Row],[Cell_ID]],Registre_Maintenance!A:B,2,FALSE),"Non trouvé")</f>
        <v>Non trouvé</v>
      </c>
      <c r="F1582" s="8" t="str">
        <f>IFERROR(VLOOKUP(LOG_RESEAU[[#This Row],[Cell_ID]],Registre_Maintenance!A:C,3,FALSE),"Non trouvé")</f>
        <v>Non trouvé</v>
      </c>
      <c r="G1582" s="8" t="str">
        <f>IFERROR(VLOOKUP(LOG_RESEAU[[#This Row],[Cell_ID]],Registre_Maintenance!A:D,4,FALSE),"Non trouvé")</f>
        <v>Non trouvé</v>
      </c>
      <c r="H1582" s="6" t="str">
        <f>IFERROR(VLOOKUP(LOG_RESEAU[[#This Row],[Cell_ID]],Registre_Maintenance!A:E,5,FALSE),"Non trouvé")</f>
        <v>Non trouvé</v>
      </c>
      <c r="I1582" s="6" t="str">
        <f>IFERROR(VLOOKUP(LOG_RESEAU[[#This Row],[Cell_ID]],Registre_Maintenance!A:F,6,FALSE),"Non trouvé")</f>
        <v>Non trouvé</v>
      </c>
      <c r="J1582" s="6" t="str">
        <f t="shared" si="72"/>
        <v>Antenne inconnue</v>
      </c>
      <c r="K1582" s="6">
        <f t="shared" si="73"/>
        <v>2</v>
      </c>
      <c r="L1582" s="6">
        <f t="shared" si="74"/>
        <v>115</v>
      </c>
    </row>
    <row r="1583" spans="1:12" ht="15.75" x14ac:dyDescent="0.25">
      <c r="A1583" s="6" t="s">
        <v>1159</v>
      </c>
      <c r="B1583" s="7">
        <v>45219.801388888889</v>
      </c>
      <c r="C1583" s="6">
        <v>65</v>
      </c>
      <c r="D1583" s="6" t="s">
        <v>800</v>
      </c>
      <c r="E1583" s="8" t="str">
        <f>IFERROR(VLOOKUP(LOG_RESEAU[[#This Row],[Cell_ID]],Registre_Maintenance!A:B,2,FALSE),"Non trouvé")</f>
        <v>Tshuapa</v>
      </c>
      <c r="F1583" s="8">
        <f>IFERROR(VLOOKUP(LOG_RESEAU[[#This Row],[Cell_ID]],Registre_Maintenance!A:C,3,FALSE),"Non trouvé")</f>
        <v>0.52897499999999997</v>
      </c>
      <c r="G1583" s="8">
        <f>IFERROR(VLOOKUP(LOG_RESEAU[[#This Row],[Cell_ID]],Registre_Maintenance!A:D,4,FALSE),"Non trouvé")</f>
        <v>13.849651</v>
      </c>
      <c r="H1583" s="6" t="str">
        <f>IFERROR(VLOOKUP(LOG_RESEAU[[#This Row],[Cell_ID]],Registre_Maintenance!A:E,5,FALSE),"Non trouvé")</f>
        <v>3G</v>
      </c>
      <c r="I1583" s="6" t="str">
        <f>IFERROR(VLOOKUP(LOG_RESEAU[[#This Row],[Cell_ID]],Registre_Maintenance!A:F,6,FALSE),"Non trouvé")</f>
        <v>ZTE</v>
      </c>
      <c r="J1583" s="6" t="str">
        <f t="shared" si="72"/>
        <v>OK</v>
      </c>
      <c r="K1583" s="6">
        <f t="shared" si="73"/>
        <v>1</v>
      </c>
      <c r="L1583" s="6">
        <f t="shared" si="74"/>
        <v>65</v>
      </c>
    </row>
    <row r="1584" spans="1:12" ht="15.75" x14ac:dyDescent="0.25">
      <c r="A1584" s="6" t="s">
        <v>1414</v>
      </c>
      <c r="B1584" s="7">
        <v>45227.118055555547</v>
      </c>
      <c r="C1584" s="6">
        <v>61</v>
      </c>
      <c r="D1584" s="6" t="s">
        <v>800</v>
      </c>
      <c r="E1584" s="8" t="str">
        <f>IFERROR(VLOOKUP(LOG_RESEAU[[#This Row],[Cell_ID]],Registre_Maintenance!A:B,2,FALSE),"Non trouvé")</f>
        <v>Non trouvé</v>
      </c>
      <c r="F1584" s="8" t="str">
        <f>IFERROR(VLOOKUP(LOG_RESEAU[[#This Row],[Cell_ID]],Registre_Maintenance!A:C,3,FALSE),"Non trouvé")</f>
        <v>Non trouvé</v>
      </c>
      <c r="G1584" s="8" t="str">
        <f>IFERROR(VLOOKUP(LOG_RESEAU[[#This Row],[Cell_ID]],Registre_Maintenance!A:D,4,FALSE),"Non trouvé")</f>
        <v>Non trouvé</v>
      </c>
      <c r="H1584" s="6" t="str">
        <f>IFERROR(VLOOKUP(LOG_RESEAU[[#This Row],[Cell_ID]],Registre_Maintenance!A:E,5,FALSE),"Non trouvé")</f>
        <v>Non trouvé</v>
      </c>
      <c r="I1584" s="6" t="str">
        <f>IFERROR(VLOOKUP(LOG_RESEAU[[#This Row],[Cell_ID]],Registre_Maintenance!A:F,6,FALSE),"Non trouvé")</f>
        <v>Non trouvé</v>
      </c>
      <c r="J1584" s="6" t="str">
        <f t="shared" si="72"/>
        <v>Antenne inconnue</v>
      </c>
      <c r="K1584" s="6">
        <f t="shared" si="73"/>
        <v>1</v>
      </c>
      <c r="L1584" s="6">
        <f t="shared" si="74"/>
        <v>61</v>
      </c>
    </row>
    <row r="1585" spans="1:12" ht="15.75" x14ac:dyDescent="0.25">
      <c r="A1585" s="6" t="s">
        <v>1351</v>
      </c>
      <c r="B1585" s="7">
        <v>45225.406944444447</v>
      </c>
      <c r="C1585" s="6">
        <v>74</v>
      </c>
      <c r="D1585" s="6" t="s">
        <v>794</v>
      </c>
      <c r="E1585" s="8" t="str">
        <f>IFERROR(VLOOKUP(LOG_RESEAU[[#This Row],[Cell_ID]],Registre_Maintenance!A:B,2,FALSE),"Non trouvé")</f>
        <v>Kwango</v>
      </c>
      <c r="F1585" s="8">
        <f>IFERROR(VLOOKUP(LOG_RESEAU[[#This Row],[Cell_ID]],Registre_Maintenance!A:C,3,FALSE),"Non trouvé")</f>
        <v>-4.6957509999999996</v>
      </c>
      <c r="G1585" s="8">
        <f>IFERROR(VLOOKUP(LOG_RESEAU[[#This Row],[Cell_ID]],Registre_Maintenance!A:D,4,FALSE),"Non trouvé")</f>
        <v>14.233525999999999</v>
      </c>
      <c r="H1585" s="6" t="str">
        <f>IFERROR(VLOOKUP(LOG_RESEAU[[#This Row],[Cell_ID]],Registre_Maintenance!A:E,5,FALSE),"Non trouvé")</f>
        <v>4G</v>
      </c>
      <c r="I1585" s="6" t="str">
        <f>IFERROR(VLOOKUP(LOG_RESEAU[[#This Row],[Cell_ID]],Registre_Maintenance!A:F,6,FALSE),"Non trouvé")</f>
        <v>Nokia</v>
      </c>
      <c r="J1585" s="6" t="str">
        <f t="shared" si="72"/>
        <v>OK</v>
      </c>
      <c r="K1585" s="6">
        <f t="shared" si="73"/>
        <v>1</v>
      </c>
      <c r="L1585" s="6">
        <f t="shared" si="74"/>
        <v>74</v>
      </c>
    </row>
    <row r="1586" spans="1:12" ht="15.75" x14ac:dyDescent="0.25">
      <c r="A1586" s="6" t="s">
        <v>1502</v>
      </c>
      <c r="B1586" s="7">
        <v>45224.229861111111</v>
      </c>
      <c r="C1586" s="6">
        <v>20</v>
      </c>
      <c r="D1586" s="6" t="s">
        <v>794</v>
      </c>
      <c r="E1586" s="8" t="str">
        <f>IFERROR(VLOOKUP(LOG_RESEAU[[#This Row],[Cell_ID]],Registre_Maintenance!A:B,2,FALSE),"Non trouvé")</f>
        <v>Nord-Kivu</v>
      </c>
      <c r="F1586" s="8">
        <f>IFERROR(VLOOKUP(LOG_RESEAU[[#This Row],[Cell_ID]],Registre_Maintenance!A:C,3,FALSE),"Non trouvé")</f>
        <v>-10.298385</v>
      </c>
      <c r="G1586" s="8">
        <f>IFERROR(VLOOKUP(LOG_RESEAU[[#This Row],[Cell_ID]],Registre_Maintenance!A:D,4,FALSE),"Non trouvé")</f>
        <v>29.698117</v>
      </c>
      <c r="H1586" s="6" t="str">
        <f>IFERROR(VLOOKUP(LOG_RESEAU[[#This Row],[Cell_ID]],Registre_Maintenance!A:E,5,FALSE),"Non trouvé")</f>
        <v>5G</v>
      </c>
      <c r="I1586" s="6" t="str">
        <f>IFERROR(VLOOKUP(LOG_RESEAU[[#This Row],[Cell_ID]],Registre_Maintenance!A:F,6,FALSE),"Non trouvé")</f>
        <v>Nokia</v>
      </c>
      <c r="J1586" s="6" t="str">
        <f t="shared" si="72"/>
        <v>OK</v>
      </c>
      <c r="K1586" s="6">
        <f t="shared" si="73"/>
        <v>2</v>
      </c>
      <c r="L1586" s="6">
        <f t="shared" si="74"/>
        <v>72</v>
      </c>
    </row>
    <row r="1587" spans="1:12" ht="15.75" x14ac:dyDescent="0.25">
      <c r="A1587" s="6" t="s">
        <v>1502</v>
      </c>
      <c r="B1587" s="7">
        <v>45213.907638888893</v>
      </c>
      <c r="C1587" s="6">
        <v>52</v>
      </c>
      <c r="D1587" s="6" t="s">
        <v>794</v>
      </c>
      <c r="E1587" s="8" t="str">
        <f>IFERROR(VLOOKUP(LOG_RESEAU[[#This Row],[Cell_ID]],Registre_Maintenance!A:B,2,FALSE),"Non trouvé")</f>
        <v>Nord-Kivu</v>
      </c>
      <c r="F1587" s="8">
        <f>IFERROR(VLOOKUP(LOG_RESEAU[[#This Row],[Cell_ID]],Registre_Maintenance!A:C,3,FALSE),"Non trouvé")</f>
        <v>-10.298385</v>
      </c>
      <c r="G1587" s="8">
        <f>IFERROR(VLOOKUP(LOG_RESEAU[[#This Row],[Cell_ID]],Registre_Maintenance!A:D,4,FALSE),"Non trouvé")</f>
        <v>29.698117</v>
      </c>
      <c r="H1587" s="6" t="str">
        <f>IFERROR(VLOOKUP(LOG_RESEAU[[#This Row],[Cell_ID]],Registre_Maintenance!A:E,5,FALSE),"Non trouvé")</f>
        <v>5G</v>
      </c>
      <c r="I1587" s="6" t="str">
        <f>IFERROR(VLOOKUP(LOG_RESEAU[[#This Row],[Cell_ID]],Registre_Maintenance!A:F,6,FALSE),"Non trouvé")</f>
        <v>Nokia</v>
      </c>
      <c r="J1587" s="6" t="str">
        <f t="shared" si="72"/>
        <v>OK</v>
      </c>
      <c r="K1587" s="6">
        <f t="shared" si="73"/>
        <v>2</v>
      </c>
      <c r="L1587" s="6">
        <f t="shared" si="74"/>
        <v>72</v>
      </c>
    </row>
    <row r="1588" spans="1:12" ht="15.75" x14ac:dyDescent="0.25">
      <c r="A1588" s="6" t="s">
        <v>1446</v>
      </c>
      <c r="B1588" s="7">
        <v>45207.668055555558</v>
      </c>
      <c r="C1588" s="6">
        <v>113</v>
      </c>
      <c r="D1588" s="6" t="s">
        <v>794</v>
      </c>
      <c r="E1588" s="8" t="str">
        <f>IFERROR(VLOOKUP(LOG_RESEAU[[#This Row],[Cell_ID]],Registre_Maintenance!A:B,2,FALSE),"Non trouvé")</f>
        <v>Kongo-Central</v>
      </c>
      <c r="F1588" s="8">
        <f>IFERROR(VLOOKUP(LOG_RESEAU[[#This Row],[Cell_ID]],Registre_Maintenance!A:C,3,FALSE),"Non trouvé")</f>
        <v>-7.1587569999999996</v>
      </c>
      <c r="G1588" s="8">
        <f>IFERROR(VLOOKUP(LOG_RESEAU[[#This Row],[Cell_ID]],Registre_Maintenance!A:D,4,FALSE),"Non trouvé")</f>
        <v>18.975141000000001</v>
      </c>
      <c r="H1588" s="6" t="str">
        <f>IFERROR(VLOOKUP(LOG_RESEAU[[#This Row],[Cell_ID]],Registre_Maintenance!A:E,5,FALSE),"Non trouvé")</f>
        <v>5G</v>
      </c>
      <c r="I1588" s="6" t="str">
        <f>IFERROR(VLOOKUP(LOG_RESEAU[[#This Row],[Cell_ID]],Registre_Maintenance!A:F,6,FALSE),"Non trouvé")</f>
        <v>Ericsson</v>
      </c>
      <c r="J1588" s="6" t="str">
        <f t="shared" si="72"/>
        <v>OK</v>
      </c>
      <c r="K1588" s="6">
        <f t="shared" si="73"/>
        <v>3</v>
      </c>
      <c r="L1588" s="6">
        <f t="shared" si="74"/>
        <v>266</v>
      </c>
    </row>
    <row r="1589" spans="1:12" ht="15.75" x14ac:dyDescent="0.25">
      <c r="A1589" s="6" t="s">
        <v>1446</v>
      </c>
      <c r="B1589" s="7">
        <v>45207.074305555558</v>
      </c>
      <c r="C1589" s="6">
        <v>57</v>
      </c>
      <c r="D1589" s="6" t="s">
        <v>794</v>
      </c>
      <c r="E1589" s="8" t="str">
        <f>IFERROR(VLOOKUP(LOG_RESEAU[[#This Row],[Cell_ID]],Registre_Maintenance!A:B,2,FALSE),"Non trouvé")</f>
        <v>Kongo-Central</v>
      </c>
      <c r="F1589" s="8">
        <f>IFERROR(VLOOKUP(LOG_RESEAU[[#This Row],[Cell_ID]],Registre_Maintenance!A:C,3,FALSE),"Non trouvé")</f>
        <v>-7.1587569999999996</v>
      </c>
      <c r="G1589" s="8">
        <f>IFERROR(VLOOKUP(LOG_RESEAU[[#This Row],[Cell_ID]],Registre_Maintenance!A:D,4,FALSE),"Non trouvé")</f>
        <v>18.975141000000001</v>
      </c>
      <c r="H1589" s="6" t="str">
        <f>IFERROR(VLOOKUP(LOG_RESEAU[[#This Row],[Cell_ID]],Registre_Maintenance!A:E,5,FALSE),"Non trouvé")</f>
        <v>5G</v>
      </c>
      <c r="I1589" s="6" t="str">
        <f>IFERROR(VLOOKUP(LOG_RESEAU[[#This Row],[Cell_ID]],Registre_Maintenance!A:F,6,FALSE),"Non trouvé")</f>
        <v>Ericsson</v>
      </c>
      <c r="J1589" s="6" t="str">
        <f t="shared" si="72"/>
        <v>OK</v>
      </c>
      <c r="K1589" s="6">
        <f t="shared" si="73"/>
        <v>3</v>
      </c>
      <c r="L1589" s="6">
        <f t="shared" si="74"/>
        <v>266</v>
      </c>
    </row>
    <row r="1590" spans="1:12" ht="15.75" x14ac:dyDescent="0.25">
      <c r="A1590" s="6" t="s">
        <v>1446</v>
      </c>
      <c r="B1590" s="7">
        <v>45219.569444444453</v>
      </c>
      <c r="C1590" s="6">
        <v>96</v>
      </c>
      <c r="D1590" s="6" t="s">
        <v>794</v>
      </c>
      <c r="E1590" s="8" t="str">
        <f>IFERROR(VLOOKUP(LOG_RESEAU[[#This Row],[Cell_ID]],Registre_Maintenance!A:B,2,FALSE),"Non trouvé")</f>
        <v>Kongo-Central</v>
      </c>
      <c r="F1590" s="8">
        <f>IFERROR(VLOOKUP(LOG_RESEAU[[#This Row],[Cell_ID]],Registre_Maintenance!A:C,3,FALSE),"Non trouvé")</f>
        <v>-7.1587569999999996</v>
      </c>
      <c r="G1590" s="8">
        <f>IFERROR(VLOOKUP(LOG_RESEAU[[#This Row],[Cell_ID]],Registre_Maintenance!A:D,4,FALSE),"Non trouvé")</f>
        <v>18.975141000000001</v>
      </c>
      <c r="H1590" s="6" t="str">
        <f>IFERROR(VLOOKUP(LOG_RESEAU[[#This Row],[Cell_ID]],Registre_Maintenance!A:E,5,FALSE),"Non trouvé")</f>
        <v>5G</v>
      </c>
      <c r="I1590" s="6" t="str">
        <f>IFERROR(VLOOKUP(LOG_RESEAU[[#This Row],[Cell_ID]],Registre_Maintenance!A:F,6,FALSE),"Non trouvé")</f>
        <v>Ericsson</v>
      </c>
      <c r="J1590" s="6" t="str">
        <f t="shared" si="72"/>
        <v>OK</v>
      </c>
      <c r="K1590" s="6">
        <f t="shared" si="73"/>
        <v>3</v>
      </c>
      <c r="L1590" s="6">
        <f t="shared" si="74"/>
        <v>266</v>
      </c>
    </row>
    <row r="1591" spans="1:12" ht="15.75" x14ac:dyDescent="0.25">
      <c r="A1591" s="6" t="s">
        <v>1142</v>
      </c>
      <c r="B1591" s="7">
        <v>45203.950694444437</v>
      </c>
      <c r="C1591" s="6">
        <v>8</v>
      </c>
      <c r="D1591" s="6" t="s">
        <v>800</v>
      </c>
      <c r="E1591" s="8" t="str">
        <f>IFERROR(VLOOKUP(LOG_RESEAU[[#This Row],[Cell_ID]],Registre_Maintenance!A:B,2,FALSE),"Non trouvé")</f>
        <v>Tshuapa</v>
      </c>
      <c r="F1591" s="8">
        <f>IFERROR(VLOOKUP(LOG_RESEAU[[#This Row],[Cell_ID]],Registre_Maintenance!A:C,3,FALSE),"Non trouvé")</f>
        <v>-0.79406600000000005</v>
      </c>
      <c r="G1591" s="8">
        <f>IFERROR(VLOOKUP(LOG_RESEAU[[#This Row],[Cell_ID]],Registre_Maintenance!A:D,4,FALSE),"Non trouvé")</f>
        <v>12.534793000000001</v>
      </c>
      <c r="H1591" s="6" t="str">
        <f>IFERROR(VLOOKUP(LOG_RESEAU[[#This Row],[Cell_ID]],Registre_Maintenance!A:E,5,FALSE),"Non trouvé")</f>
        <v>3G</v>
      </c>
      <c r="I1591" s="6" t="str">
        <f>IFERROR(VLOOKUP(LOG_RESEAU[[#This Row],[Cell_ID]],Registre_Maintenance!A:F,6,FALSE),"Non trouvé")</f>
        <v>Huawei</v>
      </c>
      <c r="J1591" s="6" t="str">
        <f t="shared" si="72"/>
        <v>OK</v>
      </c>
      <c r="K1591" s="6">
        <f t="shared" si="73"/>
        <v>1</v>
      </c>
      <c r="L1591" s="6">
        <f t="shared" si="74"/>
        <v>8</v>
      </c>
    </row>
    <row r="1592" spans="1:12" ht="15.75" x14ac:dyDescent="0.25">
      <c r="A1592" s="6" t="s">
        <v>1466</v>
      </c>
      <c r="B1592" s="7">
        <v>45205.805555555547</v>
      </c>
      <c r="C1592" s="6">
        <v>110</v>
      </c>
      <c r="D1592" s="6" t="s">
        <v>794</v>
      </c>
      <c r="E1592" s="8" t="str">
        <f>IFERROR(VLOOKUP(LOG_RESEAU[[#This Row],[Cell_ID]],Registre_Maintenance!A:B,2,FALSE),"Non trouvé")</f>
        <v>Non trouvé</v>
      </c>
      <c r="F1592" s="8" t="str">
        <f>IFERROR(VLOOKUP(LOG_RESEAU[[#This Row],[Cell_ID]],Registre_Maintenance!A:C,3,FALSE),"Non trouvé")</f>
        <v>Non trouvé</v>
      </c>
      <c r="G1592" s="8" t="str">
        <f>IFERROR(VLOOKUP(LOG_RESEAU[[#This Row],[Cell_ID]],Registre_Maintenance!A:D,4,FALSE),"Non trouvé")</f>
        <v>Non trouvé</v>
      </c>
      <c r="H1592" s="6" t="str">
        <f>IFERROR(VLOOKUP(LOG_RESEAU[[#This Row],[Cell_ID]],Registre_Maintenance!A:E,5,FALSE),"Non trouvé")</f>
        <v>Non trouvé</v>
      </c>
      <c r="I1592" s="6" t="str">
        <f>IFERROR(VLOOKUP(LOG_RESEAU[[#This Row],[Cell_ID]],Registre_Maintenance!A:F,6,FALSE),"Non trouvé")</f>
        <v>Non trouvé</v>
      </c>
      <c r="J1592" s="6" t="str">
        <f t="shared" si="72"/>
        <v>Antenne inconnue</v>
      </c>
      <c r="K1592" s="6">
        <f t="shared" si="73"/>
        <v>1</v>
      </c>
      <c r="L1592" s="6">
        <f t="shared" si="74"/>
        <v>110</v>
      </c>
    </row>
    <row r="1593" spans="1:12" ht="15.75" x14ac:dyDescent="0.25">
      <c r="A1593" s="6" t="s">
        <v>1467</v>
      </c>
      <c r="B1593" s="7">
        <v>45229.631249999999</v>
      </c>
      <c r="C1593" s="6">
        <v>81</v>
      </c>
      <c r="D1593" s="6" t="s">
        <v>794</v>
      </c>
      <c r="E1593" s="8" t="str">
        <f>IFERROR(VLOOKUP(LOG_RESEAU[[#This Row],[Cell_ID]],Registre_Maintenance!A:B,2,FALSE),"Non trouvé")</f>
        <v>Tshuapa</v>
      </c>
      <c r="F1593" s="8">
        <f>IFERROR(VLOOKUP(LOG_RESEAU[[#This Row],[Cell_ID]],Registre_Maintenance!A:C,3,FALSE),"Non trouvé")</f>
        <v>-10.574821</v>
      </c>
      <c r="G1593" s="8">
        <f>IFERROR(VLOOKUP(LOG_RESEAU[[#This Row],[Cell_ID]],Registre_Maintenance!A:D,4,FALSE),"Non trouvé")</f>
        <v>25.324966</v>
      </c>
      <c r="H1593" s="6" t="str">
        <f>IFERROR(VLOOKUP(LOG_RESEAU[[#This Row],[Cell_ID]],Registre_Maintenance!A:E,5,FALSE),"Non trouvé")</f>
        <v>5G</v>
      </c>
      <c r="I1593" s="6" t="str">
        <f>IFERROR(VLOOKUP(LOG_RESEAU[[#This Row],[Cell_ID]],Registre_Maintenance!A:F,6,FALSE),"Non trouvé")</f>
        <v>Ericsson</v>
      </c>
      <c r="J1593" s="6" t="str">
        <f t="shared" si="72"/>
        <v>OK</v>
      </c>
      <c r="K1593" s="6">
        <f t="shared" si="73"/>
        <v>1</v>
      </c>
      <c r="L1593" s="6">
        <f t="shared" si="74"/>
        <v>81</v>
      </c>
    </row>
    <row r="1594" spans="1:12" ht="15.75" x14ac:dyDescent="0.25">
      <c r="A1594" s="6" t="s">
        <v>1314</v>
      </c>
      <c r="B1594" s="7">
        <v>45204.931250000001</v>
      </c>
      <c r="C1594" s="6">
        <v>66</v>
      </c>
      <c r="D1594" s="6" t="s">
        <v>794</v>
      </c>
      <c r="E1594" s="8" t="str">
        <f>IFERROR(VLOOKUP(LOG_RESEAU[[#This Row],[Cell_ID]],Registre_Maintenance!A:B,2,FALSE),"Non trouvé")</f>
        <v>Non trouvé</v>
      </c>
      <c r="F1594" s="8" t="str">
        <f>IFERROR(VLOOKUP(LOG_RESEAU[[#This Row],[Cell_ID]],Registre_Maintenance!A:C,3,FALSE),"Non trouvé")</f>
        <v>Non trouvé</v>
      </c>
      <c r="G1594" s="8" t="str">
        <f>IFERROR(VLOOKUP(LOG_RESEAU[[#This Row],[Cell_ID]],Registre_Maintenance!A:D,4,FALSE),"Non trouvé")</f>
        <v>Non trouvé</v>
      </c>
      <c r="H1594" s="6" t="str">
        <f>IFERROR(VLOOKUP(LOG_RESEAU[[#This Row],[Cell_ID]],Registre_Maintenance!A:E,5,FALSE),"Non trouvé")</f>
        <v>Non trouvé</v>
      </c>
      <c r="I1594" s="6" t="str">
        <f>IFERROR(VLOOKUP(LOG_RESEAU[[#This Row],[Cell_ID]],Registre_Maintenance!A:F,6,FALSE),"Non trouvé")</f>
        <v>Non trouvé</v>
      </c>
      <c r="J1594" s="6" t="str">
        <f t="shared" si="72"/>
        <v>Antenne inconnue</v>
      </c>
      <c r="K1594" s="6">
        <f t="shared" si="73"/>
        <v>1</v>
      </c>
      <c r="L1594" s="6">
        <f t="shared" si="74"/>
        <v>66</v>
      </c>
    </row>
    <row r="1595" spans="1:12" ht="15.75" x14ac:dyDescent="0.25">
      <c r="A1595" s="6" t="s">
        <v>1279</v>
      </c>
      <c r="B1595" s="7">
        <v>45220.515972222223</v>
      </c>
      <c r="C1595" s="6">
        <v>15</v>
      </c>
      <c r="D1595" s="6" t="s">
        <v>792</v>
      </c>
      <c r="E1595" s="8" t="str">
        <f>IFERROR(VLOOKUP(LOG_RESEAU[[#This Row],[Cell_ID]],Registre_Maintenance!A:B,2,FALSE),"Non trouvé")</f>
        <v>Non trouvé</v>
      </c>
      <c r="F1595" s="8" t="str">
        <f>IFERROR(VLOOKUP(LOG_RESEAU[[#This Row],[Cell_ID]],Registre_Maintenance!A:C,3,FALSE),"Non trouvé")</f>
        <v>Non trouvé</v>
      </c>
      <c r="G1595" s="8" t="str">
        <f>IFERROR(VLOOKUP(LOG_RESEAU[[#This Row],[Cell_ID]],Registre_Maintenance!A:D,4,FALSE),"Non trouvé")</f>
        <v>Non trouvé</v>
      </c>
      <c r="H1595" s="6" t="str">
        <f>IFERROR(VLOOKUP(LOG_RESEAU[[#This Row],[Cell_ID]],Registre_Maintenance!A:E,5,FALSE),"Non trouvé")</f>
        <v>Non trouvé</v>
      </c>
      <c r="I1595" s="6" t="str">
        <f>IFERROR(VLOOKUP(LOG_RESEAU[[#This Row],[Cell_ID]],Registre_Maintenance!A:F,6,FALSE),"Non trouvé")</f>
        <v>Non trouvé</v>
      </c>
      <c r="J1595" s="6" t="str">
        <f t="shared" si="72"/>
        <v>Antenne inconnue</v>
      </c>
      <c r="K1595" s="6">
        <f t="shared" si="73"/>
        <v>5</v>
      </c>
      <c r="L1595" s="6">
        <f t="shared" si="74"/>
        <v>312</v>
      </c>
    </row>
    <row r="1596" spans="1:12" ht="15.75" x14ac:dyDescent="0.25">
      <c r="A1596" s="6" t="s">
        <v>1279</v>
      </c>
      <c r="B1596" s="7">
        <v>45204.665277777778</v>
      </c>
      <c r="C1596" s="6">
        <v>56</v>
      </c>
      <c r="D1596" s="6" t="s">
        <v>794</v>
      </c>
      <c r="E1596" s="8" t="str">
        <f>IFERROR(VLOOKUP(LOG_RESEAU[[#This Row],[Cell_ID]],Registre_Maintenance!A:B,2,FALSE),"Non trouvé")</f>
        <v>Non trouvé</v>
      </c>
      <c r="F1596" s="8" t="str">
        <f>IFERROR(VLOOKUP(LOG_RESEAU[[#This Row],[Cell_ID]],Registre_Maintenance!A:C,3,FALSE),"Non trouvé")</f>
        <v>Non trouvé</v>
      </c>
      <c r="G1596" s="8" t="str">
        <f>IFERROR(VLOOKUP(LOG_RESEAU[[#This Row],[Cell_ID]],Registre_Maintenance!A:D,4,FALSE),"Non trouvé")</f>
        <v>Non trouvé</v>
      </c>
      <c r="H1596" s="6" t="str">
        <f>IFERROR(VLOOKUP(LOG_RESEAU[[#This Row],[Cell_ID]],Registre_Maintenance!A:E,5,FALSE),"Non trouvé")</f>
        <v>Non trouvé</v>
      </c>
      <c r="I1596" s="6" t="str">
        <f>IFERROR(VLOOKUP(LOG_RESEAU[[#This Row],[Cell_ID]],Registre_Maintenance!A:F,6,FALSE),"Non trouvé")</f>
        <v>Non trouvé</v>
      </c>
      <c r="J1596" s="6" t="str">
        <f t="shared" si="72"/>
        <v>Antenne inconnue</v>
      </c>
      <c r="K1596" s="6">
        <f t="shared" si="73"/>
        <v>5</v>
      </c>
      <c r="L1596" s="6">
        <f t="shared" si="74"/>
        <v>312</v>
      </c>
    </row>
    <row r="1597" spans="1:12" ht="15.75" x14ac:dyDescent="0.25">
      <c r="A1597" s="6" t="s">
        <v>1279</v>
      </c>
      <c r="B1597" s="7">
        <v>45224.288194444453</v>
      </c>
      <c r="C1597" s="6">
        <v>116</v>
      </c>
      <c r="D1597" s="6" t="s">
        <v>792</v>
      </c>
      <c r="E1597" s="8" t="str">
        <f>IFERROR(VLOOKUP(LOG_RESEAU[[#This Row],[Cell_ID]],Registre_Maintenance!A:B,2,FALSE),"Non trouvé")</f>
        <v>Non trouvé</v>
      </c>
      <c r="F1597" s="8" t="str">
        <f>IFERROR(VLOOKUP(LOG_RESEAU[[#This Row],[Cell_ID]],Registre_Maintenance!A:C,3,FALSE),"Non trouvé")</f>
        <v>Non trouvé</v>
      </c>
      <c r="G1597" s="8" t="str">
        <f>IFERROR(VLOOKUP(LOG_RESEAU[[#This Row],[Cell_ID]],Registre_Maintenance!A:D,4,FALSE),"Non trouvé")</f>
        <v>Non trouvé</v>
      </c>
      <c r="H1597" s="6" t="str">
        <f>IFERROR(VLOOKUP(LOG_RESEAU[[#This Row],[Cell_ID]],Registre_Maintenance!A:E,5,FALSE),"Non trouvé")</f>
        <v>Non trouvé</v>
      </c>
      <c r="I1597" s="6" t="str">
        <f>IFERROR(VLOOKUP(LOG_RESEAU[[#This Row],[Cell_ID]],Registre_Maintenance!A:F,6,FALSE),"Non trouvé")</f>
        <v>Non trouvé</v>
      </c>
      <c r="J1597" s="6" t="str">
        <f t="shared" si="72"/>
        <v>Antenne inconnue</v>
      </c>
      <c r="K1597" s="6">
        <f t="shared" si="73"/>
        <v>5</v>
      </c>
      <c r="L1597" s="6">
        <f t="shared" si="74"/>
        <v>312</v>
      </c>
    </row>
    <row r="1598" spans="1:12" ht="15.75" x14ac:dyDescent="0.25">
      <c r="A1598" s="6" t="s">
        <v>1279</v>
      </c>
      <c r="B1598" s="7">
        <v>45213.417361111111</v>
      </c>
      <c r="C1598" s="6">
        <v>100</v>
      </c>
      <c r="D1598" s="6" t="s">
        <v>794</v>
      </c>
      <c r="E1598" s="8" t="str">
        <f>IFERROR(VLOOKUP(LOG_RESEAU[[#This Row],[Cell_ID]],Registre_Maintenance!A:B,2,FALSE),"Non trouvé")</f>
        <v>Non trouvé</v>
      </c>
      <c r="F1598" s="8" t="str">
        <f>IFERROR(VLOOKUP(LOG_RESEAU[[#This Row],[Cell_ID]],Registre_Maintenance!A:C,3,FALSE),"Non trouvé")</f>
        <v>Non trouvé</v>
      </c>
      <c r="G1598" s="8" t="str">
        <f>IFERROR(VLOOKUP(LOG_RESEAU[[#This Row],[Cell_ID]],Registre_Maintenance!A:D,4,FALSE),"Non trouvé")</f>
        <v>Non trouvé</v>
      </c>
      <c r="H1598" s="6" t="str">
        <f>IFERROR(VLOOKUP(LOG_RESEAU[[#This Row],[Cell_ID]],Registre_Maintenance!A:E,5,FALSE),"Non trouvé")</f>
        <v>Non trouvé</v>
      </c>
      <c r="I1598" s="6" t="str">
        <f>IFERROR(VLOOKUP(LOG_RESEAU[[#This Row],[Cell_ID]],Registre_Maintenance!A:F,6,FALSE),"Non trouvé")</f>
        <v>Non trouvé</v>
      </c>
      <c r="J1598" s="6" t="str">
        <f t="shared" si="72"/>
        <v>Antenne inconnue</v>
      </c>
      <c r="K1598" s="6">
        <f t="shared" si="73"/>
        <v>5</v>
      </c>
      <c r="L1598" s="6">
        <f t="shared" si="74"/>
        <v>312</v>
      </c>
    </row>
    <row r="1599" spans="1:12" ht="15.75" x14ac:dyDescent="0.25">
      <c r="A1599" s="6" t="s">
        <v>1279</v>
      </c>
      <c r="B1599" s="7">
        <v>45215.231944444437</v>
      </c>
      <c r="C1599" s="6">
        <v>25</v>
      </c>
      <c r="D1599" s="6" t="s">
        <v>800</v>
      </c>
      <c r="E1599" s="8" t="str">
        <f>IFERROR(VLOOKUP(LOG_RESEAU[[#This Row],[Cell_ID]],Registre_Maintenance!A:B,2,FALSE),"Non trouvé")</f>
        <v>Non trouvé</v>
      </c>
      <c r="F1599" s="8" t="str">
        <f>IFERROR(VLOOKUP(LOG_RESEAU[[#This Row],[Cell_ID]],Registre_Maintenance!A:C,3,FALSE),"Non trouvé")</f>
        <v>Non trouvé</v>
      </c>
      <c r="G1599" s="8" t="str">
        <f>IFERROR(VLOOKUP(LOG_RESEAU[[#This Row],[Cell_ID]],Registre_Maintenance!A:D,4,FALSE),"Non trouvé")</f>
        <v>Non trouvé</v>
      </c>
      <c r="H1599" s="6" t="str">
        <f>IFERROR(VLOOKUP(LOG_RESEAU[[#This Row],[Cell_ID]],Registre_Maintenance!A:E,5,FALSE),"Non trouvé")</f>
        <v>Non trouvé</v>
      </c>
      <c r="I1599" s="6" t="str">
        <f>IFERROR(VLOOKUP(LOG_RESEAU[[#This Row],[Cell_ID]],Registre_Maintenance!A:F,6,FALSE),"Non trouvé")</f>
        <v>Non trouvé</v>
      </c>
      <c r="J1599" s="6" t="str">
        <f t="shared" si="72"/>
        <v>Antenne inconnue</v>
      </c>
      <c r="K1599" s="6">
        <f t="shared" si="73"/>
        <v>5</v>
      </c>
      <c r="L1599" s="6">
        <f t="shared" si="74"/>
        <v>312</v>
      </c>
    </row>
    <row r="1600" spans="1:12" ht="15.75" x14ac:dyDescent="0.25">
      <c r="A1600" s="6" t="s">
        <v>1340</v>
      </c>
      <c r="B1600" s="7">
        <v>45204.615972222222</v>
      </c>
      <c r="C1600" s="6">
        <v>41</v>
      </c>
      <c r="D1600" s="6" t="s">
        <v>792</v>
      </c>
      <c r="E1600" s="8" t="str">
        <f>IFERROR(VLOOKUP(LOG_RESEAU[[#This Row],[Cell_ID]],Registre_Maintenance!A:B,2,FALSE),"Non trouvé")</f>
        <v>Kinshasa</v>
      </c>
      <c r="F1600" s="8">
        <f>IFERROR(VLOOKUP(LOG_RESEAU[[#This Row],[Cell_ID]],Registre_Maintenance!A:C,3,FALSE),"Non trouvé")</f>
        <v>1.3006180000000001</v>
      </c>
      <c r="G1600" s="8">
        <f>IFERROR(VLOOKUP(LOG_RESEAU[[#This Row],[Cell_ID]],Registre_Maintenance!A:D,4,FALSE),"Non trouvé")</f>
        <v>29.060970999999999</v>
      </c>
      <c r="H1600" s="6" t="str">
        <f>IFERROR(VLOOKUP(LOG_RESEAU[[#This Row],[Cell_ID]],Registre_Maintenance!A:E,5,FALSE),"Non trouvé")</f>
        <v>3G</v>
      </c>
      <c r="I1600" s="6" t="str">
        <f>IFERROR(VLOOKUP(LOG_RESEAU[[#This Row],[Cell_ID]],Registre_Maintenance!A:F,6,FALSE),"Non trouvé")</f>
        <v>ZTE</v>
      </c>
      <c r="J1600" s="6" t="str">
        <f t="shared" si="72"/>
        <v>OK</v>
      </c>
      <c r="K1600" s="6">
        <f t="shared" si="73"/>
        <v>2</v>
      </c>
      <c r="L1600" s="6">
        <f t="shared" si="74"/>
        <v>140</v>
      </c>
    </row>
    <row r="1601" spans="1:12" ht="15.75" x14ac:dyDescent="0.25">
      <c r="A1601" s="6" t="s">
        <v>1340</v>
      </c>
      <c r="B1601" s="7">
        <v>45209.354861111111</v>
      </c>
      <c r="C1601" s="6">
        <v>99</v>
      </c>
      <c r="D1601" s="6" t="s">
        <v>800</v>
      </c>
      <c r="E1601" s="8" t="str">
        <f>IFERROR(VLOOKUP(LOG_RESEAU[[#This Row],[Cell_ID]],Registre_Maintenance!A:B,2,FALSE),"Non trouvé")</f>
        <v>Kinshasa</v>
      </c>
      <c r="F1601" s="8">
        <f>IFERROR(VLOOKUP(LOG_RESEAU[[#This Row],[Cell_ID]],Registre_Maintenance!A:C,3,FALSE),"Non trouvé")</f>
        <v>1.3006180000000001</v>
      </c>
      <c r="G1601" s="8">
        <f>IFERROR(VLOOKUP(LOG_RESEAU[[#This Row],[Cell_ID]],Registre_Maintenance!A:D,4,FALSE),"Non trouvé")</f>
        <v>29.060970999999999</v>
      </c>
      <c r="H1601" s="6" t="str">
        <f>IFERROR(VLOOKUP(LOG_RESEAU[[#This Row],[Cell_ID]],Registre_Maintenance!A:E,5,FALSE),"Non trouvé")</f>
        <v>3G</v>
      </c>
      <c r="I1601" s="6" t="str">
        <f>IFERROR(VLOOKUP(LOG_RESEAU[[#This Row],[Cell_ID]],Registre_Maintenance!A:F,6,FALSE),"Non trouvé")</f>
        <v>ZTE</v>
      </c>
      <c r="J1601" s="6" t="str">
        <f t="shared" si="72"/>
        <v>OK</v>
      </c>
      <c r="K1601" s="6">
        <f t="shared" si="73"/>
        <v>2</v>
      </c>
      <c r="L1601" s="6">
        <f t="shared" si="74"/>
        <v>140</v>
      </c>
    </row>
    <row r="1602" spans="1:12" ht="15.75" x14ac:dyDescent="0.25">
      <c r="A1602" s="6" t="s">
        <v>1359</v>
      </c>
      <c r="B1602" s="7">
        <v>45229.620833333327</v>
      </c>
      <c r="C1602" s="6">
        <v>74</v>
      </c>
      <c r="D1602" s="6" t="s">
        <v>792</v>
      </c>
      <c r="E1602" s="8" t="str">
        <f>IFERROR(VLOOKUP(LOG_RESEAU[[#This Row],[Cell_ID]],Registre_Maintenance!A:B,2,FALSE),"Non trouvé")</f>
        <v>Haut-Uele</v>
      </c>
      <c r="F1602" s="8">
        <f>IFERROR(VLOOKUP(LOG_RESEAU[[#This Row],[Cell_ID]],Registre_Maintenance!A:C,3,FALSE),"Non trouvé")</f>
        <v>-12.488033</v>
      </c>
      <c r="G1602" s="8">
        <f>IFERROR(VLOOKUP(LOG_RESEAU[[#This Row],[Cell_ID]],Registre_Maintenance!A:D,4,FALSE),"Non trouvé")</f>
        <v>16.139648000000001</v>
      </c>
      <c r="H1602" s="6" t="str">
        <f>IFERROR(VLOOKUP(LOG_RESEAU[[#This Row],[Cell_ID]],Registre_Maintenance!A:E,5,FALSE),"Non trouvé")</f>
        <v>4G</v>
      </c>
      <c r="I1602" s="6" t="str">
        <f>IFERROR(VLOOKUP(LOG_RESEAU[[#This Row],[Cell_ID]],Registre_Maintenance!A:F,6,FALSE),"Non trouvé")</f>
        <v>Huawei</v>
      </c>
      <c r="J1602" s="6" t="str">
        <f t="shared" ref="J1602:J1665" si="75">IF(ISERROR(SEARCH("Non trouvé",F1602)),"OK","Antenne inconnue")</f>
        <v>OK</v>
      </c>
      <c r="K1602" s="6">
        <f t="shared" ref="K1602:K1665" si="76">COUNTIF(A:A,A1602)</f>
        <v>1</v>
      </c>
      <c r="L1602" s="6">
        <f t="shared" ref="L1602:L1665" si="77">SUMIF(A:A,A1602,C:C)</f>
        <v>74</v>
      </c>
    </row>
    <row r="1603" spans="1:12" ht="15.75" x14ac:dyDescent="0.25">
      <c r="A1603" s="6" t="s">
        <v>1249</v>
      </c>
      <c r="B1603" s="7">
        <v>45206.443055555559</v>
      </c>
      <c r="C1603" s="6">
        <v>48</v>
      </c>
      <c r="D1603" s="6" t="s">
        <v>792</v>
      </c>
      <c r="E1603" s="8" t="str">
        <f>IFERROR(VLOOKUP(LOG_RESEAU[[#This Row],[Cell_ID]],Registre_Maintenance!A:B,2,FALSE),"Non trouvé")</f>
        <v>Haut-Lomami</v>
      </c>
      <c r="F1603" s="8">
        <f>IFERROR(VLOOKUP(LOG_RESEAU[[#This Row],[Cell_ID]],Registre_Maintenance!A:C,3,FALSE),"Non trouvé")</f>
        <v>0.16327700000000001</v>
      </c>
      <c r="G1603" s="8">
        <f>IFERROR(VLOOKUP(LOG_RESEAU[[#This Row],[Cell_ID]],Registre_Maintenance!A:D,4,FALSE),"Non trouvé")</f>
        <v>14.871577</v>
      </c>
      <c r="H1603" s="6" t="str">
        <f>IFERROR(VLOOKUP(LOG_RESEAU[[#This Row],[Cell_ID]],Registre_Maintenance!A:E,5,FALSE),"Non trouvé")</f>
        <v>4G</v>
      </c>
      <c r="I1603" s="6" t="str">
        <f>IFERROR(VLOOKUP(LOG_RESEAU[[#This Row],[Cell_ID]],Registre_Maintenance!A:F,6,FALSE),"Non trouvé")</f>
        <v>Huawei</v>
      </c>
      <c r="J1603" s="6" t="str">
        <f t="shared" si="75"/>
        <v>OK</v>
      </c>
      <c r="K1603" s="6">
        <f t="shared" si="76"/>
        <v>2</v>
      </c>
      <c r="L1603" s="6">
        <f t="shared" si="77"/>
        <v>137</v>
      </c>
    </row>
    <row r="1604" spans="1:12" ht="15.75" x14ac:dyDescent="0.25">
      <c r="A1604" s="6" t="s">
        <v>1249</v>
      </c>
      <c r="B1604" s="7">
        <v>45225.288888888892</v>
      </c>
      <c r="C1604" s="6">
        <v>89</v>
      </c>
      <c r="D1604" s="6" t="s">
        <v>794</v>
      </c>
      <c r="E1604" s="8" t="str">
        <f>IFERROR(VLOOKUP(LOG_RESEAU[[#This Row],[Cell_ID]],Registre_Maintenance!A:B,2,FALSE),"Non trouvé")</f>
        <v>Haut-Lomami</v>
      </c>
      <c r="F1604" s="8">
        <f>IFERROR(VLOOKUP(LOG_RESEAU[[#This Row],[Cell_ID]],Registre_Maintenance!A:C,3,FALSE),"Non trouvé")</f>
        <v>0.16327700000000001</v>
      </c>
      <c r="G1604" s="8">
        <f>IFERROR(VLOOKUP(LOG_RESEAU[[#This Row],[Cell_ID]],Registre_Maintenance!A:D,4,FALSE),"Non trouvé")</f>
        <v>14.871577</v>
      </c>
      <c r="H1604" s="6" t="str">
        <f>IFERROR(VLOOKUP(LOG_RESEAU[[#This Row],[Cell_ID]],Registre_Maintenance!A:E,5,FALSE),"Non trouvé")</f>
        <v>4G</v>
      </c>
      <c r="I1604" s="6" t="str">
        <f>IFERROR(VLOOKUP(LOG_RESEAU[[#This Row],[Cell_ID]],Registre_Maintenance!A:F,6,FALSE),"Non trouvé")</f>
        <v>Huawei</v>
      </c>
      <c r="J1604" s="6" t="str">
        <f t="shared" si="75"/>
        <v>OK</v>
      </c>
      <c r="K1604" s="6">
        <f t="shared" si="76"/>
        <v>2</v>
      </c>
      <c r="L1604" s="6">
        <f t="shared" si="77"/>
        <v>137</v>
      </c>
    </row>
    <row r="1605" spans="1:12" ht="15.75" x14ac:dyDescent="0.25">
      <c r="A1605" s="6" t="s">
        <v>1284</v>
      </c>
      <c r="B1605" s="7">
        <v>45211.722916666673</v>
      </c>
      <c r="C1605" s="6">
        <v>28</v>
      </c>
      <c r="D1605" s="6" t="s">
        <v>794</v>
      </c>
      <c r="E1605" s="8" t="str">
        <f>IFERROR(VLOOKUP(LOG_RESEAU[[#This Row],[Cell_ID]],Registre_Maintenance!A:B,2,FALSE),"Non trouvé")</f>
        <v>Haut-Uele</v>
      </c>
      <c r="F1605" s="8">
        <f>IFERROR(VLOOKUP(LOG_RESEAU[[#This Row],[Cell_ID]],Registre_Maintenance!A:C,3,FALSE),"Non trouvé")</f>
        <v>-6.9624990000000002</v>
      </c>
      <c r="G1605" s="8">
        <f>IFERROR(VLOOKUP(LOG_RESEAU[[#This Row],[Cell_ID]],Registre_Maintenance!A:D,4,FALSE),"Non trouvé")</f>
        <v>20.759834999999999</v>
      </c>
      <c r="H1605" s="6" t="str">
        <f>IFERROR(VLOOKUP(LOG_RESEAU[[#This Row],[Cell_ID]],Registre_Maintenance!A:E,5,FALSE),"Non trouvé")</f>
        <v>4G</v>
      </c>
      <c r="I1605" s="6" t="str">
        <f>IFERROR(VLOOKUP(LOG_RESEAU[[#This Row],[Cell_ID]],Registre_Maintenance!A:F,6,FALSE),"Non trouvé")</f>
        <v>Huawei</v>
      </c>
      <c r="J1605" s="6" t="str">
        <f t="shared" si="75"/>
        <v>OK</v>
      </c>
      <c r="K1605" s="6">
        <f t="shared" si="76"/>
        <v>1</v>
      </c>
      <c r="L1605" s="6">
        <f t="shared" si="77"/>
        <v>28</v>
      </c>
    </row>
    <row r="1606" spans="1:12" ht="15.75" x14ac:dyDescent="0.25">
      <c r="A1606" s="6" t="s">
        <v>1183</v>
      </c>
      <c r="B1606" s="7">
        <v>45207.543055555558</v>
      </c>
      <c r="C1606" s="6">
        <v>54</v>
      </c>
      <c r="D1606" s="6" t="s">
        <v>794</v>
      </c>
      <c r="E1606" s="8" t="str">
        <f>IFERROR(VLOOKUP(LOG_RESEAU[[#This Row],[Cell_ID]],Registre_Maintenance!A:B,2,FALSE),"Non trouvé")</f>
        <v>Non trouvé</v>
      </c>
      <c r="F1606" s="8" t="str">
        <f>IFERROR(VLOOKUP(LOG_RESEAU[[#This Row],[Cell_ID]],Registre_Maintenance!A:C,3,FALSE),"Non trouvé")</f>
        <v>Non trouvé</v>
      </c>
      <c r="G1606" s="8" t="str">
        <f>IFERROR(VLOOKUP(LOG_RESEAU[[#This Row],[Cell_ID]],Registre_Maintenance!A:D,4,FALSE),"Non trouvé")</f>
        <v>Non trouvé</v>
      </c>
      <c r="H1606" s="6" t="str">
        <f>IFERROR(VLOOKUP(LOG_RESEAU[[#This Row],[Cell_ID]],Registre_Maintenance!A:E,5,FALSE),"Non trouvé")</f>
        <v>Non trouvé</v>
      </c>
      <c r="I1606" s="6" t="str">
        <f>IFERROR(VLOOKUP(LOG_RESEAU[[#This Row],[Cell_ID]],Registre_Maintenance!A:F,6,FALSE),"Non trouvé")</f>
        <v>Non trouvé</v>
      </c>
      <c r="J1606" s="6" t="str">
        <f t="shared" si="75"/>
        <v>Antenne inconnue</v>
      </c>
      <c r="K1606" s="6">
        <f t="shared" si="76"/>
        <v>2</v>
      </c>
      <c r="L1606" s="6">
        <f t="shared" si="77"/>
        <v>109</v>
      </c>
    </row>
    <row r="1607" spans="1:12" ht="15.75" x14ac:dyDescent="0.25">
      <c r="A1607" s="6" t="s">
        <v>1183</v>
      </c>
      <c r="B1607" s="7">
        <v>45225.996527777781</v>
      </c>
      <c r="C1607" s="6">
        <v>55</v>
      </c>
      <c r="D1607" s="6" t="s">
        <v>800</v>
      </c>
      <c r="E1607" s="8" t="str">
        <f>IFERROR(VLOOKUP(LOG_RESEAU[[#This Row],[Cell_ID]],Registre_Maintenance!A:B,2,FALSE),"Non trouvé")</f>
        <v>Non trouvé</v>
      </c>
      <c r="F1607" s="8" t="str">
        <f>IFERROR(VLOOKUP(LOG_RESEAU[[#This Row],[Cell_ID]],Registre_Maintenance!A:C,3,FALSE),"Non trouvé")</f>
        <v>Non trouvé</v>
      </c>
      <c r="G1607" s="8" t="str">
        <f>IFERROR(VLOOKUP(LOG_RESEAU[[#This Row],[Cell_ID]],Registre_Maintenance!A:D,4,FALSE),"Non trouvé")</f>
        <v>Non trouvé</v>
      </c>
      <c r="H1607" s="6" t="str">
        <f>IFERROR(VLOOKUP(LOG_RESEAU[[#This Row],[Cell_ID]],Registre_Maintenance!A:E,5,FALSE),"Non trouvé")</f>
        <v>Non trouvé</v>
      </c>
      <c r="I1607" s="6" t="str">
        <f>IFERROR(VLOOKUP(LOG_RESEAU[[#This Row],[Cell_ID]],Registre_Maintenance!A:F,6,FALSE),"Non trouvé")</f>
        <v>Non trouvé</v>
      </c>
      <c r="J1607" s="6" t="str">
        <f t="shared" si="75"/>
        <v>Antenne inconnue</v>
      </c>
      <c r="K1607" s="6">
        <f t="shared" si="76"/>
        <v>2</v>
      </c>
      <c r="L1607" s="6">
        <f t="shared" si="77"/>
        <v>109</v>
      </c>
    </row>
    <row r="1608" spans="1:12" ht="15.75" x14ac:dyDescent="0.25">
      <c r="A1608" s="6" t="s">
        <v>1381</v>
      </c>
      <c r="B1608" s="7">
        <v>45225.322916666657</v>
      </c>
      <c r="C1608" s="6">
        <v>47</v>
      </c>
      <c r="D1608" s="6" t="s">
        <v>792</v>
      </c>
      <c r="E1608" s="8" t="str">
        <f>IFERROR(VLOOKUP(LOG_RESEAU[[#This Row],[Cell_ID]],Registre_Maintenance!A:B,2,FALSE),"Non trouvé")</f>
        <v>Non trouvé</v>
      </c>
      <c r="F1608" s="8" t="str">
        <f>IFERROR(VLOOKUP(LOG_RESEAU[[#This Row],[Cell_ID]],Registre_Maintenance!A:C,3,FALSE),"Non trouvé")</f>
        <v>Non trouvé</v>
      </c>
      <c r="G1608" s="8" t="str">
        <f>IFERROR(VLOOKUP(LOG_RESEAU[[#This Row],[Cell_ID]],Registre_Maintenance!A:D,4,FALSE),"Non trouvé")</f>
        <v>Non trouvé</v>
      </c>
      <c r="H1608" s="6" t="str">
        <f>IFERROR(VLOOKUP(LOG_RESEAU[[#This Row],[Cell_ID]],Registre_Maintenance!A:E,5,FALSE),"Non trouvé")</f>
        <v>Non trouvé</v>
      </c>
      <c r="I1608" s="6" t="str">
        <f>IFERROR(VLOOKUP(LOG_RESEAU[[#This Row],[Cell_ID]],Registre_Maintenance!A:F,6,FALSE),"Non trouvé")</f>
        <v>Non trouvé</v>
      </c>
      <c r="J1608" s="6" t="str">
        <f t="shared" si="75"/>
        <v>Antenne inconnue</v>
      </c>
      <c r="K1608" s="6">
        <f t="shared" si="76"/>
        <v>1</v>
      </c>
      <c r="L1608" s="6">
        <f t="shared" si="77"/>
        <v>47</v>
      </c>
    </row>
    <row r="1609" spans="1:12" ht="15.75" x14ac:dyDescent="0.25">
      <c r="A1609" s="6" t="s">
        <v>1371</v>
      </c>
      <c r="B1609" s="7">
        <v>45226.313194444447</v>
      </c>
      <c r="C1609" s="6">
        <v>66</v>
      </c>
      <c r="D1609" s="6" t="s">
        <v>792</v>
      </c>
      <c r="E1609" s="8" t="str">
        <f>IFERROR(VLOOKUP(LOG_RESEAU[[#This Row],[Cell_ID]],Registre_Maintenance!A:B,2,FALSE),"Non trouvé")</f>
        <v>Equateur</v>
      </c>
      <c r="F1609" s="8">
        <f>IFERROR(VLOOKUP(LOG_RESEAU[[#This Row],[Cell_ID]],Registre_Maintenance!A:C,3,FALSE),"Non trouvé")</f>
        <v>-12.839263000000001</v>
      </c>
      <c r="G1609" s="8">
        <f>IFERROR(VLOOKUP(LOG_RESEAU[[#This Row],[Cell_ID]],Registre_Maintenance!A:D,4,FALSE),"Non trouvé")</f>
        <v>12.355677</v>
      </c>
      <c r="H1609" s="6" t="str">
        <f>IFERROR(VLOOKUP(LOG_RESEAU[[#This Row],[Cell_ID]],Registre_Maintenance!A:E,5,FALSE),"Non trouvé")</f>
        <v>3G</v>
      </c>
      <c r="I1609" s="6" t="str">
        <f>IFERROR(VLOOKUP(LOG_RESEAU[[#This Row],[Cell_ID]],Registre_Maintenance!A:F,6,FALSE),"Non trouvé")</f>
        <v>Huawei</v>
      </c>
      <c r="J1609" s="6" t="str">
        <f t="shared" si="75"/>
        <v>OK</v>
      </c>
      <c r="K1609" s="6">
        <f t="shared" si="76"/>
        <v>2</v>
      </c>
      <c r="L1609" s="6">
        <f t="shared" si="77"/>
        <v>93</v>
      </c>
    </row>
    <row r="1610" spans="1:12" ht="15.75" x14ac:dyDescent="0.25">
      <c r="A1610" s="6" t="s">
        <v>1371</v>
      </c>
      <c r="B1610" s="7">
        <v>45214.290277777778</v>
      </c>
      <c r="C1610" s="6">
        <v>27</v>
      </c>
      <c r="D1610" s="6" t="s">
        <v>800</v>
      </c>
      <c r="E1610" s="8" t="str">
        <f>IFERROR(VLOOKUP(LOG_RESEAU[[#This Row],[Cell_ID]],Registre_Maintenance!A:B,2,FALSE),"Non trouvé")</f>
        <v>Equateur</v>
      </c>
      <c r="F1610" s="8">
        <f>IFERROR(VLOOKUP(LOG_RESEAU[[#This Row],[Cell_ID]],Registre_Maintenance!A:C,3,FALSE),"Non trouvé")</f>
        <v>-12.839263000000001</v>
      </c>
      <c r="G1610" s="8">
        <f>IFERROR(VLOOKUP(LOG_RESEAU[[#This Row],[Cell_ID]],Registre_Maintenance!A:D,4,FALSE),"Non trouvé")</f>
        <v>12.355677</v>
      </c>
      <c r="H1610" s="6" t="str">
        <f>IFERROR(VLOOKUP(LOG_RESEAU[[#This Row],[Cell_ID]],Registre_Maintenance!A:E,5,FALSE),"Non trouvé")</f>
        <v>3G</v>
      </c>
      <c r="I1610" s="6" t="str">
        <f>IFERROR(VLOOKUP(LOG_RESEAU[[#This Row],[Cell_ID]],Registre_Maintenance!A:F,6,FALSE),"Non trouvé")</f>
        <v>Huawei</v>
      </c>
      <c r="J1610" s="6" t="str">
        <f t="shared" si="75"/>
        <v>OK</v>
      </c>
      <c r="K1610" s="6">
        <f t="shared" si="76"/>
        <v>2</v>
      </c>
      <c r="L1610" s="6">
        <f t="shared" si="77"/>
        <v>93</v>
      </c>
    </row>
    <row r="1611" spans="1:12" ht="15.75" x14ac:dyDescent="0.25">
      <c r="A1611" s="6" t="s">
        <v>1500</v>
      </c>
      <c r="B1611" s="7">
        <v>45224.104861111111</v>
      </c>
      <c r="C1611" s="6">
        <v>98</v>
      </c>
      <c r="D1611" s="6" t="s">
        <v>792</v>
      </c>
      <c r="E1611" s="8" t="str">
        <f>IFERROR(VLOOKUP(LOG_RESEAU[[#This Row],[Cell_ID]],Registre_Maintenance!A:B,2,FALSE),"Non trouvé")</f>
        <v>Tanganyika</v>
      </c>
      <c r="F1611" s="8">
        <f>IFERROR(VLOOKUP(LOG_RESEAU[[#This Row],[Cell_ID]],Registre_Maintenance!A:C,3,FALSE),"Non trouvé")</f>
        <v>-7.0007840000000003</v>
      </c>
      <c r="G1611" s="8">
        <f>IFERROR(VLOOKUP(LOG_RESEAU[[#This Row],[Cell_ID]],Registre_Maintenance!A:D,4,FALSE),"Non trouvé")</f>
        <v>22.787997000000001</v>
      </c>
      <c r="H1611" s="6" t="str">
        <f>IFERROR(VLOOKUP(LOG_RESEAU[[#This Row],[Cell_ID]],Registre_Maintenance!A:E,5,FALSE),"Non trouvé")</f>
        <v>5G</v>
      </c>
      <c r="I1611" s="6" t="str">
        <f>IFERROR(VLOOKUP(LOG_RESEAU[[#This Row],[Cell_ID]],Registre_Maintenance!A:F,6,FALSE),"Non trouvé")</f>
        <v>ZTE</v>
      </c>
      <c r="J1611" s="6" t="str">
        <f t="shared" si="75"/>
        <v>OK</v>
      </c>
      <c r="K1611" s="6">
        <f t="shared" si="76"/>
        <v>1</v>
      </c>
      <c r="L1611" s="6">
        <f t="shared" si="77"/>
        <v>98</v>
      </c>
    </row>
    <row r="1612" spans="1:12" ht="15.75" x14ac:dyDescent="0.25">
      <c r="A1612" s="6" t="s">
        <v>1472</v>
      </c>
      <c r="B1612" s="7">
        <v>45224.884722222218</v>
      </c>
      <c r="C1612" s="6">
        <v>119</v>
      </c>
      <c r="D1612" s="6" t="s">
        <v>800</v>
      </c>
      <c r="E1612" s="8" t="str">
        <f>IFERROR(VLOOKUP(LOG_RESEAU[[#This Row],[Cell_ID]],Registre_Maintenance!A:B,2,FALSE),"Non trouvé")</f>
        <v>Non trouvé</v>
      </c>
      <c r="F1612" s="8" t="str">
        <f>IFERROR(VLOOKUP(LOG_RESEAU[[#This Row],[Cell_ID]],Registre_Maintenance!A:C,3,FALSE),"Non trouvé")</f>
        <v>Non trouvé</v>
      </c>
      <c r="G1612" s="8" t="str">
        <f>IFERROR(VLOOKUP(LOG_RESEAU[[#This Row],[Cell_ID]],Registre_Maintenance!A:D,4,FALSE),"Non trouvé")</f>
        <v>Non trouvé</v>
      </c>
      <c r="H1612" s="6" t="str">
        <f>IFERROR(VLOOKUP(LOG_RESEAU[[#This Row],[Cell_ID]],Registre_Maintenance!A:E,5,FALSE),"Non trouvé")</f>
        <v>Non trouvé</v>
      </c>
      <c r="I1612" s="6" t="str">
        <f>IFERROR(VLOOKUP(LOG_RESEAU[[#This Row],[Cell_ID]],Registre_Maintenance!A:F,6,FALSE),"Non trouvé")</f>
        <v>Non trouvé</v>
      </c>
      <c r="J1612" s="6" t="str">
        <f t="shared" si="75"/>
        <v>Antenne inconnue</v>
      </c>
      <c r="K1612" s="6">
        <f t="shared" si="76"/>
        <v>1</v>
      </c>
      <c r="L1612" s="6">
        <f t="shared" si="77"/>
        <v>119</v>
      </c>
    </row>
    <row r="1613" spans="1:12" ht="15.75" x14ac:dyDescent="0.25">
      <c r="A1613" s="6" t="s">
        <v>1230</v>
      </c>
      <c r="B1613" s="7">
        <v>45200.220138888893</v>
      </c>
      <c r="C1613" s="6">
        <v>53</v>
      </c>
      <c r="D1613" s="6" t="s">
        <v>800</v>
      </c>
      <c r="E1613" s="8" t="str">
        <f>IFERROR(VLOOKUP(LOG_RESEAU[[#This Row],[Cell_ID]],Registre_Maintenance!A:B,2,FALSE),"Non trouvé")</f>
        <v>Non trouvé</v>
      </c>
      <c r="F1613" s="8" t="str">
        <f>IFERROR(VLOOKUP(LOG_RESEAU[[#This Row],[Cell_ID]],Registre_Maintenance!A:C,3,FALSE),"Non trouvé")</f>
        <v>Non trouvé</v>
      </c>
      <c r="G1613" s="8" t="str">
        <f>IFERROR(VLOOKUP(LOG_RESEAU[[#This Row],[Cell_ID]],Registre_Maintenance!A:D,4,FALSE),"Non trouvé")</f>
        <v>Non trouvé</v>
      </c>
      <c r="H1613" s="6" t="str">
        <f>IFERROR(VLOOKUP(LOG_RESEAU[[#This Row],[Cell_ID]],Registre_Maintenance!A:E,5,FALSE),"Non trouvé")</f>
        <v>Non trouvé</v>
      </c>
      <c r="I1613" s="6" t="str">
        <f>IFERROR(VLOOKUP(LOG_RESEAU[[#This Row],[Cell_ID]],Registre_Maintenance!A:F,6,FALSE),"Non trouvé")</f>
        <v>Non trouvé</v>
      </c>
      <c r="J1613" s="6" t="str">
        <f t="shared" si="75"/>
        <v>Antenne inconnue</v>
      </c>
      <c r="K1613" s="6">
        <f t="shared" si="76"/>
        <v>2</v>
      </c>
      <c r="L1613" s="6">
        <f t="shared" si="77"/>
        <v>120</v>
      </c>
    </row>
    <row r="1614" spans="1:12" ht="15.75" x14ac:dyDescent="0.25">
      <c r="A1614" s="6" t="s">
        <v>1230</v>
      </c>
      <c r="B1614" s="7">
        <v>45227.393055555563</v>
      </c>
      <c r="C1614" s="6">
        <v>67</v>
      </c>
      <c r="D1614" s="6" t="s">
        <v>794</v>
      </c>
      <c r="E1614" s="8" t="str">
        <f>IFERROR(VLOOKUP(LOG_RESEAU[[#This Row],[Cell_ID]],Registre_Maintenance!A:B,2,FALSE),"Non trouvé")</f>
        <v>Non trouvé</v>
      </c>
      <c r="F1614" s="8" t="str">
        <f>IFERROR(VLOOKUP(LOG_RESEAU[[#This Row],[Cell_ID]],Registre_Maintenance!A:C,3,FALSE),"Non trouvé")</f>
        <v>Non trouvé</v>
      </c>
      <c r="G1614" s="8" t="str">
        <f>IFERROR(VLOOKUP(LOG_RESEAU[[#This Row],[Cell_ID]],Registre_Maintenance!A:D,4,FALSE),"Non trouvé")</f>
        <v>Non trouvé</v>
      </c>
      <c r="H1614" s="6" t="str">
        <f>IFERROR(VLOOKUP(LOG_RESEAU[[#This Row],[Cell_ID]],Registre_Maintenance!A:E,5,FALSE),"Non trouvé")</f>
        <v>Non trouvé</v>
      </c>
      <c r="I1614" s="6" t="str">
        <f>IFERROR(VLOOKUP(LOG_RESEAU[[#This Row],[Cell_ID]],Registre_Maintenance!A:F,6,FALSE),"Non trouvé")</f>
        <v>Non trouvé</v>
      </c>
      <c r="J1614" s="6" t="str">
        <f t="shared" si="75"/>
        <v>Antenne inconnue</v>
      </c>
      <c r="K1614" s="6">
        <f t="shared" si="76"/>
        <v>2</v>
      </c>
      <c r="L1614" s="6">
        <f t="shared" si="77"/>
        <v>120</v>
      </c>
    </row>
    <row r="1615" spans="1:12" ht="15.75" x14ac:dyDescent="0.25">
      <c r="A1615" s="6" t="s">
        <v>1073</v>
      </c>
      <c r="B1615" s="7">
        <v>45219.113194444442</v>
      </c>
      <c r="C1615" s="6">
        <v>19</v>
      </c>
      <c r="D1615" s="6" t="s">
        <v>794</v>
      </c>
      <c r="E1615" s="8" t="str">
        <f>IFERROR(VLOOKUP(LOG_RESEAU[[#This Row],[Cell_ID]],Registre_Maintenance!A:B,2,FALSE),"Non trouvé")</f>
        <v>Kwango</v>
      </c>
      <c r="F1615" s="8">
        <f>IFERROR(VLOOKUP(LOG_RESEAU[[#This Row],[Cell_ID]],Registre_Maintenance!A:C,3,FALSE),"Non trouvé")</f>
        <v>-9.7712979999999998</v>
      </c>
      <c r="G1615" s="8">
        <f>IFERROR(VLOOKUP(LOG_RESEAU[[#This Row],[Cell_ID]],Registre_Maintenance!A:D,4,FALSE),"Non trouvé")</f>
        <v>19.827895999999999</v>
      </c>
      <c r="H1615" s="6" t="str">
        <f>IFERROR(VLOOKUP(LOG_RESEAU[[#This Row],[Cell_ID]],Registre_Maintenance!A:E,5,FALSE),"Non trouvé")</f>
        <v>3G</v>
      </c>
      <c r="I1615" s="6" t="str">
        <f>IFERROR(VLOOKUP(LOG_RESEAU[[#This Row],[Cell_ID]],Registre_Maintenance!A:F,6,FALSE),"Non trouvé")</f>
        <v>ZTE</v>
      </c>
      <c r="J1615" s="6" t="str">
        <f t="shared" si="75"/>
        <v>OK</v>
      </c>
      <c r="K1615" s="6">
        <f t="shared" si="76"/>
        <v>3</v>
      </c>
      <c r="L1615" s="6">
        <f t="shared" si="77"/>
        <v>139</v>
      </c>
    </row>
    <row r="1616" spans="1:12" ht="15.75" x14ac:dyDescent="0.25">
      <c r="A1616" s="6" t="s">
        <v>1073</v>
      </c>
      <c r="B1616" s="7">
        <v>45224.010416666657</v>
      </c>
      <c r="C1616" s="6">
        <v>114</v>
      </c>
      <c r="D1616" s="6" t="s">
        <v>792</v>
      </c>
      <c r="E1616" s="8" t="str">
        <f>IFERROR(VLOOKUP(LOG_RESEAU[[#This Row],[Cell_ID]],Registre_Maintenance!A:B,2,FALSE),"Non trouvé")</f>
        <v>Kwango</v>
      </c>
      <c r="F1616" s="8">
        <f>IFERROR(VLOOKUP(LOG_RESEAU[[#This Row],[Cell_ID]],Registre_Maintenance!A:C,3,FALSE),"Non trouvé")</f>
        <v>-9.7712979999999998</v>
      </c>
      <c r="G1616" s="8">
        <f>IFERROR(VLOOKUP(LOG_RESEAU[[#This Row],[Cell_ID]],Registre_Maintenance!A:D,4,FALSE),"Non trouvé")</f>
        <v>19.827895999999999</v>
      </c>
      <c r="H1616" s="6" t="str">
        <f>IFERROR(VLOOKUP(LOG_RESEAU[[#This Row],[Cell_ID]],Registre_Maintenance!A:E,5,FALSE),"Non trouvé")</f>
        <v>3G</v>
      </c>
      <c r="I1616" s="6" t="str">
        <f>IFERROR(VLOOKUP(LOG_RESEAU[[#This Row],[Cell_ID]],Registre_Maintenance!A:F,6,FALSE),"Non trouvé")</f>
        <v>ZTE</v>
      </c>
      <c r="J1616" s="6" t="str">
        <f t="shared" si="75"/>
        <v>OK</v>
      </c>
      <c r="K1616" s="6">
        <f t="shared" si="76"/>
        <v>3</v>
      </c>
      <c r="L1616" s="6">
        <f t="shared" si="77"/>
        <v>139</v>
      </c>
    </row>
    <row r="1617" spans="1:12" ht="15.75" x14ac:dyDescent="0.25">
      <c r="A1617" s="6" t="s">
        <v>1073</v>
      </c>
      <c r="B1617" s="7">
        <v>45218.038194444453</v>
      </c>
      <c r="C1617" s="6">
        <v>6</v>
      </c>
      <c r="D1617" s="6" t="s">
        <v>794</v>
      </c>
      <c r="E1617" s="8" t="str">
        <f>IFERROR(VLOOKUP(LOG_RESEAU[[#This Row],[Cell_ID]],Registre_Maintenance!A:B,2,FALSE),"Non trouvé")</f>
        <v>Kwango</v>
      </c>
      <c r="F1617" s="8">
        <f>IFERROR(VLOOKUP(LOG_RESEAU[[#This Row],[Cell_ID]],Registre_Maintenance!A:C,3,FALSE),"Non trouvé")</f>
        <v>-9.7712979999999998</v>
      </c>
      <c r="G1617" s="8">
        <f>IFERROR(VLOOKUP(LOG_RESEAU[[#This Row],[Cell_ID]],Registre_Maintenance!A:D,4,FALSE),"Non trouvé")</f>
        <v>19.827895999999999</v>
      </c>
      <c r="H1617" s="6" t="str">
        <f>IFERROR(VLOOKUP(LOG_RESEAU[[#This Row],[Cell_ID]],Registre_Maintenance!A:E,5,FALSE),"Non trouvé")</f>
        <v>3G</v>
      </c>
      <c r="I1617" s="6" t="str">
        <f>IFERROR(VLOOKUP(LOG_RESEAU[[#This Row],[Cell_ID]],Registre_Maintenance!A:F,6,FALSE),"Non trouvé")</f>
        <v>ZTE</v>
      </c>
      <c r="J1617" s="6" t="str">
        <f t="shared" si="75"/>
        <v>OK</v>
      </c>
      <c r="K1617" s="6">
        <f t="shared" si="76"/>
        <v>3</v>
      </c>
      <c r="L1617" s="6">
        <f t="shared" si="77"/>
        <v>139</v>
      </c>
    </row>
    <row r="1618" spans="1:12" ht="15.75" x14ac:dyDescent="0.25">
      <c r="A1618" s="6" t="s">
        <v>1139</v>
      </c>
      <c r="B1618" s="7">
        <v>45230.925000000003</v>
      </c>
      <c r="C1618" s="6">
        <v>90</v>
      </c>
      <c r="D1618" s="6" t="s">
        <v>794</v>
      </c>
      <c r="E1618" s="8" t="str">
        <f>IFERROR(VLOOKUP(LOG_RESEAU[[#This Row],[Cell_ID]],Registre_Maintenance!A:B,2,FALSE),"Non trouvé")</f>
        <v>Non trouvé</v>
      </c>
      <c r="F1618" s="8" t="str">
        <f>IFERROR(VLOOKUP(LOG_RESEAU[[#This Row],[Cell_ID]],Registre_Maintenance!A:C,3,FALSE),"Non trouvé")</f>
        <v>Non trouvé</v>
      </c>
      <c r="G1618" s="8" t="str">
        <f>IFERROR(VLOOKUP(LOG_RESEAU[[#This Row],[Cell_ID]],Registre_Maintenance!A:D,4,FALSE),"Non trouvé")</f>
        <v>Non trouvé</v>
      </c>
      <c r="H1618" s="6" t="str">
        <f>IFERROR(VLOOKUP(LOG_RESEAU[[#This Row],[Cell_ID]],Registre_Maintenance!A:E,5,FALSE),"Non trouvé")</f>
        <v>Non trouvé</v>
      </c>
      <c r="I1618" s="6" t="str">
        <f>IFERROR(VLOOKUP(LOG_RESEAU[[#This Row],[Cell_ID]],Registre_Maintenance!A:F,6,FALSE),"Non trouvé")</f>
        <v>Non trouvé</v>
      </c>
      <c r="J1618" s="6" t="str">
        <f t="shared" si="75"/>
        <v>Antenne inconnue</v>
      </c>
      <c r="K1618" s="6">
        <f t="shared" si="76"/>
        <v>1</v>
      </c>
      <c r="L1618" s="6">
        <f t="shared" si="77"/>
        <v>90</v>
      </c>
    </row>
    <row r="1619" spans="1:12" ht="15.75" x14ac:dyDescent="0.25">
      <c r="A1619" s="6" t="s">
        <v>1389</v>
      </c>
      <c r="B1619" s="7">
        <v>45210.5</v>
      </c>
      <c r="C1619" s="6">
        <v>30</v>
      </c>
      <c r="D1619" s="6" t="s">
        <v>794</v>
      </c>
      <c r="E1619" s="8" t="str">
        <f>IFERROR(VLOOKUP(LOG_RESEAU[[#This Row],[Cell_ID]],Registre_Maintenance!A:B,2,FALSE),"Non trouvé")</f>
        <v>Non trouvé</v>
      </c>
      <c r="F1619" s="8" t="str">
        <f>IFERROR(VLOOKUP(LOG_RESEAU[[#This Row],[Cell_ID]],Registre_Maintenance!A:C,3,FALSE),"Non trouvé")</f>
        <v>Non trouvé</v>
      </c>
      <c r="G1619" s="8" t="str">
        <f>IFERROR(VLOOKUP(LOG_RESEAU[[#This Row],[Cell_ID]],Registre_Maintenance!A:D,4,FALSE),"Non trouvé")</f>
        <v>Non trouvé</v>
      </c>
      <c r="H1619" s="6" t="str">
        <f>IFERROR(VLOOKUP(LOG_RESEAU[[#This Row],[Cell_ID]],Registre_Maintenance!A:E,5,FALSE),"Non trouvé")</f>
        <v>Non trouvé</v>
      </c>
      <c r="I1619" s="6" t="str">
        <f>IFERROR(VLOOKUP(LOG_RESEAU[[#This Row],[Cell_ID]],Registre_Maintenance!A:F,6,FALSE),"Non trouvé")</f>
        <v>Non trouvé</v>
      </c>
      <c r="J1619" s="6" t="str">
        <f t="shared" si="75"/>
        <v>Antenne inconnue</v>
      </c>
      <c r="K1619" s="6">
        <f t="shared" si="76"/>
        <v>1</v>
      </c>
      <c r="L1619" s="6">
        <f t="shared" si="77"/>
        <v>30</v>
      </c>
    </row>
    <row r="1620" spans="1:12" ht="15.75" x14ac:dyDescent="0.25">
      <c r="A1620" s="6" t="s">
        <v>1499</v>
      </c>
      <c r="B1620" s="7">
        <v>45210.924305555563</v>
      </c>
      <c r="C1620" s="6">
        <v>32</v>
      </c>
      <c r="D1620" s="6" t="s">
        <v>800</v>
      </c>
      <c r="E1620" s="8" t="str">
        <f>IFERROR(VLOOKUP(LOG_RESEAU[[#This Row],[Cell_ID]],Registre_Maintenance!A:B,2,FALSE),"Non trouvé")</f>
        <v>Non trouvé</v>
      </c>
      <c r="F1620" s="8" t="str">
        <f>IFERROR(VLOOKUP(LOG_RESEAU[[#This Row],[Cell_ID]],Registre_Maintenance!A:C,3,FALSE),"Non trouvé")</f>
        <v>Non trouvé</v>
      </c>
      <c r="G1620" s="8" t="str">
        <f>IFERROR(VLOOKUP(LOG_RESEAU[[#This Row],[Cell_ID]],Registre_Maintenance!A:D,4,FALSE),"Non trouvé")</f>
        <v>Non trouvé</v>
      </c>
      <c r="H1620" s="6" t="str">
        <f>IFERROR(VLOOKUP(LOG_RESEAU[[#This Row],[Cell_ID]],Registre_Maintenance!A:E,5,FALSE),"Non trouvé")</f>
        <v>Non trouvé</v>
      </c>
      <c r="I1620" s="6" t="str">
        <f>IFERROR(VLOOKUP(LOG_RESEAU[[#This Row],[Cell_ID]],Registre_Maintenance!A:F,6,FALSE),"Non trouvé")</f>
        <v>Non trouvé</v>
      </c>
      <c r="J1620" s="6" t="str">
        <f t="shared" si="75"/>
        <v>Antenne inconnue</v>
      </c>
      <c r="K1620" s="6">
        <f t="shared" si="76"/>
        <v>1</v>
      </c>
      <c r="L1620" s="6">
        <f t="shared" si="77"/>
        <v>32</v>
      </c>
    </row>
    <row r="1621" spans="1:12" ht="15.75" x14ac:dyDescent="0.25">
      <c r="A1621" s="6" t="s">
        <v>1369</v>
      </c>
      <c r="B1621" s="7">
        <v>45223.554166666669</v>
      </c>
      <c r="C1621" s="6">
        <v>86</v>
      </c>
      <c r="D1621" s="6" t="s">
        <v>800</v>
      </c>
      <c r="E1621" s="8" t="str">
        <f>IFERROR(VLOOKUP(LOG_RESEAU[[#This Row],[Cell_ID]],Registre_Maintenance!A:B,2,FALSE),"Non trouvé")</f>
        <v>Sud-Ubangi</v>
      </c>
      <c r="F1621" s="8">
        <f>IFERROR(VLOOKUP(LOG_RESEAU[[#This Row],[Cell_ID]],Registre_Maintenance!A:C,3,FALSE),"Non trouvé")</f>
        <v>-12.050063</v>
      </c>
      <c r="G1621" s="8">
        <f>IFERROR(VLOOKUP(LOG_RESEAU[[#This Row],[Cell_ID]],Registre_Maintenance!A:D,4,FALSE),"Non trouvé")</f>
        <v>26.636987999999999</v>
      </c>
      <c r="H1621" s="6" t="str">
        <f>IFERROR(VLOOKUP(LOG_RESEAU[[#This Row],[Cell_ID]],Registre_Maintenance!A:E,5,FALSE),"Non trouvé")</f>
        <v>3G</v>
      </c>
      <c r="I1621" s="6" t="str">
        <f>IFERROR(VLOOKUP(LOG_RESEAU[[#This Row],[Cell_ID]],Registre_Maintenance!A:F,6,FALSE),"Non trouvé")</f>
        <v>Nokia</v>
      </c>
      <c r="J1621" s="6" t="str">
        <f t="shared" si="75"/>
        <v>OK</v>
      </c>
      <c r="K1621" s="6">
        <f t="shared" si="76"/>
        <v>2</v>
      </c>
      <c r="L1621" s="6">
        <f t="shared" si="77"/>
        <v>128</v>
      </c>
    </row>
    <row r="1622" spans="1:12" ht="15.75" x14ac:dyDescent="0.25">
      <c r="A1622" s="6" t="s">
        <v>1369</v>
      </c>
      <c r="B1622" s="7">
        <v>45227.751388888893</v>
      </c>
      <c r="C1622" s="6">
        <v>42</v>
      </c>
      <c r="D1622" s="6" t="s">
        <v>794</v>
      </c>
      <c r="E1622" s="8" t="str">
        <f>IFERROR(VLOOKUP(LOG_RESEAU[[#This Row],[Cell_ID]],Registre_Maintenance!A:B,2,FALSE),"Non trouvé")</f>
        <v>Sud-Ubangi</v>
      </c>
      <c r="F1622" s="8">
        <f>IFERROR(VLOOKUP(LOG_RESEAU[[#This Row],[Cell_ID]],Registre_Maintenance!A:C,3,FALSE),"Non trouvé")</f>
        <v>-12.050063</v>
      </c>
      <c r="G1622" s="8">
        <f>IFERROR(VLOOKUP(LOG_RESEAU[[#This Row],[Cell_ID]],Registre_Maintenance!A:D,4,FALSE),"Non trouvé")</f>
        <v>26.636987999999999</v>
      </c>
      <c r="H1622" s="6" t="str">
        <f>IFERROR(VLOOKUP(LOG_RESEAU[[#This Row],[Cell_ID]],Registre_Maintenance!A:E,5,FALSE),"Non trouvé")</f>
        <v>3G</v>
      </c>
      <c r="I1622" s="6" t="str">
        <f>IFERROR(VLOOKUP(LOG_RESEAU[[#This Row],[Cell_ID]],Registre_Maintenance!A:F,6,FALSE),"Non trouvé")</f>
        <v>Nokia</v>
      </c>
      <c r="J1622" s="6" t="str">
        <f t="shared" si="75"/>
        <v>OK</v>
      </c>
      <c r="K1622" s="6">
        <f t="shared" si="76"/>
        <v>2</v>
      </c>
      <c r="L1622" s="6">
        <f t="shared" si="77"/>
        <v>128</v>
      </c>
    </row>
    <row r="1623" spans="1:12" ht="15.75" x14ac:dyDescent="0.25">
      <c r="A1623" s="6" t="s">
        <v>1358</v>
      </c>
      <c r="B1623" s="7">
        <v>45210.836805555547</v>
      </c>
      <c r="C1623" s="6">
        <v>118</v>
      </c>
      <c r="D1623" s="6" t="s">
        <v>794</v>
      </c>
      <c r="E1623" s="8" t="str">
        <f>IFERROR(VLOOKUP(LOG_RESEAU[[#This Row],[Cell_ID]],Registre_Maintenance!A:B,2,FALSE),"Non trouvé")</f>
        <v>Mongala</v>
      </c>
      <c r="F1623" s="8">
        <f>IFERROR(VLOOKUP(LOG_RESEAU[[#This Row],[Cell_ID]],Registre_Maintenance!A:C,3,FALSE),"Non trouvé")</f>
        <v>-11.407966</v>
      </c>
      <c r="G1623" s="8">
        <f>IFERROR(VLOOKUP(LOG_RESEAU[[#This Row],[Cell_ID]],Registre_Maintenance!A:D,4,FALSE),"Non trouvé")</f>
        <v>28.378274000000001</v>
      </c>
      <c r="H1623" s="6" t="str">
        <f>IFERROR(VLOOKUP(LOG_RESEAU[[#This Row],[Cell_ID]],Registre_Maintenance!A:E,5,FALSE),"Non trouvé")</f>
        <v>4G</v>
      </c>
      <c r="I1623" s="6" t="str">
        <f>IFERROR(VLOOKUP(LOG_RESEAU[[#This Row],[Cell_ID]],Registre_Maintenance!A:F,6,FALSE),"Non trouvé")</f>
        <v>ZTE</v>
      </c>
      <c r="J1623" s="6" t="str">
        <f t="shared" si="75"/>
        <v>OK</v>
      </c>
      <c r="K1623" s="6">
        <f t="shared" si="76"/>
        <v>2</v>
      </c>
      <c r="L1623" s="6">
        <f t="shared" si="77"/>
        <v>226</v>
      </c>
    </row>
    <row r="1624" spans="1:12" ht="15.75" x14ac:dyDescent="0.25">
      <c r="A1624" s="6" t="s">
        <v>1358</v>
      </c>
      <c r="B1624" s="7">
        <v>45214.160416666673</v>
      </c>
      <c r="C1624" s="6">
        <v>108</v>
      </c>
      <c r="D1624" s="6" t="s">
        <v>792</v>
      </c>
      <c r="E1624" s="8" t="str">
        <f>IFERROR(VLOOKUP(LOG_RESEAU[[#This Row],[Cell_ID]],Registre_Maintenance!A:B,2,FALSE),"Non trouvé")</f>
        <v>Mongala</v>
      </c>
      <c r="F1624" s="8">
        <f>IFERROR(VLOOKUP(LOG_RESEAU[[#This Row],[Cell_ID]],Registre_Maintenance!A:C,3,FALSE),"Non trouvé")</f>
        <v>-11.407966</v>
      </c>
      <c r="G1624" s="8">
        <f>IFERROR(VLOOKUP(LOG_RESEAU[[#This Row],[Cell_ID]],Registre_Maintenance!A:D,4,FALSE),"Non trouvé")</f>
        <v>28.378274000000001</v>
      </c>
      <c r="H1624" s="6" t="str">
        <f>IFERROR(VLOOKUP(LOG_RESEAU[[#This Row],[Cell_ID]],Registre_Maintenance!A:E,5,FALSE),"Non trouvé")</f>
        <v>4G</v>
      </c>
      <c r="I1624" s="6" t="str">
        <f>IFERROR(VLOOKUP(LOG_RESEAU[[#This Row],[Cell_ID]],Registre_Maintenance!A:F,6,FALSE),"Non trouvé")</f>
        <v>ZTE</v>
      </c>
      <c r="J1624" s="6" t="str">
        <f t="shared" si="75"/>
        <v>OK</v>
      </c>
      <c r="K1624" s="6">
        <f t="shared" si="76"/>
        <v>2</v>
      </c>
      <c r="L1624" s="6">
        <f t="shared" si="77"/>
        <v>226</v>
      </c>
    </row>
    <row r="1625" spans="1:12" ht="15.75" x14ac:dyDescent="0.25">
      <c r="A1625" s="6" t="s">
        <v>1176</v>
      </c>
      <c r="B1625" s="7">
        <v>45226.790277777778</v>
      </c>
      <c r="C1625" s="6">
        <v>68</v>
      </c>
      <c r="D1625" s="6" t="s">
        <v>792</v>
      </c>
      <c r="E1625" s="8" t="str">
        <f>IFERROR(VLOOKUP(LOG_RESEAU[[#This Row],[Cell_ID]],Registre_Maintenance!A:B,2,FALSE),"Non trouvé")</f>
        <v>Equateur</v>
      </c>
      <c r="F1625" s="8">
        <f>IFERROR(VLOOKUP(LOG_RESEAU[[#This Row],[Cell_ID]],Registre_Maintenance!A:C,3,FALSE),"Non trouvé")</f>
        <v>-0.37665700000000002</v>
      </c>
      <c r="G1625" s="8">
        <f>IFERROR(VLOOKUP(LOG_RESEAU[[#This Row],[Cell_ID]],Registre_Maintenance!A:D,4,FALSE),"Non trouvé")</f>
        <v>25.154807999999999</v>
      </c>
      <c r="H1625" s="6" t="str">
        <f>IFERROR(VLOOKUP(LOG_RESEAU[[#This Row],[Cell_ID]],Registre_Maintenance!A:E,5,FALSE),"Non trouvé")</f>
        <v>3G</v>
      </c>
      <c r="I1625" s="6" t="str">
        <f>IFERROR(VLOOKUP(LOG_RESEAU[[#This Row],[Cell_ID]],Registre_Maintenance!A:F,6,FALSE),"Non trouvé")</f>
        <v>Nokia</v>
      </c>
      <c r="J1625" s="6" t="str">
        <f t="shared" si="75"/>
        <v>OK</v>
      </c>
      <c r="K1625" s="6">
        <f t="shared" si="76"/>
        <v>1</v>
      </c>
      <c r="L1625" s="6">
        <f t="shared" si="77"/>
        <v>68</v>
      </c>
    </row>
    <row r="1626" spans="1:12" ht="15.75" x14ac:dyDescent="0.25">
      <c r="A1626" s="6" t="s">
        <v>1437</v>
      </c>
      <c r="B1626" s="7">
        <v>45202.645138888889</v>
      </c>
      <c r="C1626" s="6">
        <v>106</v>
      </c>
      <c r="D1626" s="6" t="s">
        <v>792</v>
      </c>
      <c r="E1626" s="8" t="str">
        <f>IFERROR(VLOOKUP(LOG_RESEAU[[#This Row],[Cell_ID]],Registre_Maintenance!A:B,2,FALSE),"Non trouvé")</f>
        <v>Kongo-Central</v>
      </c>
      <c r="F1626" s="8">
        <f>IFERROR(VLOOKUP(LOG_RESEAU[[#This Row],[Cell_ID]],Registre_Maintenance!A:C,3,FALSE),"Non trouvé")</f>
        <v>1.981107</v>
      </c>
      <c r="G1626" s="8">
        <f>IFERROR(VLOOKUP(LOG_RESEAU[[#This Row],[Cell_ID]],Registre_Maintenance!A:D,4,FALSE),"Non trouvé")</f>
        <v>23.932569000000001</v>
      </c>
      <c r="H1626" s="6" t="str">
        <f>IFERROR(VLOOKUP(LOG_RESEAU[[#This Row],[Cell_ID]],Registre_Maintenance!A:E,5,FALSE),"Non trouvé")</f>
        <v>3G</v>
      </c>
      <c r="I1626" s="6" t="str">
        <f>IFERROR(VLOOKUP(LOG_RESEAU[[#This Row],[Cell_ID]],Registre_Maintenance!A:F,6,FALSE),"Non trouvé")</f>
        <v>Nokia</v>
      </c>
      <c r="J1626" s="6" t="str">
        <f t="shared" si="75"/>
        <v>OK</v>
      </c>
      <c r="K1626" s="6">
        <f t="shared" si="76"/>
        <v>3</v>
      </c>
      <c r="L1626" s="6">
        <f t="shared" si="77"/>
        <v>295</v>
      </c>
    </row>
    <row r="1627" spans="1:12" ht="15.75" x14ac:dyDescent="0.25">
      <c r="A1627" s="6" t="s">
        <v>1437</v>
      </c>
      <c r="B1627" s="7">
        <v>45202.775694444441</v>
      </c>
      <c r="C1627" s="6">
        <v>72</v>
      </c>
      <c r="D1627" s="6" t="s">
        <v>794</v>
      </c>
      <c r="E1627" s="8" t="str">
        <f>IFERROR(VLOOKUP(LOG_RESEAU[[#This Row],[Cell_ID]],Registre_Maintenance!A:B,2,FALSE),"Non trouvé")</f>
        <v>Kongo-Central</v>
      </c>
      <c r="F1627" s="8">
        <f>IFERROR(VLOOKUP(LOG_RESEAU[[#This Row],[Cell_ID]],Registre_Maintenance!A:C,3,FALSE),"Non trouvé")</f>
        <v>1.981107</v>
      </c>
      <c r="G1627" s="8">
        <f>IFERROR(VLOOKUP(LOG_RESEAU[[#This Row],[Cell_ID]],Registre_Maintenance!A:D,4,FALSE),"Non trouvé")</f>
        <v>23.932569000000001</v>
      </c>
      <c r="H1627" s="6" t="str">
        <f>IFERROR(VLOOKUP(LOG_RESEAU[[#This Row],[Cell_ID]],Registre_Maintenance!A:E,5,FALSE),"Non trouvé")</f>
        <v>3G</v>
      </c>
      <c r="I1627" s="6" t="str">
        <f>IFERROR(VLOOKUP(LOG_RESEAU[[#This Row],[Cell_ID]],Registre_Maintenance!A:F,6,FALSE),"Non trouvé")</f>
        <v>Nokia</v>
      </c>
      <c r="J1627" s="6" t="str">
        <f t="shared" si="75"/>
        <v>OK</v>
      </c>
      <c r="K1627" s="6">
        <f t="shared" si="76"/>
        <v>3</v>
      </c>
      <c r="L1627" s="6">
        <f t="shared" si="77"/>
        <v>295</v>
      </c>
    </row>
    <row r="1628" spans="1:12" ht="15.75" x14ac:dyDescent="0.25">
      <c r="A1628" s="6" t="s">
        <v>1437</v>
      </c>
      <c r="B1628" s="7">
        <v>45230.039583333331</v>
      </c>
      <c r="C1628" s="6">
        <v>117</v>
      </c>
      <c r="D1628" s="6" t="s">
        <v>800</v>
      </c>
      <c r="E1628" s="8" t="str">
        <f>IFERROR(VLOOKUP(LOG_RESEAU[[#This Row],[Cell_ID]],Registre_Maintenance!A:B,2,FALSE),"Non trouvé")</f>
        <v>Kongo-Central</v>
      </c>
      <c r="F1628" s="8">
        <f>IFERROR(VLOOKUP(LOG_RESEAU[[#This Row],[Cell_ID]],Registre_Maintenance!A:C,3,FALSE),"Non trouvé")</f>
        <v>1.981107</v>
      </c>
      <c r="G1628" s="8">
        <f>IFERROR(VLOOKUP(LOG_RESEAU[[#This Row],[Cell_ID]],Registre_Maintenance!A:D,4,FALSE),"Non trouvé")</f>
        <v>23.932569000000001</v>
      </c>
      <c r="H1628" s="6" t="str">
        <f>IFERROR(VLOOKUP(LOG_RESEAU[[#This Row],[Cell_ID]],Registre_Maintenance!A:E,5,FALSE),"Non trouvé")</f>
        <v>3G</v>
      </c>
      <c r="I1628" s="6" t="str">
        <f>IFERROR(VLOOKUP(LOG_RESEAU[[#This Row],[Cell_ID]],Registre_Maintenance!A:F,6,FALSE),"Non trouvé")</f>
        <v>Nokia</v>
      </c>
      <c r="J1628" s="6" t="str">
        <f t="shared" si="75"/>
        <v>OK</v>
      </c>
      <c r="K1628" s="6">
        <f t="shared" si="76"/>
        <v>3</v>
      </c>
      <c r="L1628" s="6">
        <f t="shared" si="77"/>
        <v>295</v>
      </c>
    </row>
    <row r="1629" spans="1:12" ht="15.75" x14ac:dyDescent="0.25">
      <c r="A1629" s="6" t="s">
        <v>1120</v>
      </c>
      <c r="B1629" s="7">
        <v>45226.623611111107</v>
      </c>
      <c r="C1629" s="6">
        <v>98</v>
      </c>
      <c r="D1629" s="6" t="s">
        <v>792</v>
      </c>
      <c r="E1629" s="8" t="str">
        <f>IFERROR(VLOOKUP(LOG_RESEAU[[#This Row],[Cell_ID]],Registre_Maintenance!A:B,2,FALSE),"Non trouvé")</f>
        <v>Nord-Ubangi</v>
      </c>
      <c r="F1629" s="8">
        <f>IFERROR(VLOOKUP(LOG_RESEAU[[#This Row],[Cell_ID]],Registre_Maintenance!A:C,3,FALSE),"Non trouvé")</f>
        <v>-7.9987219999999999</v>
      </c>
      <c r="G1629" s="8">
        <f>IFERROR(VLOOKUP(LOG_RESEAU[[#This Row],[Cell_ID]],Registre_Maintenance!A:D,4,FALSE),"Non trouvé")</f>
        <v>12.779335</v>
      </c>
      <c r="H1629" s="6" t="str">
        <f>IFERROR(VLOOKUP(LOG_RESEAU[[#This Row],[Cell_ID]],Registre_Maintenance!A:E,5,FALSE),"Non trouvé")</f>
        <v>5G</v>
      </c>
      <c r="I1629" s="6" t="str">
        <f>IFERROR(VLOOKUP(LOG_RESEAU[[#This Row],[Cell_ID]],Registre_Maintenance!A:F,6,FALSE),"Non trouvé")</f>
        <v>Nokia</v>
      </c>
      <c r="J1629" s="6" t="str">
        <f t="shared" si="75"/>
        <v>OK</v>
      </c>
      <c r="K1629" s="6">
        <f t="shared" si="76"/>
        <v>3</v>
      </c>
      <c r="L1629" s="6">
        <f t="shared" si="77"/>
        <v>187</v>
      </c>
    </row>
    <row r="1630" spans="1:12" ht="15.75" x14ac:dyDescent="0.25">
      <c r="A1630" s="6" t="s">
        <v>1120</v>
      </c>
      <c r="B1630" s="7">
        <v>45225.317361111112</v>
      </c>
      <c r="C1630" s="6">
        <v>56</v>
      </c>
      <c r="D1630" s="6" t="s">
        <v>800</v>
      </c>
      <c r="E1630" s="8" t="str">
        <f>IFERROR(VLOOKUP(LOG_RESEAU[[#This Row],[Cell_ID]],Registre_Maintenance!A:B,2,FALSE),"Non trouvé")</f>
        <v>Nord-Ubangi</v>
      </c>
      <c r="F1630" s="8">
        <f>IFERROR(VLOOKUP(LOG_RESEAU[[#This Row],[Cell_ID]],Registre_Maintenance!A:C,3,FALSE),"Non trouvé")</f>
        <v>-7.9987219999999999</v>
      </c>
      <c r="G1630" s="8">
        <f>IFERROR(VLOOKUP(LOG_RESEAU[[#This Row],[Cell_ID]],Registre_Maintenance!A:D,4,FALSE),"Non trouvé")</f>
        <v>12.779335</v>
      </c>
      <c r="H1630" s="6" t="str">
        <f>IFERROR(VLOOKUP(LOG_RESEAU[[#This Row],[Cell_ID]],Registre_Maintenance!A:E,5,FALSE),"Non trouvé")</f>
        <v>5G</v>
      </c>
      <c r="I1630" s="6" t="str">
        <f>IFERROR(VLOOKUP(LOG_RESEAU[[#This Row],[Cell_ID]],Registre_Maintenance!A:F,6,FALSE),"Non trouvé")</f>
        <v>Nokia</v>
      </c>
      <c r="J1630" s="6" t="str">
        <f t="shared" si="75"/>
        <v>OK</v>
      </c>
      <c r="K1630" s="6">
        <f t="shared" si="76"/>
        <v>3</v>
      </c>
      <c r="L1630" s="6">
        <f t="shared" si="77"/>
        <v>187</v>
      </c>
    </row>
    <row r="1631" spans="1:12" ht="15.75" x14ac:dyDescent="0.25">
      <c r="A1631" s="6" t="s">
        <v>1498</v>
      </c>
      <c r="B1631" s="7">
        <v>45201.172222222223</v>
      </c>
      <c r="C1631" s="6">
        <v>33</v>
      </c>
      <c r="D1631" s="6" t="s">
        <v>792</v>
      </c>
      <c r="E1631" s="8" t="str">
        <f>IFERROR(VLOOKUP(LOG_RESEAU[[#This Row],[Cell_ID]],Registre_Maintenance!A:B,2,FALSE),"Non trouvé")</f>
        <v>Nord-Ubangi</v>
      </c>
      <c r="F1631" s="8">
        <f>IFERROR(VLOOKUP(LOG_RESEAU[[#This Row],[Cell_ID]],Registre_Maintenance!A:C,3,FALSE),"Non trouvé")</f>
        <v>-7.9987219999999999</v>
      </c>
      <c r="G1631" s="8">
        <f>IFERROR(VLOOKUP(LOG_RESEAU[[#This Row],[Cell_ID]],Registre_Maintenance!A:D,4,FALSE),"Non trouvé")</f>
        <v>12.779335</v>
      </c>
      <c r="H1631" s="6" t="str">
        <f>IFERROR(VLOOKUP(LOG_RESEAU[[#This Row],[Cell_ID]],Registre_Maintenance!A:E,5,FALSE),"Non trouvé")</f>
        <v>5G</v>
      </c>
      <c r="I1631" s="6" t="str">
        <f>IFERROR(VLOOKUP(LOG_RESEAU[[#This Row],[Cell_ID]],Registre_Maintenance!A:F,6,FALSE),"Non trouvé")</f>
        <v>Nokia</v>
      </c>
      <c r="J1631" s="6" t="str">
        <f t="shared" si="75"/>
        <v>OK</v>
      </c>
      <c r="K1631" s="6">
        <f t="shared" si="76"/>
        <v>3</v>
      </c>
      <c r="L1631" s="6">
        <f t="shared" si="77"/>
        <v>187</v>
      </c>
    </row>
    <row r="1632" spans="1:12" ht="15.75" x14ac:dyDescent="0.25">
      <c r="A1632" s="6" t="s">
        <v>1453</v>
      </c>
      <c r="B1632" s="7">
        <v>45221.861805555563</v>
      </c>
      <c r="C1632" s="6">
        <v>65</v>
      </c>
      <c r="D1632" s="6" t="s">
        <v>794</v>
      </c>
      <c r="E1632" s="8" t="str">
        <f>IFERROR(VLOOKUP(LOG_RESEAU[[#This Row],[Cell_ID]],Registre_Maintenance!A:B,2,FALSE),"Non trouvé")</f>
        <v>Tanganyika</v>
      </c>
      <c r="F1632" s="8">
        <f>IFERROR(VLOOKUP(LOG_RESEAU[[#This Row],[Cell_ID]],Registre_Maintenance!A:C,3,FALSE),"Non trouvé")</f>
        <v>-3.9148719999999999</v>
      </c>
      <c r="G1632" s="8">
        <f>IFERROR(VLOOKUP(LOG_RESEAU[[#This Row],[Cell_ID]],Registre_Maintenance!A:D,4,FALSE),"Non trouvé")</f>
        <v>12.260933</v>
      </c>
      <c r="H1632" s="6" t="str">
        <f>IFERROR(VLOOKUP(LOG_RESEAU[[#This Row],[Cell_ID]],Registre_Maintenance!A:E,5,FALSE),"Non trouvé")</f>
        <v>4G</v>
      </c>
      <c r="I1632" s="6" t="str">
        <f>IFERROR(VLOOKUP(LOG_RESEAU[[#This Row],[Cell_ID]],Registre_Maintenance!A:F,6,FALSE),"Non trouvé")</f>
        <v>Ericsson</v>
      </c>
      <c r="J1632" s="6" t="str">
        <f t="shared" si="75"/>
        <v>OK</v>
      </c>
      <c r="K1632" s="6">
        <f t="shared" si="76"/>
        <v>1</v>
      </c>
      <c r="L1632" s="6">
        <f t="shared" si="77"/>
        <v>65</v>
      </c>
    </row>
    <row r="1633" spans="1:12" ht="15.75" x14ac:dyDescent="0.25">
      <c r="A1633" s="6" t="s">
        <v>1068</v>
      </c>
      <c r="B1633" s="7">
        <v>45206.384027777778</v>
      </c>
      <c r="C1633" s="6">
        <v>109</v>
      </c>
      <c r="D1633" s="6" t="s">
        <v>792</v>
      </c>
      <c r="E1633" s="8" t="str">
        <f>IFERROR(VLOOKUP(LOG_RESEAU[[#This Row],[Cell_ID]],Registre_Maintenance!A:B,2,FALSE),"Non trouvé")</f>
        <v>Non trouvé</v>
      </c>
      <c r="F1633" s="8" t="str">
        <f>IFERROR(VLOOKUP(LOG_RESEAU[[#This Row],[Cell_ID]],Registre_Maintenance!A:C,3,FALSE),"Non trouvé")</f>
        <v>Non trouvé</v>
      </c>
      <c r="G1633" s="8" t="str">
        <f>IFERROR(VLOOKUP(LOG_RESEAU[[#This Row],[Cell_ID]],Registre_Maintenance!A:D,4,FALSE),"Non trouvé")</f>
        <v>Non trouvé</v>
      </c>
      <c r="H1633" s="6" t="str">
        <f>IFERROR(VLOOKUP(LOG_RESEAU[[#This Row],[Cell_ID]],Registre_Maintenance!A:E,5,FALSE),"Non trouvé")</f>
        <v>Non trouvé</v>
      </c>
      <c r="I1633" s="6" t="str">
        <f>IFERROR(VLOOKUP(LOG_RESEAU[[#This Row],[Cell_ID]],Registre_Maintenance!A:F,6,FALSE),"Non trouvé")</f>
        <v>Non trouvé</v>
      </c>
      <c r="J1633" s="6" t="str">
        <f t="shared" si="75"/>
        <v>Antenne inconnue</v>
      </c>
      <c r="K1633" s="6">
        <f t="shared" si="76"/>
        <v>1</v>
      </c>
      <c r="L1633" s="6">
        <f t="shared" si="77"/>
        <v>109</v>
      </c>
    </row>
    <row r="1634" spans="1:12" ht="15.75" x14ac:dyDescent="0.25">
      <c r="A1634" s="6" t="s">
        <v>1536</v>
      </c>
      <c r="B1634" s="7">
        <v>45226.072222222218</v>
      </c>
      <c r="C1634" s="6">
        <v>29</v>
      </c>
      <c r="D1634" s="6" t="s">
        <v>792</v>
      </c>
      <c r="E1634" s="8" t="str">
        <f>IFERROR(VLOOKUP(LOG_RESEAU[[#This Row],[Cell_ID]],Registre_Maintenance!A:B,2,FALSE),"Non trouvé")</f>
        <v>Non trouvé</v>
      </c>
      <c r="F1634" s="8" t="str">
        <f>IFERROR(VLOOKUP(LOG_RESEAU[[#This Row],[Cell_ID]],Registre_Maintenance!A:C,3,FALSE),"Non trouvé")</f>
        <v>Non trouvé</v>
      </c>
      <c r="G1634" s="8" t="str">
        <f>IFERROR(VLOOKUP(LOG_RESEAU[[#This Row],[Cell_ID]],Registre_Maintenance!A:D,4,FALSE),"Non trouvé")</f>
        <v>Non trouvé</v>
      </c>
      <c r="H1634" s="6" t="str">
        <f>IFERROR(VLOOKUP(LOG_RESEAU[[#This Row],[Cell_ID]],Registre_Maintenance!A:E,5,FALSE),"Non trouvé")</f>
        <v>Non trouvé</v>
      </c>
      <c r="I1634" s="6" t="str">
        <f>IFERROR(VLOOKUP(LOG_RESEAU[[#This Row],[Cell_ID]],Registre_Maintenance!A:F,6,FALSE),"Non trouvé")</f>
        <v>Non trouvé</v>
      </c>
      <c r="J1634" s="6" t="str">
        <f t="shared" si="75"/>
        <v>Antenne inconnue</v>
      </c>
      <c r="K1634" s="6">
        <f t="shared" si="76"/>
        <v>1</v>
      </c>
      <c r="L1634" s="6">
        <f t="shared" si="77"/>
        <v>29</v>
      </c>
    </row>
    <row r="1635" spans="1:12" ht="15.75" x14ac:dyDescent="0.25">
      <c r="A1635" s="6" t="s">
        <v>1385</v>
      </c>
      <c r="B1635" s="7">
        <v>45204.09097222222</v>
      </c>
      <c r="C1635" s="6">
        <v>81</v>
      </c>
      <c r="D1635" s="6" t="s">
        <v>794</v>
      </c>
      <c r="E1635" s="8" t="str">
        <f>IFERROR(VLOOKUP(LOG_RESEAU[[#This Row],[Cell_ID]],Registre_Maintenance!A:B,2,FALSE),"Non trouvé")</f>
        <v>Non trouvé</v>
      </c>
      <c r="F1635" s="8" t="str">
        <f>IFERROR(VLOOKUP(LOG_RESEAU[[#This Row],[Cell_ID]],Registre_Maintenance!A:C,3,FALSE),"Non trouvé")</f>
        <v>Non trouvé</v>
      </c>
      <c r="G1635" s="8" t="str">
        <f>IFERROR(VLOOKUP(LOG_RESEAU[[#This Row],[Cell_ID]],Registre_Maintenance!A:D,4,FALSE),"Non trouvé")</f>
        <v>Non trouvé</v>
      </c>
      <c r="H1635" s="6" t="str">
        <f>IFERROR(VLOOKUP(LOG_RESEAU[[#This Row],[Cell_ID]],Registre_Maintenance!A:E,5,FALSE),"Non trouvé")</f>
        <v>Non trouvé</v>
      </c>
      <c r="I1635" s="6" t="str">
        <f>IFERROR(VLOOKUP(LOG_RESEAU[[#This Row],[Cell_ID]],Registre_Maintenance!A:F,6,FALSE),"Non trouvé")</f>
        <v>Non trouvé</v>
      </c>
      <c r="J1635" s="6" t="str">
        <f t="shared" si="75"/>
        <v>Antenne inconnue</v>
      </c>
      <c r="K1635" s="6">
        <f t="shared" si="76"/>
        <v>1</v>
      </c>
      <c r="L1635" s="6">
        <f t="shared" si="77"/>
        <v>81</v>
      </c>
    </row>
    <row r="1636" spans="1:12" ht="15.75" x14ac:dyDescent="0.25">
      <c r="A1636" s="6" t="s">
        <v>1180</v>
      </c>
      <c r="B1636" s="7">
        <v>45230.911805555559</v>
      </c>
      <c r="C1636" s="6">
        <v>16</v>
      </c>
      <c r="D1636" s="6" t="s">
        <v>800</v>
      </c>
      <c r="E1636" s="8" t="str">
        <f>IFERROR(VLOOKUP(LOG_RESEAU[[#This Row],[Cell_ID]],Registre_Maintenance!A:B,2,FALSE),"Non trouvé")</f>
        <v>Non trouvé</v>
      </c>
      <c r="F1636" s="8" t="str">
        <f>IFERROR(VLOOKUP(LOG_RESEAU[[#This Row],[Cell_ID]],Registre_Maintenance!A:C,3,FALSE),"Non trouvé")</f>
        <v>Non trouvé</v>
      </c>
      <c r="G1636" s="8" t="str">
        <f>IFERROR(VLOOKUP(LOG_RESEAU[[#This Row],[Cell_ID]],Registre_Maintenance!A:D,4,FALSE),"Non trouvé")</f>
        <v>Non trouvé</v>
      </c>
      <c r="H1636" s="6" t="str">
        <f>IFERROR(VLOOKUP(LOG_RESEAU[[#This Row],[Cell_ID]],Registre_Maintenance!A:E,5,FALSE),"Non trouvé")</f>
        <v>Non trouvé</v>
      </c>
      <c r="I1636" s="6" t="str">
        <f>IFERROR(VLOOKUP(LOG_RESEAU[[#This Row],[Cell_ID]],Registre_Maintenance!A:F,6,FALSE),"Non trouvé")</f>
        <v>Non trouvé</v>
      </c>
      <c r="J1636" s="6" t="str">
        <f t="shared" si="75"/>
        <v>Antenne inconnue</v>
      </c>
      <c r="K1636" s="6">
        <f t="shared" si="76"/>
        <v>3</v>
      </c>
      <c r="L1636" s="6">
        <f t="shared" si="77"/>
        <v>96</v>
      </c>
    </row>
    <row r="1637" spans="1:12" ht="15.75" x14ac:dyDescent="0.25">
      <c r="A1637" s="6" t="s">
        <v>1180</v>
      </c>
      <c r="B1637" s="7">
        <v>45221.143055555563</v>
      </c>
      <c r="C1637" s="6">
        <v>43</v>
      </c>
      <c r="D1637" s="6" t="s">
        <v>794</v>
      </c>
      <c r="E1637" s="8" t="str">
        <f>IFERROR(VLOOKUP(LOG_RESEAU[[#This Row],[Cell_ID]],Registre_Maintenance!A:B,2,FALSE),"Non trouvé")</f>
        <v>Non trouvé</v>
      </c>
      <c r="F1637" s="8" t="str">
        <f>IFERROR(VLOOKUP(LOG_RESEAU[[#This Row],[Cell_ID]],Registre_Maintenance!A:C,3,FALSE),"Non trouvé")</f>
        <v>Non trouvé</v>
      </c>
      <c r="G1637" s="8" t="str">
        <f>IFERROR(VLOOKUP(LOG_RESEAU[[#This Row],[Cell_ID]],Registre_Maintenance!A:D,4,FALSE),"Non trouvé")</f>
        <v>Non trouvé</v>
      </c>
      <c r="H1637" s="6" t="str">
        <f>IFERROR(VLOOKUP(LOG_RESEAU[[#This Row],[Cell_ID]],Registre_Maintenance!A:E,5,FALSE),"Non trouvé")</f>
        <v>Non trouvé</v>
      </c>
      <c r="I1637" s="6" t="str">
        <f>IFERROR(VLOOKUP(LOG_RESEAU[[#This Row],[Cell_ID]],Registre_Maintenance!A:F,6,FALSE),"Non trouvé")</f>
        <v>Non trouvé</v>
      </c>
      <c r="J1637" s="6" t="str">
        <f t="shared" si="75"/>
        <v>Antenne inconnue</v>
      </c>
      <c r="K1637" s="6">
        <f t="shared" si="76"/>
        <v>3</v>
      </c>
      <c r="L1637" s="6">
        <f t="shared" si="77"/>
        <v>96</v>
      </c>
    </row>
    <row r="1638" spans="1:12" ht="15.75" x14ac:dyDescent="0.25">
      <c r="A1638" s="6" t="s">
        <v>1180</v>
      </c>
      <c r="B1638" s="7">
        <v>45228.980555555558</v>
      </c>
      <c r="C1638" s="6">
        <v>37</v>
      </c>
      <c r="D1638" s="6" t="s">
        <v>800</v>
      </c>
      <c r="E1638" s="8" t="str">
        <f>IFERROR(VLOOKUP(LOG_RESEAU[[#This Row],[Cell_ID]],Registre_Maintenance!A:B,2,FALSE),"Non trouvé")</f>
        <v>Non trouvé</v>
      </c>
      <c r="F1638" s="8" t="str">
        <f>IFERROR(VLOOKUP(LOG_RESEAU[[#This Row],[Cell_ID]],Registre_Maintenance!A:C,3,FALSE),"Non trouvé")</f>
        <v>Non trouvé</v>
      </c>
      <c r="G1638" s="8" t="str">
        <f>IFERROR(VLOOKUP(LOG_RESEAU[[#This Row],[Cell_ID]],Registre_Maintenance!A:D,4,FALSE),"Non trouvé")</f>
        <v>Non trouvé</v>
      </c>
      <c r="H1638" s="6" t="str">
        <f>IFERROR(VLOOKUP(LOG_RESEAU[[#This Row],[Cell_ID]],Registre_Maintenance!A:E,5,FALSE),"Non trouvé")</f>
        <v>Non trouvé</v>
      </c>
      <c r="I1638" s="6" t="str">
        <f>IFERROR(VLOOKUP(LOG_RESEAU[[#This Row],[Cell_ID]],Registre_Maintenance!A:F,6,FALSE),"Non trouvé")</f>
        <v>Non trouvé</v>
      </c>
      <c r="J1638" s="6" t="str">
        <f t="shared" si="75"/>
        <v>Antenne inconnue</v>
      </c>
      <c r="K1638" s="6">
        <f t="shared" si="76"/>
        <v>3</v>
      </c>
      <c r="L1638" s="6">
        <f t="shared" si="77"/>
        <v>96</v>
      </c>
    </row>
    <row r="1639" spans="1:12" ht="15.75" x14ac:dyDescent="0.25">
      <c r="A1639" s="6" t="s">
        <v>1132</v>
      </c>
      <c r="B1639" s="7">
        <v>45215.879861111112</v>
      </c>
      <c r="C1639" s="6">
        <v>16</v>
      </c>
      <c r="D1639" s="6" t="s">
        <v>800</v>
      </c>
      <c r="E1639" s="8" t="str">
        <f>IFERROR(VLOOKUP(LOG_RESEAU[[#This Row],[Cell_ID]],Registre_Maintenance!A:B,2,FALSE),"Non trouvé")</f>
        <v>Non trouvé</v>
      </c>
      <c r="F1639" s="8" t="str">
        <f>IFERROR(VLOOKUP(LOG_RESEAU[[#This Row],[Cell_ID]],Registre_Maintenance!A:C,3,FALSE),"Non trouvé")</f>
        <v>Non trouvé</v>
      </c>
      <c r="G1639" s="8" t="str">
        <f>IFERROR(VLOOKUP(LOG_RESEAU[[#This Row],[Cell_ID]],Registre_Maintenance!A:D,4,FALSE),"Non trouvé")</f>
        <v>Non trouvé</v>
      </c>
      <c r="H1639" s="6" t="str">
        <f>IFERROR(VLOOKUP(LOG_RESEAU[[#This Row],[Cell_ID]],Registre_Maintenance!A:E,5,FALSE),"Non trouvé")</f>
        <v>Non trouvé</v>
      </c>
      <c r="I1639" s="6" t="str">
        <f>IFERROR(VLOOKUP(LOG_RESEAU[[#This Row],[Cell_ID]],Registre_Maintenance!A:F,6,FALSE),"Non trouvé")</f>
        <v>Non trouvé</v>
      </c>
      <c r="J1639" s="6" t="str">
        <f t="shared" si="75"/>
        <v>Antenne inconnue</v>
      </c>
      <c r="K1639" s="6">
        <f t="shared" si="76"/>
        <v>4</v>
      </c>
      <c r="L1639" s="6">
        <f t="shared" si="77"/>
        <v>208</v>
      </c>
    </row>
    <row r="1640" spans="1:12" ht="15.75" x14ac:dyDescent="0.25">
      <c r="A1640" s="6" t="s">
        <v>1132</v>
      </c>
      <c r="B1640" s="7">
        <v>45216.459027777782</v>
      </c>
      <c r="C1640" s="6">
        <v>100</v>
      </c>
      <c r="D1640" s="6" t="s">
        <v>800</v>
      </c>
      <c r="E1640" s="8" t="str">
        <f>IFERROR(VLOOKUP(LOG_RESEAU[[#This Row],[Cell_ID]],Registre_Maintenance!A:B,2,FALSE),"Non trouvé")</f>
        <v>Non trouvé</v>
      </c>
      <c r="F1640" s="8" t="str">
        <f>IFERROR(VLOOKUP(LOG_RESEAU[[#This Row],[Cell_ID]],Registre_Maintenance!A:C,3,FALSE),"Non trouvé")</f>
        <v>Non trouvé</v>
      </c>
      <c r="G1640" s="8" t="str">
        <f>IFERROR(VLOOKUP(LOG_RESEAU[[#This Row],[Cell_ID]],Registre_Maintenance!A:D,4,FALSE),"Non trouvé")</f>
        <v>Non trouvé</v>
      </c>
      <c r="H1640" s="6" t="str">
        <f>IFERROR(VLOOKUP(LOG_RESEAU[[#This Row],[Cell_ID]],Registre_Maintenance!A:E,5,FALSE),"Non trouvé")</f>
        <v>Non trouvé</v>
      </c>
      <c r="I1640" s="6" t="str">
        <f>IFERROR(VLOOKUP(LOG_RESEAU[[#This Row],[Cell_ID]],Registre_Maintenance!A:F,6,FALSE),"Non trouvé")</f>
        <v>Non trouvé</v>
      </c>
      <c r="J1640" s="6" t="str">
        <f t="shared" si="75"/>
        <v>Antenne inconnue</v>
      </c>
      <c r="K1640" s="6">
        <f t="shared" si="76"/>
        <v>4</v>
      </c>
      <c r="L1640" s="6">
        <f t="shared" si="77"/>
        <v>208</v>
      </c>
    </row>
    <row r="1641" spans="1:12" ht="15.75" x14ac:dyDescent="0.25">
      <c r="A1641" s="6" t="s">
        <v>1132</v>
      </c>
      <c r="B1641" s="7">
        <v>45205.640277777777</v>
      </c>
      <c r="C1641" s="6">
        <v>52</v>
      </c>
      <c r="D1641" s="6" t="s">
        <v>794</v>
      </c>
      <c r="E1641" s="8" t="str">
        <f>IFERROR(VLOOKUP(LOG_RESEAU[[#This Row],[Cell_ID]],Registre_Maintenance!A:B,2,FALSE),"Non trouvé")</f>
        <v>Non trouvé</v>
      </c>
      <c r="F1641" s="8" t="str">
        <f>IFERROR(VLOOKUP(LOG_RESEAU[[#This Row],[Cell_ID]],Registre_Maintenance!A:C,3,FALSE),"Non trouvé")</f>
        <v>Non trouvé</v>
      </c>
      <c r="G1641" s="8" t="str">
        <f>IFERROR(VLOOKUP(LOG_RESEAU[[#This Row],[Cell_ID]],Registre_Maintenance!A:D,4,FALSE),"Non trouvé")</f>
        <v>Non trouvé</v>
      </c>
      <c r="H1641" s="6" t="str">
        <f>IFERROR(VLOOKUP(LOG_RESEAU[[#This Row],[Cell_ID]],Registre_Maintenance!A:E,5,FALSE),"Non trouvé")</f>
        <v>Non trouvé</v>
      </c>
      <c r="I1641" s="6" t="str">
        <f>IFERROR(VLOOKUP(LOG_RESEAU[[#This Row],[Cell_ID]],Registre_Maintenance!A:F,6,FALSE),"Non trouvé")</f>
        <v>Non trouvé</v>
      </c>
      <c r="J1641" s="6" t="str">
        <f t="shared" si="75"/>
        <v>Antenne inconnue</v>
      </c>
      <c r="K1641" s="6">
        <f t="shared" si="76"/>
        <v>4</v>
      </c>
      <c r="L1641" s="6">
        <f t="shared" si="77"/>
        <v>208</v>
      </c>
    </row>
    <row r="1642" spans="1:12" ht="15.75" x14ac:dyDescent="0.25">
      <c r="A1642" s="6" t="s">
        <v>1132</v>
      </c>
      <c r="B1642" s="7">
        <v>45211.925000000003</v>
      </c>
      <c r="C1642" s="6">
        <v>40</v>
      </c>
      <c r="D1642" s="6" t="s">
        <v>792</v>
      </c>
      <c r="E1642" s="8" t="str">
        <f>IFERROR(VLOOKUP(LOG_RESEAU[[#This Row],[Cell_ID]],Registre_Maintenance!A:B,2,FALSE),"Non trouvé")</f>
        <v>Non trouvé</v>
      </c>
      <c r="F1642" s="8" t="str">
        <f>IFERROR(VLOOKUP(LOG_RESEAU[[#This Row],[Cell_ID]],Registre_Maintenance!A:C,3,FALSE),"Non trouvé")</f>
        <v>Non trouvé</v>
      </c>
      <c r="G1642" s="8" t="str">
        <f>IFERROR(VLOOKUP(LOG_RESEAU[[#This Row],[Cell_ID]],Registre_Maintenance!A:D,4,FALSE),"Non trouvé")</f>
        <v>Non trouvé</v>
      </c>
      <c r="H1642" s="6" t="str">
        <f>IFERROR(VLOOKUP(LOG_RESEAU[[#This Row],[Cell_ID]],Registre_Maintenance!A:E,5,FALSE),"Non trouvé")</f>
        <v>Non trouvé</v>
      </c>
      <c r="I1642" s="6" t="str">
        <f>IFERROR(VLOOKUP(LOG_RESEAU[[#This Row],[Cell_ID]],Registre_Maintenance!A:F,6,FALSE),"Non trouvé")</f>
        <v>Non trouvé</v>
      </c>
      <c r="J1642" s="6" t="str">
        <f t="shared" si="75"/>
        <v>Antenne inconnue</v>
      </c>
      <c r="K1642" s="6">
        <f t="shared" si="76"/>
        <v>4</v>
      </c>
      <c r="L1642" s="6">
        <f t="shared" si="77"/>
        <v>208</v>
      </c>
    </row>
    <row r="1643" spans="1:12" ht="15.75" x14ac:dyDescent="0.25">
      <c r="A1643" s="6" t="s">
        <v>1211</v>
      </c>
      <c r="B1643" s="7">
        <v>45221.988888888889</v>
      </c>
      <c r="C1643" s="6">
        <v>72</v>
      </c>
      <c r="D1643" s="6" t="s">
        <v>800</v>
      </c>
      <c r="E1643" s="8" t="str">
        <f>IFERROR(VLOOKUP(LOG_RESEAU[[#This Row],[Cell_ID]],Registre_Maintenance!A:B,2,FALSE),"Non trouvé")</f>
        <v>Non trouvé</v>
      </c>
      <c r="F1643" s="8" t="str">
        <f>IFERROR(VLOOKUP(LOG_RESEAU[[#This Row],[Cell_ID]],Registre_Maintenance!A:C,3,FALSE),"Non trouvé")</f>
        <v>Non trouvé</v>
      </c>
      <c r="G1643" s="8" t="str">
        <f>IFERROR(VLOOKUP(LOG_RESEAU[[#This Row],[Cell_ID]],Registre_Maintenance!A:D,4,FALSE),"Non trouvé")</f>
        <v>Non trouvé</v>
      </c>
      <c r="H1643" s="6" t="str">
        <f>IFERROR(VLOOKUP(LOG_RESEAU[[#This Row],[Cell_ID]],Registre_Maintenance!A:E,5,FALSE),"Non trouvé")</f>
        <v>Non trouvé</v>
      </c>
      <c r="I1643" s="6" t="str">
        <f>IFERROR(VLOOKUP(LOG_RESEAU[[#This Row],[Cell_ID]],Registre_Maintenance!A:F,6,FALSE),"Non trouvé")</f>
        <v>Non trouvé</v>
      </c>
      <c r="J1643" s="6" t="str">
        <f t="shared" si="75"/>
        <v>Antenne inconnue</v>
      </c>
      <c r="K1643" s="6">
        <f t="shared" si="76"/>
        <v>2</v>
      </c>
      <c r="L1643" s="6">
        <f t="shared" si="77"/>
        <v>170</v>
      </c>
    </row>
    <row r="1644" spans="1:12" ht="15.75" x14ac:dyDescent="0.25">
      <c r="A1644" s="6" t="s">
        <v>1211</v>
      </c>
      <c r="B1644" s="7">
        <v>45201.427083333343</v>
      </c>
      <c r="C1644" s="6">
        <v>98</v>
      </c>
      <c r="D1644" s="6" t="s">
        <v>800</v>
      </c>
      <c r="E1644" s="8" t="str">
        <f>IFERROR(VLOOKUP(LOG_RESEAU[[#This Row],[Cell_ID]],Registre_Maintenance!A:B,2,FALSE),"Non trouvé")</f>
        <v>Non trouvé</v>
      </c>
      <c r="F1644" s="8" t="str">
        <f>IFERROR(VLOOKUP(LOG_RESEAU[[#This Row],[Cell_ID]],Registre_Maintenance!A:C,3,FALSE),"Non trouvé")</f>
        <v>Non trouvé</v>
      </c>
      <c r="G1644" s="8" t="str">
        <f>IFERROR(VLOOKUP(LOG_RESEAU[[#This Row],[Cell_ID]],Registre_Maintenance!A:D,4,FALSE),"Non trouvé")</f>
        <v>Non trouvé</v>
      </c>
      <c r="H1644" s="6" t="str">
        <f>IFERROR(VLOOKUP(LOG_RESEAU[[#This Row],[Cell_ID]],Registre_Maintenance!A:E,5,FALSE),"Non trouvé")</f>
        <v>Non trouvé</v>
      </c>
      <c r="I1644" s="6" t="str">
        <f>IFERROR(VLOOKUP(LOG_RESEAU[[#This Row],[Cell_ID]],Registre_Maintenance!A:F,6,FALSE),"Non trouvé")</f>
        <v>Non trouvé</v>
      </c>
      <c r="J1644" s="6" t="str">
        <f t="shared" si="75"/>
        <v>Antenne inconnue</v>
      </c>
      <c r="K1644" s="6">
        <f t="shared" si="76"/>
        <v>2</v>
      </c>
      <c r="L1644" s="6">
        <f t="shared" si="77"/>
        <v>170</v>
      </c>
    </row>
    <row r="1645" spans="1:12" ht="15.75" x14ac:dyDescent="0.25">
      <c r="A1645" s="6" t="s">
        <v>1115</v>
      </c>
      <c r="B1645" s="7">
        <v>45201.3125</v>
      </c>
      <c r="C1645" s="6">
        <v>90</v>
      </c>
      <c r="D1645" s="6" t="s">
        <v>800</v>
      </c>
      <c r="E1645" s="8" t="str">
        <f>IFERROR(VLOOKUP(LOG_RESEAU[[#This Row],[Cell_ID]],Registre_Maintenance!A:B,2,FALSE),"Non trouvé")</f>
        <v>Kasai-Oriental</v>
      </c>
      <c r="F1645" s="8">
        <f>IFERROR(VLOOKUP(LOG_RESEAU[[#This Row],[Cell_ID]],Registre_Maintenance!A:C,3,FALSE),"Non trouvé")</f>
        <v>-12.333232000000001</v>
      </c>
      <c r="G1645" s="8">
        <f>IFERROR(VLOOKUP(LOG_RESEAU[[#This Row],[Cell_ID]],Registre_Maintenance!A:D,4,FALSE),"Non trouvé")</f>
        <v>25.229620000000001</v>
      </c>
      <c r="H1645" s="6" t="str">
        <f>IFERROR(VLOOKUP(LOG_RESEAU[[#This Row],[Cell_ID]],Registre_Maintenance!A:E,5,FALSE),"Non trouvé")</f>
        <v>5G</v>
      </c>
      <c r="I1645" s="6" t="str">
        <f>IFERROR(VLOOKUP(LOG_RESEAU[[#This Row],[Cell_ID]],Registre_Maintenance!A:F,6,FALSE),"Non trouvé")</f>
        <v>Nokia</v>
      </c>
      <c r="J1645" s="6" t="str">
        <f t="shared" si="75"/>
        <v>OK</v>
      </c>
      <c r="K1645" s="6">
        <f t="shared" si="76"/>
        <v>1</v>
      </c>
      <c r="L1645" s="6">
        <f t="shared" si="77"/>
        <v>90</v>
      </c>
    </row>
    <row r="1646" spans="1:12" ht="15.75" x14ac:dyDescent="0.25">
      <c r="A1646" s="6" t="s">
        <v>1479</v>
      </c>
      <c r="B1646" s="7">
        <v>45203.425694444442</v>
      </c>
      <c r="C1646" s="6">
        <v>62</v>
      </c>
      <c r="D1646" s="6" t="s">
        <v>794</v>
      </c>
      <c r="E1646" s="8" t="str">
        <f>IFERROR(VLOOKUP(LOG_RESEAU[[#This Row],[Cell_ID]],Registre_Maintenance!A:B,2,FALSE),"Non trouvé")</f>
        <v>Non trouvé</v>
      </c>
      <c r="F1646" s="8" t="str">
        <f>IFERROR(VLOOKUP(LOG_RESEAU[[#This Row],[Cell_ID]],Registre_Maintenance!A:C,3,FALSE),"Non trouvé")</f>
        <v>Non trouvé</v>
      </c>
      <c r="G1646" s="8" t="str">
        <f>IFERROR(VLOOKUP(LOG_RESEAU[[#This Row],[Cell_ID]],Registre_Maintenance!A:D,4,FALSE),"Non trouvé")</f>
        <v>Non trouvé</v>
      </c>
      <c r="H1646" s="6" t="str">
        <f>IFERROR(VLOOKUP(LOG_RESEAU[[#This Row],[Cell_ID]],Registre_Maintenance!A:E,5,FALSE),"Non trouvé")</f>
        <v>Non trouvé</v>
      </c>
      <c r="I1646" s="6" t="str">
        <f>IFERROR(VLOOKUP(LOG_RESEAU[[#This Row],[Cell_ID]],Registre_Maintenance!A:F,6,FALSE),"Non trouvé")</f>
        <v>Non trouvé</v>
      </c>
      <c r="J1646" s="6" t="str">
        <f t="shared" si="75"/>
        <v>Antenne inconnue</v>
      </c>
      <c r="K1646" s="6">
        <f t="shared" si="76"/>
        <v>1</v>
      </c>
      <c r="L1646" s="6">
        <f t="shared" si="77"/>
        <v>62</v>
      </c>
    </row>
    <row r="1647" spans="1:12" ht="15.75" x14ac:dyDescent="0.25">
      <c r="A1647" s="6" t="s">
        <v>1319</v>
      </c>
      <c r="B1647" s="7">
        <v>45215.015972222223</v>
      </c>
      <c r="C1647" s="6">
        <v>74</v>
      </c>
      <c r="D1647" s="6" t="s">
        <v>794</v>
      </c>
      <c r="E1647" s="8" t="str">
        <f>IFERROR(VLOOKUP(LOG_RESEAU[[#This Row],[Cell_ID]],Registre_Maintenance!A:B,2,FALSE),"Non trouvé")</f>
        <v>Kasai-Central</v>
      </c>
      <c r="F1647" s="8">
        <f>IFERROR(VLOOKUP(LOG_RESEAU[[#This Row],[Cell_ID]],Registre_Maintenance!A:C,3,FALSE),"Non trouvé")</f>
        <v>-5.8352820000000003</v>
      </c>
      <c r="G1647" s="8">
        <f>IFERROR(VLOOKUP(LOG_RESEAU[[#This Row],[Cell_ID]],Registre_Maintenance!A:D,4,FALSE),"Non trouvé")</f>
        <v>26.603978000000001</v>
      </c>
      <c r="H1647" s="6" t="str">
        <f>IFERROR(VLOOKUP(LOG_RESEAU[[#This Row],[Cell_ID]],Registre_Maintenance!A:E,5,FALSE),"Non trouvé")</f>
        <v>4G</v>
      </c>
      <c r="I1647" s="6" t="str">
        <f>IFERROR(VLOOKUP(LOG_RESEAU[[#This Row],[Cell_ID]],Registre_Maintenance!A:F,6,FALSE),"Non trouvé")</f>
        <v>Huawei</v>
      </c>
      <c r="J1647" s="6" t="str">
        <f t="shared" si="75"/>
        <v>OK</v>
      </c>
      <c r="K1647" s="6">
        <f t="shared" si="76"/>
        <v>1</v>
      </c>
      <c r="L1647" s="6">
        <f t="shared" si="77"/>
        <v>74</v>
      </c>
    </row>
    <row r="1648" spans="1:12" ht="15.75" x14ac:dyDescent="0.25">
      <c r="A1648" s="6" t="s">
        <v>1018</v>
      </c>
      <c r="B1648" s="7">
        <v>45213.042361111111</v>
      </c>
      <c r="C1648" s="6">
        <v>119</v>
      </c>
      <c r="D1648" s="6" t="s">
        <v>800</v>
      </c>
      <c r="E1648" s="8" t="str">
        <f>IFERROR(VLOOKUP(LOG_RESEAU[[#This Row],[Cell_ID]],Registre_Maintenance!A:B,2,FALSE),"Non trouvé")</f>
        <v>Kongo-Central</v>
      </c>
      <c r="F1648" s="8">
        <f>IFERROR(VLOOKUP(LOG_RESEAU[[#This Row],[Cell_ID]],Registre_Maintenance!A:C,3,FALSE),"Non trouvé")</f>
        <v>-2.8211520000000001</v>
      </c>
      <c r="G1648" s="8">
        <f>IFERROR(VLOOKUP(LOG_RESEAU[[#This Row],[Cell_ID]],Registre_Maintenance!A:D,4,FALSE),"Non trouvé")</f>
        <v>20.651419000000001</v>
      </c>
      <c r="H1648" s="6" t="str">
        <f>IFERROR(VLOOKUP(LOG_RESEAU[[#This Row],[Cell_ID]],Registre_Maintenance!A:E,5,FALSE),"Non trouvé")</f>
        <v>5G</v>
      </c>
      <c r="I1648" s="6" t="str">
        <f>IFERROR(VLOOKUP(LOG_RESEAU[[#This Row],[Cell_ID]],Registre_Maintenance!A:F,6,FALSE),"Non trouvé")</f>
        <v>Ericsson</v>
      </c>
      <c r="J1648" s="6" t="str">
        <f t="shared" si="75"/>
        <v>OK</v>
      </c>
      <c r="K1648" s="6">
        <f t="shared" si="76"/>
        <v>5</v>
      </c>
      <c r="L1648" s="6">
        <f t="shared" si="77"/>
        <v>389</v>
      </c>
    </row>
    <row r="1649" spans="1:12" ht="15.75" x14ac:dyDescent="0.25">
      <c r="A1649" s="6" t="s">
        <v>1018</v>
      </c>
      <c r="B1649" s="7">
        <v>45213.022916666669</v>
      </c>
      <c r="C1649" s="6">
        <v>56</v>
      </c>
      <c r="D1649" s="6" t="s">
        <v>792</v>
      </c>
      <c r="E1649" s="8" t="str">
        <f>IFERROR(VLOOKUP(LOG_RESEAU[[#This Row],[Cell_ID]],Registre_Maintenance!A:B,2,FALSE),"Non trouvé")</f>
        <v>Kongo-Central</v>
      </c>
      <c r="F1649" s="8">
        <f>IFERROR(VLOOKUP(LOG_RESEAU[[#This Row],[Cell_ID]],Registre_Maintenance!A:C,3,FALSE),"Non trouvé")</f>
        <v>-2.8211520000000001</v>
      </c>
      <c r="G1649" s="8">
        <f>IFERROR(VLOOKUP(LOG_RESEAU[[#This Row],[Cell_ID]],Registre_Maintenance!A:D,4,FALSE),"Non trouvé")</f>
        <v>20.651419000000001</v>
      </c>
      <c r="H1649" s="6" t="str">
        <f>IFERROR(VLOOKUP(LOG_RESEAU[[#This Row],[Cell_ID]],Registre_Maintenance!A:E,5,FALSE),"Non trouvé")</f>
        <v>5G</v>
      </c>
      <c r="I1649" s="6" t="str">
        <f>IFERROR(VLOOKUP(LOG_RESEAU[[#This Row],[Cell_ID]],Registre_Maintenance!A:F,6,FALSE),"Non trouvé")</f>
        <v>Ericsson</v>
      </c>
      <c r="J1649" s="6" t="str">
        <f t="shared" si="75"/>
        <v>OK</v>
      </c>
      <c r="K1649" s="6">
        <f t="shared" si="76"/>
        <v>5</v>
      </c>
      <c r="L1649" s="6">
        <f t="shared" si="77"/>
        <v>389</v>
      </c>
    </row>
    <row r="1650" spans="1:12" ht="15.75" x14ac:dyDescent="0.25">
      <c r="A1650" s="6" t="s">
        <v>1018</v>
      </c>
      <c r="B1650" s="7">
        <v>45219.476388888892</v>
      </c>
      <c r="C1650" s="6">
        <v>57</v>
      </c>
      <c r="D1650" s="6" t="s">
        <v>794</v>
      </c>
      <c r="E1650" s="8" t="str">
        <f>IFERROR(VLOOKUP(LOG_RESEAU[[#This Row],[Cell_ID]],Registre_Maintenance!A:B,2,FALSE),"Non trouvé")</f>
        <v>Kongo-Central</v>
      </c>
      <c r="F1650" s="8">
        <f>IFERROR(VLOOKUP(LOG_RESEAU[[#This Row],[Cell_ID]],Registre_Maintenance!A:C,3,FALSE),"Non trouvé")</f>
        <v>-2.8211520000000001</v>
      </c>
      <c r="G1650" s="8">
        <f>IFERROR(VLOOKUP(LOG_RESEAU[[#This Row],[Cell_ID]],Registre_Maintenance!A:D,4,FALSE),"Non trouvé")</f>
        <v>20.651419000000001</v>
      </c>
      <c r="H1650" s="6" t="str">
        <f>IFERROR(VLOOKUP(LOG_RESEAU[[#This Row],[Cell_ID]],Registre_Maintenance!A:E,5,FALSE),"Non trouvé")</f>
        <v>5G</v>
      </c>
      <c r="I1650" s="6" t="str">
        <f>IFERROR(VLOOKUP(LOG_RESEAU[[#This Row],[Cell_ID]],Registre_Maintenance!A:F,6,FALSE),"Non trouvé")</f>
        <v>Ericsson</v>
      </c>
      <c r="J1650" s="6" t="str">
        <f t="shared" si="75"/>
        <v>OK</v>
      </c>
      <c r="K1650" s="6">
        <f t="shared" si="76"/>
        <v>5</v>
      </c>
      <c r="L1650" s="6">
        <f t="shared" si="77"/>
        <v>389</v>
      </c>
    </row>
    <row r="1651" spans="1:12" ht="15.75" x14ac:dyDescent="0.25">
      <c r="A1651" s="6" t="s">
        <v>1018</v>
      </c>
      <c r="B1651" s="7">
        <v>45200.925694444442</v>
      </c>
      <c r="C1651" s="6">
        <v>76</v>
      </c>
      <c r="D1651" s="6" t="s">
        <v>792</v>
      </c>
      <c r="E1651" s="8" t="str">
        <f>IFERROR(VLOOKUP(LOG_RESEAU[[#This Row],[Cell_ID]],Registre_Maintenance!A:B,2,FALSE),"Non trouvé")</f>
        <v>Kongo-Central</v>
      </c>
      <c r="F1651" s="8">
        <f>IFERROR(VLOOKUP(LOG_RESEAU[[#This Row],[Cell_ID]],Registre_Maintenance!A:C,3,FALSE),"Non trouvé")</f>
        <v>-2.8211520000000001</v>
      </c>
      <c r="G1651" s="8">
        <f>IFERROR(VLOOKUP(LOG_RESEAU[[#This Row],[Cell_ID]],Registre_Maintenance!A:D,4,FALSE),"Non trouvé")</f>
        <v>20.651419000000001</v>
      </c>
      <c r="H1651" s="6" t="str">
        <f>IFERROR(VLOOKUP(LOG_RESEAU[[#This Row],[Cell_ID]],Registre_Maintenance!A:E,5,FALSE),"Non trouvé")</f>
        <v>5G</v>
      </c>
      <c r="I1651" s="6" t="str">
        <f>IFERROR(VLOOKUP(LOG_RESEAU[[#This Row],[Cell_ID]],Registre_Maintenance!A:F,6,FALSE),"Non trouvé")</f>
        <v>Ericsson</v>
      </c>
      <c r="J1651" s="6" t="str">
        <f t="shared" si="75"/>
        <v>OK</v>
      </c>
      <c r="K1651" s="6">
        <f t="shared" si="76"/>
        <v>5</v>
      </c>
      <c r="L1651" s="6">
        <f t="shared" si="77"/>
        <v>389</v>
      </c>
    </row>
    <row r="1652" spans="1:12" ht="15.75" x14ac:dyDescent="0.25">
      <c r="A1652" s="6" t="s">
        <v>1018</v>
      </c>
      <c r="B1652" s="7">
        <v>45218.381944444453</v>
      </c>
      <c r="C1652" s="6">
        <v>81</v>
      </c>
      <c r="D1652" s="6" t="s">
        <v>800</v>
      </c>
      <c r="E1652" s="8" t="str">
        <f>IFERROR(VLOOKUP(LOG_RESEAU[[#This Row],[Cell_ID]],Registre_Maintenance!A:B,2,FALSE),"Non trouvé")</f>
        <v>Kongo-Central</v>
      </c>
      <c r="F1652" s="8">
        <f>IFERROR(VLOOKUP(LOG_RESEAU[[#This Row],[Cell_ID]],Registre_Maintenance!A:C,3,FALSE),"Non trouvé")</f>
        <v>-2.8211520000000001</v>
      </c>
      <c r="G1652" s="8">
        <f>IFERROR(VLOOKUP(LOG_RESEAU[[#This Row],[Cell_ID]],Registre_Maintenance!A:D,4,FALSE),"Non trouvé")</f>
        <v>20.651419000000001</v>
      </c>
      <c r="H1652" s="6" t="str">
        <f>IFERROR(VLOOKUP(LOG_RESEAU[[#This Row],[Cell_ID]],Registre_Maintenance!A:E,5,FALSE),"Non trouvé")</f>
        <v>5G</v>
      </c>
      <c r="I1652" s="6" t="str">
        <f>IFERROR(VLOOKUP(LOG_RESEAU[[#This Row],[Cell_ID]],Registre_Maintenance!A:F,6,FALSE),"Non trouvé")</f>
        <v>Ericsson</v>
      </c>
      <c r="J1652" s="6" t="str">
        <f t="shared" si="75"/>
        <v>OK</v>
      </c>
      <c r="K1652" s="6">
        <f t="shared" si="76"/>
        <v>5</v>
      </c>
      <c r="L1652" s="6">
        <f t="shared" si="77"/>
        <v>389</v>
      </c>
    </row>
    <row r="1653" spans="1:12" ht="15.75" x14ac:dyDescent="0.25">
      <c r="A1653" s="6" t="s">
        <v>1126</v>
      </c>
      <c r="B1653" s="7">
        <v>45224.552777777782</v>
      </c>
      <c r="C1653" s="6">
        <v>60</v>
      </c>
      <c r="D1653" s="6" t="s">
        <v>800</v>
      </c>
      <c r="E1653" s="8" t="str">
        <f>IFERROR(VLOOKUP(LOG_RESEAU[[#This Row],[Cell_ID]],Registre_Maintenance!A:B,2,FALSE),"Non trouvé")</f>
        <v>Tanganyika</v>
      </c>
      <c r="F1653" s="8">
        <f>IFERROR(VLOOKUP(LOG_RESEAU[[#This Row],[Cell_ID]],Registre_Maintenance!A:C,3,FALSE),"Non trouvé")</f>
        <v>-10.439686999999999</v>
      </c>
      <c r="G1653" s="8">
        <f>IFERROR(VLOOKUP(LOG_RESEAU[[#This Row],[Cell_ID]],Registre_Maintenance!A:D,4,FALSE),"Non trouvé")</f>
        <v>20.714210000000001</v>
      </c>
      <c r="H1653" s="6" t="str">
        <f>IFERROR(VLOOKUP(LOG_RESEAU[[#This Row],[Cell_ID]],Registre_Maintenance!A:E,5,FALSE),"Non trouvé")</f>
        <v>4G</v>
      </c>
      <c r="I1653" s="6" t="str">
        <f>IFERROR(VLOOKUP(LOG_RESEAU[[#This Row],[Cell_ID]],Registre_Maintenance!A:F,6,FALSE),"Non trouvé")</f>
        <v>ZTE</v>
      </c>
      <c r="J1653" s="6" t="str">
        <f t="shared" si="75"/>
        <v>OK</v>
      </c>
      <c r="K1653" s="6">
        <f t="shared" si="76"/>
        <v>1</v>
      </c>
      <c r="L1653" s="6">
        <f t="shared" si="77"/>
        <v>60</v>
      </c>
    </row>
    <row r="1654" spans="1:12" ht="15.75" x14ac:dyDescent="0.25">
      <c r="A1654" s="6" t="s">
        <v>1181</v>
      </c>
      <c r="B1654" s="7">
        <v>45212.624305555553</v>
      </c>
      <c r="C1654" s="6">
        <v>113</v>
      </c>
      <c r="D1654" s="6" t="s">
        <v>792</v>
      </c>
      <c r="E1654" s="8" t="str">
        <f>IFERROR(VLOOKUP(LOG_RESEAU[[#This Row],[Cell_ID]],Registre_Maintenance!A:B,2,FALSE),"Non trouvé")</f>
        <v>Non trouvé</v>
      </c>
      <c r="F1654" s="8" t="str">
        <f>IFERROR(VLOOKUP(LOG_RESEAU[[#This Row],[Cell_ID]],Registre_Maintenance!A:C,3,FALSE),"Non trouvé")</f>
        <v>Non trouvé</v>
      </c>
      <c r="G1654" s="8" t="str">
        <f>IFERROR(VLOOKUP(LOG_RESEAU[[#This Row],[Cell_ID]],Registre_Maintenance!A:D,4,FALSE),"Non trouvé")</f>
        <v>Non trouvé</v>
      </c>
      <c r="H1654" s="6" t="str">
        <f>IFERROR(VLOOKUP(LOG_RESEAU[[#This Row],[Cell_ID]],Registre_Maintenance!A:E,5,FALSE),"Non trouvé")</f>
        <v>Non trouvé</v>
      </c>
      <c r="I1654" s="6" t="str">
        <f>IFERROR(VLOOKUP(LOG_RESEAU[[#This Row],[Cell_ID]],Registre_Maintenance!A:F,6,FALSE),"Non trouvé")</f>
        <v>Non trouvé</v>
      </c>
      <c r="J1654" s="6" t="str">
        <f t="shared" si="75"/>
        <v>Antenne inconnue</v>
      </c>
      <c r="K1654" s="6">
        <f t="shared" si="76"/>
        <v>3</v>
      </c>
      <c r="L1654" s="6">
        <f t="shared" si="77"/>
        <v>268</v>
      </c>
    </row>
    <row r="1655" spans="1:12" ht="15.75" x14ac:dyDescent="0.25">
      <c r="A1655" s="6" t="s">
        <v>1181</v>
      </c>
      <c r="B1655" s="7">
        <v>45218.242361111108</v>
      </c>
      <c r="C1655" s="6">
        <v>64</v>
      </c>
      <c r="D1655" s="6" t="s">
        <v>794</v>
      </c>
      <c r="E1655" s="8" t="str">
        <f>IFERROR(VLOOKUP(LOG_RESEAU[[#This Row],[Cell_ID]],Registre_Maintenance!A:B,2,FALSE),"Non trouvé")</f>
        <v>Non trouvé</v>
      </c>
      <c r="F1655" s="8" t="str">
        <f>IFERROR(VLOOKUP(LOG_RESEAU[[#This Row],[Cell_ID]],Registre_Maintenance!A:C,3,FALSE),"Non trouvé")</f>
        <v>Non trouvé</v>
      </c>
      <c r="G1655" s="8" t="str">
        <f>IFERROR(VLOOKUP(LOG_RESEAU[[#This Row],[Cell_ID]],Registre_Maintenance!A:D,4,FALSE),"Non trouvé")</f>
        <v>Non trouvé</v>
      </c>
      <c r="H1655" s="6" t="str">
        <f>IFERROR(VLOOKUP(LOG_RESEAU[[#This Row],[Cell_ID]],Registre_Maintenance!A:E,5,FALSE),"Non trouvé")</f>
        <v>Non trouvé</v>
      </c>
      <c r="I1655" s="6" t="str">
        <f>IFERROR(VLOOKUP(LOG_RESEAU[[#This Row],[Cell_ID]],Registre_Maintenance!A:F,6,FALSE),"Non trouvé")</f>
        <v>Non trouvé</v>
      </c>
      <c r="J1655" s="6" t="str">
        <f t="shared" si="75"/>
        <v>Antenne inconnue</v>
      </c>
      <c r="K1655" s="6">
        <f t="shared" si="76"/>
        <v>3</v>
      </c>
      <c r="L1655" s="6">
        <f t="shared" si="77"/>
        <v>268</v>
      </c>
    </row>
    <row r="1656" spans="1:12" ht="15.75" x14ac:dyDescent="0.25">
      <c r="A1656" s="6" t="s">
        <v>1181</v>
      </c>
      <c r="B1656" s="7">
        <v>45202.868055555547</v>
      </c>
      <c r="C1656" s="6">
        <v>91</v>
      </c>
      <c r="D1656" s="6" t="s">
        <v>800</v>
      </c>
      <c r="E1656" s="8" t="str">
        <f>IFERROR(VLOOKUP(LOG_RESEAU[[#This Row],[Cell_ID]],Registre_Maintenance!A:B,2,FALSE),"Non trouvé")</f>
        <v>Non trouvé</v>
      </c>
      <c r="F1656" s="8" t="str">
        <f>IFERROR(VLOOKUP(LOG_RESEAU[[#This Row],[Cell_ID]],Registre_Maintenance!A:C,3,FALSE),"Non trouvé")</f>
        <v>Non trouvé</v>
      </c>
      <c r="G1656" s="8" t="str">
        <f>IFERROR(VLOOKUP(LOG_RESEAU[[#This Row],[Cell_ID]],Registre_Maintenance!A:D,4,FALSE),"Non trouvé")</f>
        <v>Non trouvé</v>
      </c>
      <c r="H1656" s="6" t="str">
        <f>IFERROR(VLOOKUP(LOG_RESEAU[[#This Row],[Cell_ID]],Registre_Maintenance!A:E,5,FALSE),"Non trouvé")</f>
        <v>Non trouvé</v>
      </c>
      <c r="I1656" s="6" t="str">
        <f>IFERROR(VLOOKUP(LOG_RESEAU[[#This Row],[Cell_ID]],Registre_Maintenance!A:F,6,FALSE),"Non trouvé")</f>
        <v>Non trouvé</v>
      </c>
      <c r="J1656" s="6" t="str">
        <f t="shared" si="75"/>
        <v>Antenne inconnue</v>
      </c>
      <c r="K1656" s="6">
        <f t="shared" si="76"/>
        <v>3</v>
      </c>
      <c r="L1656" s="6">
        <f t="shared" si="77"/>
        <v>268</v>
      </c>
    </row>
    <row r="1657" spans="1:12" ht="15.75" x14ac:dyDescent="0.25">
      <c r="A1657" s="6" t="s">
        <v>1016</v>
      </c>
      <c r="B1657" s="7">
        <v>45221.997916666667</v>
      </c>
      <c r="C1657" s="6">
        <v>79</v>
      </c>
      <c r="D1657" s="6" t="s">
        <v>792</v>
      </c>
      <c r="E1657" s="8" t="str">
        <f>IFERROR(VLOOKUP(LOG_RESEAU[[#This Row],[Cell_ID]],Registre_Maintenance!A:B,2,FALSE),"Non trouvé")</f>
        <v>Non trouvé</v>
      </c>
      <c r="F1657" s="8" t="str">
        <f>IFERROR(VLOOKUP(LOG_RESEAU[[#This Row],[Cell_ID]],Registre_Maintenance!A:C,3,FALSE),"Non trouvé")</f>
        <v>Non trouvé</v>
      </c>
      <c r="G1657" s="8" t="str">
        <f>IFERROR(VLOOKUP(LOG_RESEAU[[#This Row],[Cell_ID]],Registre_Maintenance!A:D,4,FALSE),"Non trouvé")</f>
        <v>Non trouvé</v>
      </c>
      <c r="H1657" s="6" t="str">
        <f>IFERROR(VLOOKUP(LOG_RESEAU[[#This Row],[Cell_ID]],Registre_Maintenance!A:E,5,FALSE),"Non trouvé")</f>
        <v>Non trouvé</v>
      </c>
      <c r="I1657" s="6" t="str">
        <f>IFERROR(VLOOKUP(LOG_RESEAU[[#This Row],[Cell_ID]],Registre_Maintenance!A:F,6,FALSE),"Non trouvé")</f>
        <v>Non trouvé</v>
      </c>
      <c r="J1657" s="6" t="str">
        <f t="shared" si="75"/>
        <v>Antenne inconnue</v>
      </c>
      <c r="K1657" s="6">
        <f t="shared" si="76"/>
        <v>2</v>
      </c>
      <c r="L1657" s="6">
        <f t="shared" si="77"/>
        <v>129</v>
      </c>
    </row>
    <row r="1658" spans="1:12" ht="15.75" x14ac:dyDescent="0.25">
      <c r="A1658" s="6" t="s">
        <v>1016</v>
      </c>
      <c r="B1658" s="7">
        <v>45207.304861111108</v>
      </c>
      <c r="C1658" s="6">
        <v>50</v>
      </c>
      <c r="D1658" s="6" t="s">
        <v>800</v>
      </c>
      <c r="E1658" s="8" t="str">
        <f>IFERROR(VLOOKUP(LOG_RESEAU[[#This Row],[Cell_ID]],Registre_Maintenance!A:B,2,FALSE),"Non trouvé")</f>
        <v>Non trouvé</v>
      </c>
      <c r="F1658" s="8" t="str">
        <f>IFERROR(VLOOKUP(LOG_RESEAU[[#This Row],[Cell_ID]],Registre_Maintenance!A:C,3,FALSE),"Non trouvé")</f>
        <v>Non trouvé</v>
      </c>
      <c r="G1658" s="8" t="str">
        <f>IFERROR(VLOOKUP(LOG_RESEAU[[#This Row],[Cell_ID]],Registre_Maintenance!A:D,4,FALSE),"Non trouvé")</f>
        <v>Non trouvé</v>
      </c>
      <c r="H1658" s="6" t="str">
        <f>IFERROR(VLOOKUP(LOG_RESEAU[[#This Row],[Cell_ID]],Registre_Maintenance!A:E,5,FALSE),"Non trouvé")</f>
        <v>Non trouvé</v>
      </c>
      <c r="I1658" s="6" t="str">
        <f>IFERROR(VLOOKUP(LOG_RESEAU[[#This Row],[Cell_ID]],Registre_Maintenance!A:F,6,FALSE),"Non trouvé")</f>
        <v>Non trouvé</v>
      </c>
      <c r="J1658" s="6" t="str">
        <f t="shared" si="75"/>
        <v>Antenne inconnue</v>
      </c>
      <c r="K1658" s="6">
        <f t="shared" si="76"/>
        <v>2</v>
      </c>
      <c r="L1658" s="6">
        <f t="shared" si="77"/>
        <v>129</v>
      </c>
    </row>
    <row r="1659" spans="1:12" ht="15.75" x14ac:dyDescent="0.25">
      <c r="A1659" s="6" t="s">
        <v>1349</v>
      </c>
      <c r="B1659" s="7">
        <v>45202.686111111107</v>
      </c>
      <c r="C1659" s="6">
        <v>53</v>
      </c>
      <c r="D1659" s="6" t="s">
        <v>794</v>
      </c>
      <c r="E1659" s="8" t="str">
        <f>IFERROR(VLOOKUP(LOG_RESEAU[[#This Row],[Cell_ID]],Registre_Maintenance!A:B,2,FALSE),"Non trouvé")</f>
        <v>Non trouvé</v>
      </c>
      <c r="F1659" s="8" t="str">
        <f>IFERROR(VLOOKUP(LOG_RESEAU[[#This Row],[Cell_ID]],Registre_Maintenance!A:C,3,FALSE),"Non trouvé")</f>
        <v>Non trouvé</v>
      </c>
      <c r="G1659" s="8" t="str">
        <f>IFERROR(VLOOKUP(LOG_RESEAU[[#This Row],[Cell_ID]],Registre_Maintenance!A:D,4,FALSE),"Non trouvé")</f>
        <v>Non trouvé</v>
      </c>
      <c r="H1659" s="6" t="str">
        <f>IFERROR(VLOOKUP(LOG_RESEAU[[#This Row],[Cell_ID]],Registre_Maintenance!A:E,5,FALSE),"Non trouvé")</f>
        <v>Non trouvé</v>
      </c>
      <c r="I1659" s="6" t="str">
        <f>IFERROR(VLOOKUP(LOG_RESEAU[[#This Row],[Cell_ID]],Registre_Maintenance!A:F,6,FALSE),"Non trouvé")</f>
        <v>Non trouvé</v>
      </c>
      <c r="J1659" s="6" t="str">
        <f t="shared" si="75"/>
        <v>Antenne inconnue</v>
      </c>
      <c r="K1659" s="6">
        <f t="shared" si="76"/>
        <v>1</v>
      </c>
      <c r="L1659" s="6">
        <f t="shared" si="77"/>
        <v>53</v>
      </c>
    </row>
    <row r="1660" spans="1:12" ht="15.75" x14ac:dyDescent="0.25">
      <c r="A1660" s="6" t="s">
        <v>1542</v>
      </c>
      <c r="B1660" s="7">
        <v>45201.95416666667</v>
      </c>
      <c r="C1660" s="6">
        <v>32</v>
      </c>
      <c r="D1660" s="6" t="s">
        <v>800</v>
      </c>
      <c r="E1660" s="8" t="str">
        <f>IFERROR(VLOOKUP(LOG_RESEAU[[#This Row],[Cell_ID]],Registre_Maintenance!A:B,2,FALSE),"Non trouvé")</f>
        <v>Non trouvé</v>
      </c>
      <c r="F1660" s="8" t="str">
        <f>IFERROR(VLOOKUP(LOG_RESEAU[[#This Row],[Cell_ID]],Registre_Maintenance!A:C,3,FALSE),"Non trouvé")</f>
        <v>Non trouvé</v>
      </c>
      <c r="G1660" s="8" t="str">
        <f>IFERROR(VLOOKUP(LOG_RESEAU[[#This Row],[Cell_ID]],Registre_Maintenance!A:D,4,FALSE),"Non trouvé")</f>
        <v>Non trouvé</v>
      </c>
      <c r="H1660" s="6" t="str">
        <f>IFERROR(VLOOKUP(LOG_RESEAU[[#This Row],[Cell_ID]],Registre_Maintenance!A:E,5,FALSE),"Non trouvé")</f>
        <v>Non trouvé</v>
      </c>
      <c r="I1660" s="6" t="str">
        <f>IFERROR(VLOOKUP(LOG_RESEAU[[#This Row],[Cell_ID]],Registre_Maintenance!A:F,6,FALSE),"Non trouvé")</f>
        <v>Non trouvé</v>
      </c>
      <c r="J1660" s="6" t="str">
        <f t="shared" si="75"/>
        <v>Antenne inconnue</v>
      </c>
      <c r="K1660" s="6">
        <f t="shared" si="76"/>
        <v>1</v>
      </c>
      <c r="L1660" s="6">
        <f t="shared" si="77"/>
        <v>32</v>
      </c>
    </row>
    <row r="1661" spans="1:12" ht="15.75" x14ac:dyDescent="0.25">
      <c r="A1661" s="6" t="s">
        <v>1273</v>
      </c>
      <c r="B1661" s="7">
        <v>45228.651388888888</v>
      </c>
      <c r="C1661" s="6">
        <v>119</v>
      </c>
      <c r="D1661" s="6" t="s">
        <v>794</v>
      </c>
      <c r="E1661" s="8" t="str">
        <f>IFERROR(VLOOKUP(LOG_RESEAU[[#This Row],[Cell_ID]],Registre_Maintenance!A:B,2,FALSE),"Non trouvé")</f>
        <v>Sud-Kivu</v>
      </c>
      <c r="F1661" s="8">
        <f>IFERROR(VLOOKUP(LOG_RESEAU[[#This Row],[Cell_ID]],Registre_Maintenance!A:C,3,FALSE),"Non trouvé")</f>
        <v>2.453036</v>
      </c>
      <c r="G1661" s="8">
        <f>IFERROR(VLOOKUP(LOG_RESEAU[[#This Row],[Cell_ID]],Registre_Maintenance!A:D,4,FALSE),"Non trouvé")</f>
        <v>20.555484</v>
      </c>
      <c r="H1661" s="6" t="str">
        <f>IFERROR(VLOOKUP(LOG_RESEAU[[#This Row],[Cell_ID]],Registre_Maintenance!A:E,5,FALSE),"Non trouvé")</f>
        <v>5G</v>
      </c>
      <c r="I1661" s="6" t="str">
        <f>IFERROR(VLOOKUP(LOG_RESEAU[[#This Row],[Cell_ID]],Registre_Maintenance!A:F,6,FALSE),"Non trouvé")</f>
        <v>Ericsson</v>
      </c>
      <c r="J1661" s="6" t="str">
        <f t="shared" si="75"/>
        <v>OK</v>
      </c>
      <c r="K1661" s="6">
        <f t="shared" si="76"/>
        <v>2</v>
      </c>
      <c r="L1661" s="6">
        <f t="shared" si="77"/>
        <v>229</v>
      </c>
    </row>
    <row r="1662" spans="1:12" ht="15.75" x14ac:dyDescent="0.25">
      <c r="A1662" s="6" t="s">
        <v>1383</v>
      </c>
      <c r="B1662" s="7">
        <v>45211.128472222219</v>
      </c>
      <c r="C1662" s="6">
        <v>110</v>
      </c>
      <c r="D1662" s="6" t="s">
        <v>800</v>
      </c>
      <c r="E1662" s="8" t="str">
        <f>IFERROR(VLOOKUP(LOG_RESEAU[[#This Row],[Cell_ID]],Registre_Maintenance!A:B,2,FALSE),"Non trouvé")</f>
        <v>Sud-Kivu</v>
      </c>
      <c r="F1662" s="8">
        <f>IFERROR(VLOOKUP(LOG_RESEAU[[#This Row],[Cell_ID]],Registre_Maintenance!A:C,3,FALSE),"Non trouvé")</f>
        <v>2.453036</v>
      </c>
      <c r="G1662" s="8">
        <f>IFERROR(VLOOKUP(LOG_RESEAU[[#This Row],[Cell_ID]],Registre_Maintenance!A:D,4,FALSE),"Non trouvé")</f>
        <v>20.555484</v>
      </c>
      <c r="H1662" s="6" t="str">
        <f>IFERROR(VLOOKUP(LOG_RESEAU[[#This Row],[Cell_ID]],Registre_Maintenance!A:E,5,FALSE),"Non trouvé")</f>
        <v>5G</v>
      </c>
      <c r="I1662" s="6" t="str">
        <f>IFERROR(VLOOKUP(LOG_RESEAU[[#This Row],[Cell_ID]],Registre_Maintenance!A:F,6,FALSE),"Non trouvé")</f>
        <v>Ericsson</v>
      </c>
      <c r="J1662" s="6" t="str">
        <f t="shared" si="75"/>
        <v>OK</v>
      </c>
      <c r="K1662" s="6">
        <f t="shared" si="76"/>
        <v>2</v>
      </c>
      <c r="L1662" s="6">
        <f t="shared" si="77"/>
        <v>229</v>
      </c>
    </row>
    <row r="1663" spans="1:12" ht="15.75" x14ac:dyDescent="0.25">
      <c r="A1663" s="6" t="s">
        <v>1337</v>
      </c>
      <c r="B1663" s="7">
        <v>45207.070833333331</v>
      </c>
      <c r="C1663" s="6">
        <v>94</v>
      </c>
      <c r="D1663" s="6" t="s">
        <v>800</v>
      </c>
      <c r="E1663" s="8" t="str">
        <f>IFERROR(VLOOKUP(LOG_RESEAU[[#This Row],[Cell_ID]],Registre_Maintenance!A:B,2,FALSE),"Non trouvé")</f>
        <v>Equateur</v>
      </c>
      <c r="F1663" s="8">
        <f>IFERROR(VLOOKUP(LOG_RESEAU[[#This Row],[Cell_ID]],Registre_Maintenance!A:C,3,FALSE),"Non trouvé")</f>
        <v>-1.1284540000000001</v>
      </c>
      <c r="G1663" s="8">
        <f>IFERROR(VLOOKUP(LOG_RESEAU[[#This Row],[Cell_ID]],Registre_Maintenance!A:D,4,FALSE),"Non trouvé")</f>
        <v>23.000360000000001</v>
      </c>
      <c r="H1663" s="6" t="str">
        <f>IFERROR(VLOOKUP(LOG_RESEAU[[#This Row],[Cell_ID]],Registre_Maintenance!A:E,5,FALSE),"Non trouvé")</f>
        <v>5G</v>
      </c>
      <c r="I1663" s="6" t="str">
        <f>IFERROR(VLOOKUP(LOG_RESEAU[[#This Row],[Cell_ID]],Registre_Maintenance!A:F,6,FALSE),"Non trouvé")</f>
        <v>Ericsson</v>
      </c>
      <c r="J1663" s="6" t="str">
        <f t="shared" si="75"/>
        <v>OK</v>
      </c>
      <c r="K1663" s="6">
        <f t="shared" si="76"/>
        <v>1</v>
      </c>
      <c r="L1663" s="6">
        <f t="shared" si="77"/>
        <v>94</v>
      </c>
    </row>
    <row r="1664" spans="1:12" ht="15.75" x14ac:dyDescent="0.25">
      <c r="A1664" s="6" t="s">
        <v>1192</v>
      </c>
      <c r="B1664" s="7">
        <v>45221.724999999999</v>
      </c>
      <c r="C1664" s="6">
        <v>55</v>
      </c>
      <c r="D1664" s="6" t="s">
        <v>800</v>
      </c>
      <c r="E1664" s="8" t="str">
        <f>IFERROR(VLOOKUP(LOG_RESEAU[[#This Row],[Cell_ID]],Registre_Maintenance!A:B,2,FALSE),"Non trouvé")</f>
        <v>Kasai-Oriental</v>
      </c>
      <c r="F1664" s="8">
        <f>IFERROR(VLOOKUP(LOG_RESEAU[[#This Row],[Cell_ID]],Registre_Maintenance!A:C,3,FALSE),"Non trouvé")</f>
        <v>-1.3976519999999999</v>
      </c>
      <c r="G1664" s="8">
        <f>IFERROR(VLOOKUP(LOG_RESEAU[[#This Row],[Cell_ID]],Registre_Maintenance!A:D,4,FALSE),"Non trouvé")</f>
        <v>14.098819000000001</v>
      </c>
      <c r="H1664" s="6" t="str">
        <f>IFERROR(VLOOKUP(LOG_RESEAU[[#This Row],[Cell_ID]],Registre_Maintenance!A:E,5,FALSE),"Non trouvé")</f>
        <v>3G</v>
      </c>
      <c r="I1664" s="6" t="str">
        <f>IFERROR(VLOOKUP(LOG_RESEAU[[#This Row],[Cell_ID]],Registre_Maintenance!A:F,6,FALSE),"Non trouvé")</f>
        <v>Ericsson</v>
      </c>
      <c r="J1664" s="6" t="str">
        <f t="shared" si="75"/>
        <v>OK</v>
      </c>
      <c r="K1664" s="6">
        <f t="shared" si="76"/>
        <v>1</v>
      </c>
      <c r="L1664" s="6">
        <f t="shared" si="77"/>
        <v>55</v>
      </c>
    </row>
    <row r="1665" spans="1:12" ht="15.75" x14ac:dyDescent="0.25">
      <c r="A1665" s="6" t="s">
        <v>1523</v>
      </c>
      <c r="B1665" s="7">
        <v>45203.603472222218</v>
      </c>
      <c r="C1665" s="6">
        <v>106</v>
      </c>
      <c r="D1665" s="6" t="s">
        <v>800</v>
      </c>
      <c r="E1665" s="8" t="str">
        <f>IFERROR(VLOOKUP(LOG_RESEAU[[#This Row],[Cell_ID]],Registre_Maintenance!A:B,2,FALSE),"Non trouvé")</f>
        <v>Haut-Katanga</v>
      </c>
      <c r="F1665" s="8">
        <f>IFERROR(VLOOKUP(LOG_RESEAU[[#This Row],[Cell_ID]],Registre_Maintenance!A:C,3,FALSE),"Non trouvé")</f>
        <v>-5.1507670000000001</v>
      </c>
      <c r="G1665" s="8">
        <f>IFERROR(VLOOKUP(LOG_RESEAU[[#This Row],[Cell_ID]],Registre_Maintenance!A:D,4,FALSE),"Non trouvé")</f>
        <v>28.075324999999999</v>
      </c>
      <c r="H1665" s="6" t="str">
        <f>IFERROR(VLOOKUP(LOG_RESEAU[[#This Row],[Cell_ID]],Registre_Maintenance!A:E,5,FALSE),"Non trouvé")</f>
        <v>5G</v>
      </c>
      <c r="I1665" s="6" t="str">
        <f>IFERROR(VLOOKUP(LOG_RESEAU[[#This Row],[Cell_ID]],Registre_Maintenance!A:F,6,FALSE),"Non trouvé")</f>
        <v>Huawei</v>
      </c>
      <c r="J1665" s="6" t="str">
        <f t="shared" si="75"/>
        <v>OK</v>
      </c>
      <c r="K1665" s="6">
        <f t="shared" si="76"/>
        <v>1</v>
      </c>
      <c r="L1665" s="6">
        <f t="shared" si="77"/>
        <v>106</v>
      </c>
    </row>
    <row r="1666" spans="1:12" ht="15.75" x14ac:dyDescent="0.25">
      <c r="A1666" s="6" t="s">
        <v>1409</v>
      </c>
      <c r="B1666" s="7">
        <v>45221.647916666669</v>
      </c>
      <c r="C1666" s="6">
        <v>67</v>
      </c>
      <c r="D1666" s="6" t="s">
        <v>794</v>
      </c>
      <c r="E1666" s="8" t="str">
        <f>IFERROR(VLOOKUP(LOG_RESEAU[[#This Row],[Cell_ID]],Registre_Maintenance!A:B,2,FALSE),"Non trouvé")</f>
        <v>Haut-Uele</v>
      </c>
      <c r="F1666" s="8">
        <f>IFERROR(VLOOKUP(LOG_RESEAU[[#This Row],[Cell_ID]],Registre_Maintenance!A:C,3,FALSE),"Non trouvé")</f>
        <v>-11.924048000000001</v>
      </c>
      <c r="G1666" s="8">
        <f>IFERROR(VLOOKUP(LOG_RESEAU[[#This Row],[Cell_ID]],Registre_Maintenance!A:D,4,FALSE),"Non trouvé")</f>
        <v>24.177174999999998</v>
      </c>
      <c r="H1666" s="6" t="str">
        <f>IFERROR(VLOOKUP(LOG_RESEAU[[#This Row],[Cell_ID]],Registre_Maintenance!A:E,5,FALSE),"Non trouvé")</f>
        <v>3G</v>
      </c>
      <c r="I1666" s="6" t="str">
        <f>IFERROR(VLOOKUP(LOG_RESEAU[[#This Row],[Cell_ID]],Registre_Maintenance!A:F,6,FALSE),"Non trouvé")</f>
        <v>Nokia</v>
      </c>
      <c r="J1666" s="6" t="str">
        <f t="shared" ref="J1666:J1729" si="78">IF(ISERROR(SEARCH("Non trouvé",F1666)),"OK","Antenne inconnue")</f>
        <v>OK</v>
      </c>
      <c r="K1666" s="6">
        <f t="shared" ref="K1666:K1729" si="79">COUNTIF(A:A,A1666)</f>
        <v>1</v>
      </c>
      <c r="L1666" s="6">
        <f t="shared" ref="L1666:L1729" si="80">SUMIF(A:A,A1666,C:C)</f>
        <v>67</v>
      </c>
    </row>
    <row r="1667" spans="1:12" ht="15.75" x14ac:dyDescent="0.25">
      <c r="A1667" s="6" t="s">
        <v>1450</v>
      </c>
      <c r="B1667" s="7">
        <v>45217.29583333333</v>
      </c>
      <c r="C1667" s="6">
        <v>119</v>
      </c>
      <c r="D1667" s="6" t="s">
        <v>794</v>
      </c>
      <c r="E1667" s="8" t="str">
        <f>IFERROR(VLOOKUP(LOG_RESEAU[[#This Row],[Cell_ID]],Registre_Maintenance!A:B,2,FALSE),"Non trouvé")</f>
        <v>Non trouvé</v>
      </c>
      <c r="F1667" s="8" t="str">
        <f>IFERROR(VLOOKUP(LOG_RESEAU[[#This Row],[Cell_ID]],Registre_Maintenance!A:C,3,FALSE),"Non trouvé")</f>
        <v>Non trouvé</v>
      </c>
      <c r="G1667" s="8" t="str">
        <f>IFERROR(VLOOKUP(LOG_RESEAU[[#This Row],[Cell_ID]],Registre_Maintenance!A:D,4,FALSE),"Non trouvé")</f>
        <v>Non trouvé</v>
      </c>
      <c r="H1667" s="6" t="str">
        <f>IFERROR(VLOOKUP(LOG_RESEAU[[#This Row],[Cell_ID]],Registre_Maintenance!A:E,5,FALSE),"Non trouvé")</f>
        <v>Non trouvé</v>
      </c>
      <c r="I1667" s="6" t="str">
        <f>IFERROR(VLOOKUP(LOG_RESEAU[[#This Row],[Cell_ID]],Registre_Maintenance!A:F,6,FALSE),"Non trouvé")</f>
        <v>Non trouvé</v>
      </c>
      <c r="J1667" s="6" t="str">
        <f t="shared" si="78"/>
        <v>Antenne inconnue</v>
      </c>
      <c r="K1667" s="6">
        <f t="shared" si="79"/>
        <v>1</v>
      </c>
      <c r="L1667" s="6">
        <f t="shared" si="80"/>
        <v>119</v>
      </c>
    </row>
    <row r="1668" spans="1:12" ht="15.75" x14ac:dyDescent="0.25">
      <c r="A1668" s="6" t="s">
        <v>1331</v>
      </c>
      <c r="B1668" s="7">
        <v>45222.938194444447</v>
      </c>
      <c r="C1668" s="6">
        <v>36</v>
      </c>
      <c r="D1668" s="6" t="s">
        <v>794</v>
      </c>
      <c r="E1668" s="8" t="str">
        <f>IFERROR(VLOOKUP(LOG_RESEAU[[#This Row],[Cell_ID]],Registre_Maintenance!A:B,2,FALSE),"Non trouvé")</f>
        <v>Non trouvé</v>
      </c>
      <c r="F1668" s="8" t="str">
        <f>IFERROR(VLOOKUP(LOG_RESEAU[[#This Row],[Cell_ID]],Registre_Maintenance!A:C,3,FALSE),"Non trouvé")</f>
        <v>Non trouvé</v>
      </c>
      <c r="G1668" s="8" t="str">
        <f>IFERROR(VLOOKUP(LOG_RESEAU[[#This Row],[Cell_ID]],Registre_Maintenance!A:D,4,FALSE),"Non trouvé")</f>
        <v>Non trouvé</v>
      </c>
      <c r="H1668" s="6" t="str">
        <f>IFERROR(VLOOKUP(LOG_RESEAU[[#This Row],[Cell_ID]],Registre_Maintenance!A:E,5,FALSE),"Non trouvé")</f>
        <v>Non trouvé</v>
      </c>
      <c r="I1668" s="6" t="str">
        <f>IFERROR(VLOOKUP(LOG_RESEAU[[#This Row],[Cell_ID]],Registre_Maintenance!A:F,6,FALSE),"Non trouvé")</f>
        <v>Non trouvé</v>
      </c>
      <c r="J1668" s="6" t="str">
        <f t="shared" si="78"/>
        <v>Antenne inconnue</v>
      </c>
      <c r="K1668" s="6">
        <f t="shared" si="79"/>
        <v>1</v>
      </c>
      <c r="L1668" s="6">
        <f t="shared" si="80"/>
        <v>36</v>
      </c>
    </row>
    <row r="1669" spans="1:12" ht="15.75" x14ac:dyDescent="0.25">
      <c r="A1669" s="6" t="s">
        <v>1065</v>
      </c>
      <c r="B1669" s="7">
        <v>45213.948611111111</v>
      </c>
      <c r="C1669" s="6">
        <v>72</v>
      </c>
      <c r="D1669" s="6" t="s">
        <v>800</v>
      </c>
      <c r="E1669" s="8" t="str">
        <f>IFERROR(VLOOKUP(LOG_RESEAU[[#This Row],[Cell_ID]],Registre_Maintenance!A:B,2,FALSE),"Non trouvé")</f>
        <v>Sankuru</v>
      </c>
      <c r="F1669" s="8">
        <f>IFERROR(VLOOKUP(LOG_RESEAU[[#This Row],[Cell_ID]],Registre_Maintenance!A:C,3,FALSE),"Non trouvé")</f>
        <v>-2.7140689999999998</v>
      </c>
      <c r="G1669" s="8">
        <f>IFERROR(VLOOKUP(LOG_RESEAU[[#This Row],[Cell_ID]],Registre_Maintenance!A:D,4,FALSE),"Non trouvé")</f>
        <v>22.222104000000002</v>
      </c>
      <c r="H1669" s="6" t="str">
        <f>IFERROR(VLOOKUP(LOG_RESEAU[[#This Row],[Cell_ID]],Registre_Maintenance!A:E,5,FALSE),"Non trouvé")</f>
        <v>4G</v>
      </c>
      <c r="I1669" s="6" t="str">
        <f>IFERROR(VLOOKUP(LOG_RESEAU[[#This Row],[Cell_ID]],Registre_Maintenance!A:F,6,FALSE),"Non trouvé")</f>
        <v>Nokia</v>
      </c>
      <c r="J1669" s="6" t="str">
        <f t="shared" si="78"/>
        <v>OK</v>
      </c>
      <c r="K1669" s="6">
        <f t="shared" si="79"/>
        <v>1</v>
      </c>
      <c r="L1669" s="6">
        <f t="shared" si="80"/>
        <v>72</v>
      </c>
    </row>
    <row r="1670" spans="1:12" ht="15.75" x14ac:dyDescent="0.25">
      <c r="A1670" s="6" t="s">
        <v>1398</v>
      </c>
      <c r="B1670" s="7">
        <v>45211.38958333333</v>
      </c>
      <c r="C1670" s="6">
        <v>76</v>
      </c>
      <c r="D1670" s="6" t="s">
        <v>800</v>
      </c>
      <c r="E1670" s="8" t="str">
        <f>IFERROR(VLOOKUP(LOG_RESEAU[[#This Row],[Cell_ID]],Registre_Maintenance!A:B,2,FALSE),"Non trouvé")</f>
        <v>Non trouvé</v>
      </c>
      <c r="F1670" s="8" t="str">
        <f>IFERROR(VLOOKUP(LOG_RESEAU[[#This Row],[Cell_ID]],Registre_Maintenance!A:C,3,FALSE),"Non trouvé")</f>
        <v>Non trouvé</v>
      </c>
      <c r="G1670" s="8" t="str">
        <f>IFERROR(VLOOKUP(LOG_RESEAU[[#This Row],[Cell_ID]],Registre_Maintenance!A:D,4,FALSE),"Non trouvé")</f>
        <v>Non trouvé</v>
      </c>
      <c r="H1670" s="6" t="str">
        <f>IFERROR(VLOOKUP(LOG_RESEAU[[#This Row],[Cell_ID]],Registre_Maintenance!A:E,5,FALSE),"Non trouvé")</f>
        <v>Non trouvé</v>
      </c>
      <c r="I1670" s="6" t="str">
        <f>IFERROR(VLOOKUP(LOG_RESEAU[[#This Row],[Cell_ID]],Registre_Maintenance!A:F,6,FALSE),"Non trouvé")</f>
        <v>Non trouvé</v>
      </c>
      <c r="J1670" s="6" t="str">
        <f t="shared" si="78"/>
        <v>Antenne inconnue</v>
      </c>
      <c r="K1670" s="6">
        <f t="shared" si="79"/>
        <v>1</v>
      </c>
      <c r="L1670" s="6">
        <f t="shared" si="80"/>
        <v>76</v>
      </c>
    </row>
    <row r="1671" spans="1:12" ht="15.75" x14ac:dyDescent="0.25">
      <c r="A1671" s="6" t="s">
        <v>1099</v>
      </c>
      <c r="B1671" s="7">
        <v>45212.929166666669</v>
      </c>
      <c r="C1671" s="6">
        <v>118</v>
      </c>
      <c r="D1671" s="6" t="s">
        <v>792</v>
      </c>
      <c r="E1671" s="8" t="str">
        <f>IFERROR(VLOOKUP(LOG_RESEAU[[#This Row],[Cell_ID]],Registre_Maintenance!A:B,2,FALSE),"Non trouvé")</f>
        <v>Non trouvé</v>
      </c>
      <c r="F1671" s="8" t="str">
        <f>IFERROR(VLOOKUP(LOG_RESEAU[[#This Row],[Cell_ID]],Registre_Maintenance!A:C,3,FALSE),"Non trouvé")</f>
        <v>Non trouvé</v>
      </c>
      <c r="G1671" s="8" t="str">
        <f>IFERROR(VLOOKUP(LOG_RESEAU[[#This Row],[Cell_ID]],Registre_Maintenance!A:D,4,FALSE),"Non trouvé")</f>
        <v>Non trouvé</v>
      </c>
      <c r="H1671" s="6" t="str">
        <f>IFERROR(VLOOKUP(LOG_RESEAU[[#This Row],[Cell_ID]],Registre_Maintenance!A:E,5,FALSE),"Non trouvé")</f>
        <v>Non trouvé</v>
      </c>
      <c r="I1671" s="6" t="str">
        <f>IFERROR(VLOOKUP(LOG_RESEAU[[#This Row],[Cell_ID]],Registre_Maintenance!A:F,6,FALSE),"Non trouvé")</f>
        <v>Non trouvé</v>
      </c>
      <c r="J1671" s="6" t="str">
        <f t="shared" si="78"/>
        <v>Antenne inconnue</v>
      </c>
      <c r="K1671" s="6">
        <f t="shared" si="79"/>
        <v>1</v>
      </c>
      <c r="L1671" s="6">
        <f t="shared" si="80"/>
        <v>118</v>
      </c>
    </row>
    <row r="1672" spans="1:12" ht="15.75" x14ac:dyDescent="0.25">
      <c r="A1672" s="6" t="s">
        <v>1149</v>
      </c>
      <c r="B1672" s="7">
        <v>45215.143750000003</v>
      </c>
      <c r="C1672" s="6">
        <v>107</v>
      </c>
      <c r="D1672" s="6" t="s">
        <v>800</v>
      </c>
      <c r="E1672" s="8" t="str">
        <f>IFERROR(VLOOKUP(LOG_RESEAU[[#This Row],[Cell_ID]],Registre_Maintenance!A:B,2,FALSE),"Non trouvé")</f>
        <v>Non trouvé</v>
      </c>
      <c r="F1672" s="8" t="str">
        <f>IFERROR(VLOOKUP(LOG_RESEAU[[#This Row],[Cell_ID]],Registre_Maintenance!A:C,3,FALSE),"Non trouvé")</f>
        <v>Non trouvé</v>
      </c>
      <c r="G1672" s="8" t="str">
        <f>IFERROR(VLOOKUP(LOG_RESEAU[[#This Row],[Cell_ID]],Registre_Maintenance!A:D,4,FALSE),"Non trouvé")</f>
        <v>Non trouvé</v>
      </c>
      <c r="H1672" s="6" t="str">
        <f>IFERROR(VLOOKUP(LOG_RESEAU[[#This Row],[Cell_ID]],Registre_Maintenance!A:E,5,FALSE),"Non trouvé")</f>
        <v>Non trouvé</v>
      </c>
      <c r="I1672" s="6" t="str">
        <f>IFERROR(VLOOKUP(LOG_RESEAU[[#This Row],[Cell_ID]],Registre_Maintenance!A:F,6,FALSE),"Non trouvé")</f>
        <v>Non trouvé</v>
      </c>
      <c r="J1672" s="6" t="str">
        <f t="shared" si="78"/>
        <v>Antenne inconnue</v>
      </c>
      <c r="K1672" s="6">
        <f t="shared" si="79"/>
        <v>2</v>
      </c>
      <c r="L1672" s="6">
        <f t="shared" si="80"/>
        <v>114</v>
      </c>
    </row>
    <row r="1673" spans="1:12" ht="15.75" x14ac:dyDescent="0.25">
      <c r="A1673" s="6" t="s">
        <v>1149</v>
      </c>
      <c r="B1673" s="7">
        <v>45215.811111111107</v>
      </c>
      <c r="C1673" s="6">
        <v>7</v>
      </c>
      <c r="D1673" s="6" t="s">
        <v>792</v>
      </c>
      <c r="E1673" s="8" t="str">
        <f>IFERROR(VLOOKUP(LOG_RESEAU[[#This Row],[Cell_ID]],Registre_Maintenance!A:B,2,FALSE),"Non trouvé")</f>
        <v>Non trouvé</v>
      </c>
      <c r="F1673" s="8" t="str">
        <f>IFERROR(VLOOKUP(LOG_RESEAU[[#This Row],[Cell_ID]],Registre_Maintenance!A:C,3,FALSE),"Non trouvé")</f>
        <v>Non trouvé</v>
      </c>
      <c r="G1673" s="8" t="str">
        <f>IFERROR(VLOOKUP(LOG_RESEAU[[#This Row],[Cell_ID]],Registre_Maintenance!A:D,4,FALSE),"Non trouvé")</f>
        <v>Non trouvé</v>
      </c>
      <c r="H1673" s="6" t="str">
        <f>IFERROR(VLOOKUP(LOG_RESEAU[[#This Row],[Cell_ID]],Registre_Maintenance!A:E,5,FALSE),"Non trouvé")</f>
        <v>Non trouvé</v>
      </c>
      <c r="I1673" s="6" t="str">
        <f>IFERROR(VLOOKUP(LOG_RESEAU[[#This Row],[Cell_ID]],Registre_Maintenance!A:F,6,FALSE),"Non trouvé")</f>
        <v>Non trouvé</v>
      </c>
      <c r="J1673" s="6" t="str">
        <f t="shared" si="78"/>
        <v>Antenne inconnue</v>
      </c>
      <c r="K1673" s="6">
        <f t="shared" si="79"/>
        <v>2</v>
      </c>
      <c r="L1673" s="6">
        <f t="shared" si="80"/>
        <v>114</v>
      </c>
    </row>
    <row r="1674" spans="1:12" ht="15.75" x14ac:dyDescent="0.25">
      <c r="A1674" s="6" t="s">
        <v>1196</v>
      </c>
      <c r="B1674" s="7">
        <v>45223.102083333331</v>
      </c>
      <c r="C1674" s="6">
        <v>104</v>
      </c>
      <c r="D1674" s="6" t="s">
        <v>800</v>
      </c>
      <c r="E1674" s="8" t="str">
        <f>IFERROR(VLOOKUP(LOG_RESEAU[[#This Row],[Cell_ID]],Registre_Maintenance!A:B,2,FALSE),"Non trouvé")</f>
        <v>Non trouvé</v>
      </c>
      <c r="F1674" s="8" t="str">
        <f>IFERROR(VLOOKUP(LOG_RESEAU[[#This Row],[Cell_ID]],Registre_Maintenance!A:C,3,FALSE),"Non trouvé")</f>
        <v>Non trouvé</v>
      </c>
      <c r="G1674" s="8" t="str">
        <f>IFERROR(VLOOKUP(LOG_RESEAU[[#This Row],[Cell_ID]],Registre_Maintenance!A:D,4,FALSE),"Non trouvé")</f>
        <v>Non trouvé</v>
      </c>
      <c r="H1674" s="6" t="str">
        <f>IFERROR(VLOOKUP(LOG_RESEAU[[#This Row],[Cell_ID]],Registre_Maintenance!A:E,5,FALSE),"Non trouvé")</f>
        <v>Non trouvé</v>
      </c>
      <c r="I1674" s="6" t="str">
        <f>IFERROR(VLOOKUP(LOG_RESEAU[[#This Row],[Cell_ID]],Registre_Maintenance!A:F,6,FALSE),"Non trouvé")</f>
        <v>Non trouvé</v>
      </c>
      <c r="J1674" s="6" t="str">
        <f t="shared" si="78"/>
        <v>Antenne inconnue</v>
      </c>
      <c r="K1674" s="6">
        <f t="shared" si="79"/>
        <v>3</v>
      </c>
      <c r="L1674" s="6">
        <f t="shared" si="80"/>
        <v>195</v>
      </c>
    </row>
    <row r="1675" spans="1:12" ht="15.75" x14ac:dyDescent="0.25">
      <c r="A1675" s="6" t="s">
        <v>1196</v>
      </c>
      <c r="B1675" s="7">
        <v>45201.04583333333</v>
      </c>
      <c r="C1675" s="6">
        <v>83</v>
      </c>
      <c r="D1675" s="6" t="s">
        <v>800</v>
      </c>
      <c r="E1675" s="8" t="str">
        <f>IFERROR(VLOOKUP(LOG_RESEAU[[#This Row],[Cell_ID]],Registre_Maintenance!A:B,2,FALSE),"Non trouvé")</f>
        <v>Non trouvé</v>
      </c>
      <c r="F1675" s="8" t="str">
        <f>IFERROR(VLOOKUP(LOG_RESEAU[[#This Row],[Cell_ID]],Registre_Maintenance!A:C,3,FALSE),"Non trouvé")</f>
        <v>Non trouvé</v>
      </c>
      <c r="G1675" s="8" t="str">
        <f>IFERROR(VLOOKUP(LOG_RESEAU[[#This Row],[Cell_ID]],Registre_Maintenance!A:D,4,FALSE),"Non trouvé")</f>
        <v>Non trouvé</v>
      </c>
      <c r="H1675" s="6" t="str">
        <f>IFERROR(VLOOKUP(LOG_RESEAU[[#This Row],[Cell_ID]],Registre_Maintenance!A:E,5,FALSE),"Non trouvé")</f>
        <v>Non trouvé</v>
      </c>
      <c r="I1675" s="6" t="str">
        <f>IFERROR(VLOOKUP(LOG_RESEAU[[#This Row],[Cell_ID]],Registre_Maintenance!A:F,6,FALSE),"Non trouvé")</f>
        <v>Non trouvé</v>
      </c>
      <c r="J1675" s="6" t="str">
        <f t="shared" si="78"/>
        <v>Antenne inconnue</v>
      </c>
      <c r="K1675" s="6">
        <f t="shared" si="79"/>
        <v>3</v>
      </c>
      <c r="L1675" s="6">
        <f t="shared" si="80"/>
        <v>195</v>
      </c>
    </row>
    <row r="1676" spans="1:12" ht="15.75" x14ac:dyDescent="0.25">
      <c r="A1676" s="6" t="s">
        <v>1196</v>
      </c>
      <c r="B1676" s="7">
        <v>45218.906944444447</v>
      </c>
      <c r="C1676" s="6">
        <v>8</v>
      </c>
      <c r="D1676" s="6" t="s">
        <v>792</v>
      </c>
      <c r="E1676" s="8" t="str">
        <f>IFERROR(VLOOKUP(LOG_RESEAU[[#This Row],[Cell_ID]],Registre_Maintenance!A:B,2,FALSE),"Non trouvé")</f>
        <v>Non trouvé</v>
      </c>
      <c r="F1676" s="8" t="str">
        <f>IFERROR(VLOOKUP(LOG_RESEAU[[#This Row],[Cell_ID]],Registre_Maintenance!A:C,3,FALSE),"Non trouvé")</f>
        <v>Non trouvé</v>
      </c>
      <c r="G1676" s="8" t="str">
        <f>IFERROR(VLOOKUP(LOG_RESEAU[[#This Row],[Cell_ID]],Registre_Maintenance!A:D,4,FALSE),"Non trouvé")</f>
        <v>Non trouvé</v>
      </c>
      <c r="H1676" s="6" t="str">
        <f>IFERROR(VLOOKUP(LOG_RESEAU[[#This Row],[Cell_ID]],Registre_Maintenance!A:E,5,FALSE),"Non trouvé")</f>
        <v>Non trouvé</v>
      </c>
      <c r="I1676" s="6" t="str">
        <f>IFERROR(VLOOKUP(LOG_RESEAU[[#This Row],[Cell_ID]],Registre_Maintenance!A:F,6,FALSE),"Non trouvé")</f>
        <v>Non trouvé</v>
      </c>
      <c r="J1676" s="6" t="str">
        <f t="shared" si="78"/>
        <v>Antenne inconnue</v>
      </c>
      <c r="K1676" s="6">
        <f t="shared" si="79"/>
        <v>3</v>
      </c>
      <c r="L1676" s="6">
        <f t="shared" si="80"/>
        <v>195</v>
      </c>
    </row>
    <row r="1677" spans="1:12" ht="15.75" x14ac:dyDescent="0.25">
      <c r="A1677" s="6" t="s">
        <v>1283</v>
      </c>
      <c r="B1677" s="7">
        <v>45210.168055555558</v>
      </c>
      <c r="C1677" s="6">
        <v>110</v>
      </c>
      <c r="D1677" s="6" t="s">
        <v>794</v>
      </c>
      <c r="E1677" s="8" t="str">
        <f>IFERROR(VLOOKUP(LOG_RESEAU[[#This Row],[Cell_ID]],Registre_Maintenance!A:B,2,FALSE),"Non trouvé")</f>
        <v>Tanganyika</v>
      </c>
      <c r="F1677" s="8">
        <f>IFERROR(VLOOKUP(LOG_RESEAU[[#This Row],[Cell_ID]],Registre_Maintenance!A:C,3,FALSE),"Non trouvé")</f>
        <v>-9.9565739999999998</v>
      </c>
      <c r="G1677" s="8">
        <f>IFERROR(VLOOKUP(LOG_RESEAU[[#This Row],[Cell_ID]],Registre_Maintenance!A:D,4,FALSE),"Non trouvé")</f>
        <v>21.017202000000001</v>
      </c>
      <c r="H1677" s="6" t="str">
        <f>IFERROR(VLOOKUP(LOG_RESEAU[[#This Row],[Cell_ID]],Registre_Maintenance!A:E,5,FALSE),"Non trouvé")</f>
        <v>4G</v>
      </c>
      <c r="I1677" s="6" t="str">
        <f>IFERROR(VLOOKUP(LOG_RESEAU[[#This Row],[Cell_ID]],Registre_Maintenance!A:F,6,FALSE),"Non trouvé")</f>
        <v>Huawei</v>
      </c>
      <c r="J1677" s="6" t="str">
        <f t="shared" si="78"/>
        <v>OK</v>
      </c>
      <c r="K1677" s="6">
        <f t="shared" si="79"/>
        <v>1</v>
      </c>
      <c r="L1677" s="6">
        <f t="shared" si="80"/>
        <v>110</v>
      </c>
    </row>
    <row r="1678" spans="1:12" ht="15.75" x14ac:dyDescent="0.25">
      <c r="A1678" s="6" t="s">
        <v>1104</v>
      </c>
      <c r="B1678" s="7">
        <v>45209.524305555547</v>
      </c>
      <c r="C1678" s="6">
        <v>27</v>
      </c>
      <c r="D1678" s="6" t="s">
        <v>792</v>
      </c>
      <c r="E1678" s="8" t="str">
        <f>IFERROR(VLOOKUP(LOG_RESEAU[[#This Row],[Cell_ID]],Registre_Maintenance!A:B,2,FALSE),"Non trouvé")</f>
        <v>Kwilu</v>
      </c>
      <c r="F1678" s="8">
        <f>IFERROR(VLOOKUP(LOG_RESEAU[[#This Row],[Cell_ID]],Registre_Maintenance!A:C,3,FALSE),"Non trouvé")</f>
        <v>2.4741019999999998</v>
      </c>
      <c r="G1678" s="8">
        <f>IFERROR(VLOOKUP(LOG_RESEAU[[#This Row],[Cell_ID]],Registre_Maintenance!A:D,4,FALSE),"Non trouvé")</f>
        <v>29.297391000000001</v>
      </c>
      <c r="H1678" s="6" t="str">
        <f>IFERROR(VLOOKUP(LOG_RESEAU[[#This Row],[Cell_ID]],Registre_Maintenance!A:E,5,FALSE),"Non trouvé")</f>
        <v>4G</v>
      </c>
      <c r="I1678" s="6" t="str">
        <f>IFERROR(VLOOKUP(LOG_RESEAU[[#This Row],[Cell_ID]],Registre_Maintenance!A:F,6,FALSE),"Non trouvé")</f>
        <v>Ericsson</v>
      </c>
      <c r="J1678" s="6" t="str">
        <f t="shared" si="78"/>
        <v>OK</v>
      </c>
      <c r="K1678" s="6">
        <f t="shared" si="79"/>
        <v>3</v>
      </c>
      <c r="L1678" s="6">
        <f t="shared" si="80"/>
        <v>217</v>
      </c>
    </row>
    <row r="1679" spans="1:12" ht="15.75" x14ac:dyDescent="0.25">
      <c r="A1679" s="6" t="s">
        <v>1104</v>
      </c>
      <c r="B1679" s="7">
        <v>45212.754861111112</v>
      </c>
      <c r="C1679" s="6">
        <v>112</v>
      </c>
      <c r="D1679" s="6" t="s">
        <v>792</v>
      </c>
      <c r="E1679" s="8" t="str">
        <f>IFERROR(VLOOKUP(LOG_RESEAU[[#This Row],[Cell_ID]],Registre_Maintenance!A:B,2,FALSE),"Non trouvé")</f>
        <v>Kwilu</v>
      </c>
      <c r="F1679" s="8">
        <f>IFERROR(VLOOKUP(LOG_RESEAU[[#This Row],[Cell_ID]],Registre_Maintenance!A:C,3,FALSE),"Non trouvé")</f>
        <v>2.4741019999999998</v>
      </c>
      <c r="G1679" s="8">
        <f>IFERROR(VLOOKUP(LOG_RESEAU[[#This Row],[Cell_ID]],Registre_Maintenance!A:D,4,FALSE),"Non trouvé")</f>
        <v>29.297391000000001</v>
      </c>
      <c r="H1679" s="6" t="str">
        <f>IFERROR(VLOOKUP(LOG_RESEAU[[#This Row],[Cell_ID]],Registre_Maintenance!A:E,5,FALSE),"Non trouvé")</f>
        <v>4G</v>
      </c>
      <c r="I1679" s="6" t="str">
        <f>IFERROR(VLOOKUP(LOG_RESEAU[[#This Row],[Cell_ID]],Registre_Maintenance!A:F,6,FALSE),"Non trouvé")</f>
        <v>Ericsson</v>
      </c>
      <c r="J1679" s="6" t="str">
        <f t="shared" si="78"/>
        <v>OK</v>
      </c>
      <c r="K1679" s="6">
        <f t="shared" si="79"/>
        <v>3</v>
      </c>
      <c r="L1679" s="6">
        <f t="shared" si="80"/>
        <v>217</v>
      </c>
    </row>
    <row r="1680" spans="1:12" ht="15.75" x14ac:dyDescent="0.25">
      <c r="A1680" s="6" t="s">
        <v>1104</v>
      </c>
      <c r="B1680" s="7">
        <v>45221.167361111111</v>
      </c>
      <c r="C1680" s="6">
        <v>78</v>
      </c>
      <c r="D1680" s="6" t="s">
        <v>800</v>
      </c>
      <c r="E1680" s="8" t="str">
        <f>IFERROR(VLOOKUP(LOG_RESEAU[[#This Row],[Cell_ID]],Registre_Maintenance!A:B,2,FALSE),"Non trouvé")</f>
        <v>Kwilu</v>
      </c>
      <c r="F1680" s="8">
        <f>IFERROR(VLOOKUP(LOG_RESEAU[[#This Row],[Cell_ID]],Registre_Maintenance!A:C,3,FALSE),"Non trouvé")</f>
        <v>2.4741019999999998</v>
      </c>
      <c r="G1680" s="8">
        <f>IFERROR(VLOOKUP(LOG_RESEAU[[#This Row],[Cell_ID]],Registre_Maintenance!A:D,4,FALSE),"Non trouvé")</f>
        <v>29.297391000000001</v>
      </c>
      <c r="H1680" s="6" t="str">
        <f>IFERROR(VLOOKUP(LOG_RESEAU[[#This Row],[Cell_ID]],Registre_Maintenance!A:E,5,FALSE),"Non trouvé")</f>
        <v>4G</v>
      </c>
      <c r="I1680" s="6" t="str">
        <f>IFERROR(VLOOKUP(LOG_RESEAU[[#This Row],[Cell_ID]],Registre_Maintenance!A:F,6,FALSE),"Non trouvé")</f>
        <v>Ericsson</v>
      </c>
      <c r="J1680" s="6" t="str">
        <f t="shared" si="78"/>
        <v>OK</v>
      </c>
      <c r="K1680" s="6">
        <f t="shared" si="79"/>
        <v>3</v>
      </c>
      <c r="L1680" s="6">
        <f t="shared" si="80"/>
        <v>217</v>
      </c>
    </row>
    <row r="1681" spans="1:12" ht="15.75" x14ac:dyDescent="0.25">
      <c r="A1681" s="6" t="s">
        <v>1465</v>
      </c>
      <c r="B1681" s="7">
        <v>45230.767361111109</v>
      </c>
      <c r="C1681" s="6">
        <v>16</v>
      </c>
      <c r="D1681" s="6" t="s">
        <v>792</v>
      </c>
      <c r="E1681" s="8" t="str">
        <f>IFERROR(VLOOKUP(LOG_RESEAU[[#This Row],[Cell_ID]],Registre_Maintenance!A:B,2,FALSE),"Non trouvé")</f>
        <v>Non trouvé</v>
      </c>
      <c r="F1681" s="8" t="str">
        <f>IFERROR(VLOOKUP(LOG_RESEAU[[#This Row],[Cell_ID]],Registre_Maintenance!A:C,3,FALSE),"Non trouvé")</f>
        <v>Non trouvé</v>
      </c>
      <c r="G1681" s="8" t="str">
        <f>IFERROR(VLOOKUP(LOG_RESEAU[[#This Row],[Cell_ID]],Registre_Maintenance!A:D,4,FALSE),"Non trouvé")</f>
        <v>Non trouvé</v>
      </c>
      <c r="H1681" s="6" t="str">
        <f>IFERROR(VLOOKUP(LOG_RESEAU[[#This Row],[Cell_ID]],Registre_Maintenance!A:E,5,FALSE),"Non trouvé")</f>
        <v>Non trouvé</v>
      </c>
      <c r="I1681" s="6" t="str">
        <f>IFERROR(VLOOKUP(LOG_RESEAU[[#This Row],[Cell_ID]],Registre_Maintenance!A:F,6,FALSE),"Non trouvé")</f>
        <v>Non trouvé</v>
      </c>
      <c r="J1681" s="6" t="str">
        <f t="shared" si="78"/>
        <v>Antenne inconnue</v>
      </c>
      <c r="K1681" s="6">
        <f t="shared" si="79"/>
        <v>1</v>
      </c>
      <c r="L1681" s="6">
        <f t="shared" si="80"/>
        <v>16</v>
      </c>
    </row>
    <row r="1682" spans="1:12" ht="15.75" x14ac:dyDescent="0.25">
      <c r="A1682" s="6" t="s">
        <v>1086</v>
      </c>
      <c r="B1682" s="7">
        <v>45211.993055555547</v>
      </c>
      <c r="C1682" s="6">
        <v>29</v>
      </c>
      <c r="D1682" s="6" t="s">
        <v>800</v>
      </c>
      <c r="E1682" s="8" t="str">
        <f>IFERROR(VLOOKUP(LOG_RESEAU[[#This Row],[Cell_ID]],Registre_Maintenance!A:B,2,FALSE),"Non trouvé")</f>
        <v>Non trouvé</v>
      </c>
      <c r="F1682" s="8" t="str">
        <f>IFERROR(VLOOKUP(LOG_RESEAU[[#This Row],[Cell_ID]],Registre_Maintenance!A:C,3,FALSE),"Non trouvé")</f>
        <v>Non trouvé</v>
      </c>
      <c r="G1682" s="8" t="str">
        <f>IFERROR(VLOOKUP(LOG_RESEAU[[#This Row],[Cell_ID]],Registre_Maintenance!A:D,4,FALSE),"Non trouvé")</f>
        <v>Non trouvé</v>
      </c>
      <c r="H1682" s="6" t="str">
        <f>IFERROR(VLOOKUP(LOG_RESEAU[[#This Row],[Cell_ID]],Registre_Maintenance!A:E,5,FALSE),"Non trouvé")</f>
        <v>Non trouvé</v>
      </c>
      <c r="I1682" s="6" t="str">
        <f>IFERROR(VLOOKUP(LOG_RESEAU[[#This Row],[Cell_ID]],Registre_Maintenance!A:F,6,FALSE),"Non trouvé")</f>
        <v>Non trouvé</v>
      </c>
      <c r="J1682" s="6" t="str">
        <f t="shared" si="78"/>
        <v>Antenne inconnue</v>
      </c>
      <c r="K1682" s="6">
        <f t="shared" si="79"/>
        <v>1</v>
      </c>
      <c r="L1682" s="6">
        <f t="shared" si="80"/>
        <v>29</v>
      </c>
    </row>
    <row r="1683" spans="1:12" ht="15.75" x14ac:dyDescent="0.25">
      <c r="A1683" s="6" t="s">
        <v>1167</v>
      </c>
      <c r="B1683" s="7">
        <v>45205.018055555563</v>
      </c>
      <c r="C1683" s="6">
        <v>67</v>
      </c>
      <c r="D1683" s="6" t="s">
        <v>792</v>
      </c>
      <c r="E1683" s="8" t="str">
        <f>IFERROR(VLOOKUP(LOG_RESEAU[[#This Row],[Cell_ID]],Registre_Maintenance!A:B,2,FALSE),"Non trouvé")</f>
        <v>Bas-Uele</v>
      </c>
      <c r="F1683" s="8">
        <f>IFERROR(VLOOKUP(LOG_RESEAU[[#This Row],[Cell_ID]],Registre_Maintenance!A:C,3,FALSE),"Non trouvé")</f>
        <v>1.5278670000000001</v>
      </c>
      <c r="G1683" s="8">
        <f>IFERROR(VLOOKUP(LOG_RESEAU[[#This Row],[Cell_ID]],Registre_Maintenance!A:D,4,FALSE),"Non trouvé")</f>
        <v>13.899388999999999</v>
      </c>
      <c r="H1683" s="6" t="str">
        <f>IFERROR(VLOOKUP(LOG_RESEAU[[#This Row],[Cell_ID]],Registre_Maintenance!A:E,5,FALSE),"Non trouvé")</f>
        <v>3G</v>
      </c>
      <c r="I1683" s="6" t="str">
        <f>IFERROR(VLOOKUP(LOG_RESEAU[[#This Row],[Cell_ID]],Registre_Maintenance!A:F,6,FALSE),"Non trouvé")</f>
        <v>Huawei</v>
      </c>
      <c r="J1683" s="6" t="str">
        <f t="shared" si="78"/>
        <v>OK</v>
      </c>
      <c r="K1683" s="6">
        <f t="shared" si="79"/>
        <v>5</v>
      </c>
      <c r="L1683" s="6">
        <f t="shared" si="80"/>
        <v>273</v>
      </c>
    </row>
    <row r="1684" spans="1:12" ht="15.75" x14ac:dyDescent="0.25">
      <c r="A1684" s="6" t="s">
        <v>1167</v>
      </c>
      <c r="B1684" s="7">
        <v>45201.922222222223</v>
      </c>
      <c r="C1684" s="6">
        <v>32</v>
      </c>
      <c r="D1684" s="6" t="s">
        <v>794</v>
      </c>
      <c r="E1684" s="8" t="str">
        <f>IFERROR(VLOOKUP(LOG_RESEAU[[#This Row],[Cell_ID]],Registre_Maintenance!A:B,2,FALSE),"Non trouvé")</f>
        <v>Bas-Uele</v>
      </c>
      <c r="F1684" s="8">
        <f>IFERROR(VLOOKUP(LOG_RESEAU[[#This Row],[Cell_ID]],Registre_Maintenance!A:C,3,FALSE),"Non trouvé")</f>
        <v>1.5278670000000001</v>
      </c>
      <c r="G1684" s="8">
        <f>IFERROR(VLOOKUP(LOG_RESEAU[[#This Row],[Cell_ID]],Registre_Maintenance!A:D,4,FALSE),"Non trouvé")</f>
        <v>13.899388999999999</v>
      </c>
      <c r="H1684" s="6" t="str">
        <f>IFERROR(VLOOKUP(LOG_RESEAU[[#This Row],[Cell_ID]],Registre_Maintenance!A:E,5,FALSE),"Non trouvé")</f>
        <v>3G</v>
      </c>
      <c r="I1684" s="6" t="str">
        <f>IFERROR(VLOOKUP(LOG_RESEAU[[#This Row],[Cell_ID]],Registre_Maintenance!A:F,6,FALSE),"Non trouvé")</f>
        <v>Huawei</v>
      </c>
      <c r="J1684" s="6" t="str">
        <f t="shared" si="78"/>
        <v>OK</v>
      </c>
      <c r="K1684" s="6">
        <f t="shared" si="79"/>
        <v>5</v>
      </c>
      <c r="L1684" s="6">
        <f t="shared" si="80"/>
        <v>273</v>
      </c>
    </row>
    <row r="1685" spans="1:12" ht="15.75" x14ac:dyDescent="0.25">
      <c r="A1685" s="6" t="s">
        <v>1167</v>
      </c>
      <c r="B1685" s="7">
        <v>45209.921527777777</v>
      </c>
      <c r="C1685" s="6">
        <v>119</v>
      </c>
      <c r="D1685" s="6" t="s">
        <v>794</v>
      </c>
      <c r="E1685" s="8" t="str">
        <f>IFERROR(VLOOKUP(LOG_RESEAU[[#This Row],[Cell_ID]],Registre_Maintenance!A:B,2,FALSE),"Non trouvé")</f>
        <v>Bas-Uele</v>
      </c>
      <c r="F1685" s="8">
        <f>IFERROR(VLOOKUP(LOG_RESEAU[[#This Row],[Cell_ID]],Registre_Maintenance!A:C,3,FALSE),"Non trouvé")</f>
        <v>1.5278670000000001</v>
      </c>
      <c r="G1685" s="8">
        <f>IFERROR(VLOOKUP(LOG_RESEAU[[#This Row],[Cell_ID]],Registre_Maintenance!A:D,4,FALSE),"Non trouvé")</f>
        <v>13.899388999999999</v>
      </c>
      <c r="H1685" s="6" t="str">
        <f>IFERROR(VLOOKUP(LOG_RESEAU[[#This Row],[Cell_ID]],Registre_Maintenance!A:E,5,FALSE),"Non trouvé")</f>
        <v>3G</v>
      </c>
      <c r="I1685" s="6" t="str">
        <f>IFERROR(VLOOKUP(LOG_RESEAU[[#This Row],[Cell_ID]],Registre_Maintenance!A:F,6,FALSE),"Non trouvé")</f>
        <v>Huawei</v>
      </c>
      <c r="J1685" s="6" t="str">
        <f t="shared" si="78"/>
        <v>OK</v>
      </c>
      <c r="K1685" s="6">
        <f t="shared" si="79"/>
        <v>5</v>
      </c>
      <c r="L1685" s="6">
        <f t="shared" si="80"/>
        <v>273</v>
      </c>
    </row>
    <row r="1686" spans="1:12" ht="15.75" x14ac:dyDescent="0.25">
      <c r="A1686" s="6" t="s">
        <v>1167</v>
      </c>
      <c r="B1686" s="7">
        <v>45200.98541666667</v>
      </c>
      <c r="C1686" s="6">
        <v>29</v>
      </c>
      <c r="D1686" s="6" t="s">
        <v>792</v>
      </c>
      <c r="E1686" s="8" t="str">
        <f>IFERROR(VLOOKUP(LOG_RESEAU[[#This Row],[Cell_ID]],Registre_Maintenance!A:B,2,FALSE),"Non trouvé")</f>
        <v>Bas-Uele</v>
      </c>
      <c r="F1686" s="8">
        <f>IFERROR(VLOOKUP(LOG_RESEAU[[#This Row],[Cell_ID]],Registre_Maintenance!A:C,3,FALSE),"Non trouvé")</f>
        <v>1.5278670000000001</v>
      </c>
      <c r="G1686" s="8">
        <f>IFERROR(VLOOKUP(LOG_RESEAU[[#This Row],[Cell_ID]],Registre_Maintenance!A:D,4,FALSE),"Non trouvé")</f>
        <v>13.899388999999999</v>
      </c>
      <c r="H1686" s="6" t="str">
        <f>IFERROR(VLOOKUP(LOG_RESEAU[[#This Row],[Cell_ID]],Registre_Maintenance!A:E,5,FALSE),"Non trouvé")</f>
        <v>3G</v>
      </c>
      <c r="I1686" s="6" t="str">
        <f>IFERROR(VLOOKUP(LOG_RESEAU[[#This Row],[Cell_ID]],Registre_Maintenance!A:F,6,FALSE),"Non trouvé")</f>
        <v>Huawei</v>
      </c>
      <c r="J1686" s="6" t="str">
        <f t="shared" si="78"/>
        <v>OK</v>
      </c>
      <c r="K1686" s="6">
        <f t="shared" si="79"/>
        <v>5</v>
      </c>
      <c r="L1686" s="6">
        <f t="shared" si="80"/>
        <v>273</v>
      </c>
    </row>
    <row r="1687" spans="1:12" ht="15.75" x14ac:dyDescent="0.25">
      <c r="A1687" s="6" t="s">
        <v>1167</v>
      </c>
      <c r="B1687" s="7">
        <v>45223.436111111107</v>
      </c>
      <c r="C1687" s="6">
        <v>26</v>
      </c>
      <c r="D1687" s="6" t="s">
        <v>794</v>
      </c>
      <c r="E1687" s="8" t="str">
        <f>IFERROR(VLOOKUP(LOG_RESEAU[[#This Row],[Cell_ID]],Registre_Maintenance!A:B,2,FALSE),"Non trouvé")</f>
        <v>Bas-Uele</v>
      </c>
      <c r="F1687" s="8">
        <f>IFERROR(VLOOKUP(LOG_RESEAU[[#This Row],[Cell_ID]],Registre_Maintenance!A:C,3,FALSE),"Non trouvé")</f>
        <v>1.5278670000000001</v>
      </c>
      <c r="G1687" s="8">
        <f>IFERROR(VLOOKUP(LOG_RESEAU[[#This Row],[Cell_ID]],Registre_Maintenance!A:D,4,FALSE),"Non trouvé")</f>
        <v>13.899388999999999</v>
      </c>
      <c r="H1687" s="6" t="str">
        <f>IFERROR(VLOOKUP(LOG_RESEAU[[#This Row],[Cell_ID]],Registre_Maintenance!A:E,5,FALSE),"Non trouvé")</f>
        <v>3G</v>
      </c>
      <c r="I1687" s="6" t="str">
        <f>IFERROR(VLOOKUP(LOG_RESEAU[[#This Row],[Cell_ID]],Registre_Maintenance!A:F,6,FALSE),"Non trouvé")</f>
        <v>Huawei</v>
      </c>
      <c r="J1687" s="6" t="str">
        <f t="shared" si="78"/>
        <v>OK</v>
      </c>
      <c r="K1687" s="6">
        <f t="shared" si="79"/>
        <v>5</v>
      </c>
      <c r="L1687" s="6">
        <f t="shared" si="80"/>
        <v>273</v>
      </c>
    </row>
    <row r="1688" spans="1:12" ht="15.75" x14ac:dyDescent="0.25">
      <c r="A1688" s="6" t="s">
        <v>1129</v>
      </c>
      <c r="B1688" s="7">
        <v>45220.117361111108</v>
      </c>
      <c r="C1688" s="6">
        <v>39</v>
      </c>
      <c r="D1688" s="6" t="s">
        <v>794</v>
      </c>
      <c r="E1688" s="8" t="str">
        <f>IFERROR(VLOOKUP(LOG_RESEAU[[#This Row],[Cell_ID]],Registre_Maintenance!A:B,2,FALSE),"Non trouvé")</f>
        <v>Non trouvé</v>
      </c>
      <c r="F1688" s="8" t="str">
        <f>IFERROR(VLOOKUP(LOG_RESEAU[[#This Row],[Cell_ID]],Registre_Maintenance!A:C,3,FALSE),"Non trouvé")</f>
        <v>Non trouvé</v>
      </c>
      <c r="G1688" s="8" t="str">
        <f>IFERROR(VLOOKUP(LOG_RESEAU[[#This Row],[Cell_ID]],Registre_Maintenance!A:D,4,FALSE),"Non trouvé")</f>
        <v>Non trouvé</v>
      </c>
      <c r="H1688" s="6" t="str">
        <f>IFERROR(VLOOKUP(LOG_RESEAU[[#This Row],[Cell_ID]],Registre_Maintenance!A:E,5,FALSE),"Non trouvé")</f>
        <v>Non trouvé</v>
      </c>
      <c r="I1688" s="6" t="str">
        <f>IFERROR(VLOOKUP(LOG_RESEAU[[#This Row],[Cell_ID]],Registre_Maintenance!A:F,6,FALSE),"Non trouvé")</f>
        <v>Non trouvé</v>
      </c>
      <c r="J1688" s="6" t="str">
        <f t="shared" si="78"/>
        <v>Antenne inconnue</v>
      </c>
      <c r="K1688" s="6">
        <f t="shared" si="79"/>
        <v>1</v>
      </c>
      <c r="L1688" s="6">
        <f t="shared" si="80"/>
        <v>39</v>
      </c>
    </row>
    <row r="1689" spans="1:12" ht="15.75" x14ac:dyDescent="0.25">
      <c r="A1689" s="6" t="s">
        <v>1169</v>
      </c>
      <c r="B1689" s="7">
        <v>45209.954861111109</v>
      </c>
      <c r="C1689" s="6">
        <v>57</v>
      </c>
      <c r="D1689" s="6" t="s">
        <v>794</v>
      </c>
      <c r="E1689" s="8" t="str">
        <f>IFERROR(VLOOKUP(LOG_RESEAU[[#This Row],[Cell_ID]],Registre_Maintenance!A:B,2,FALSE),"Non trouvé")</f>
        <v>Non trouvé</v>
      </c>
      <c r="F1689" s="8" t="str">
        <f>IFERROR(VLOOKUP(LOG_RESEAU[[#This Row],[Cell_ID]],Registre_Maintenance!A:C,3,FALSE),"Non trouvé")</f>
        <v>Non trouvé</v>
      </c>
      <c r="G1689" s="8" t="str">
        <f>IFERROR(VLOOKUP(LOG_RESEAU[[#This Row],[Cell_ID]],Registre_Maintenance!A:D,4,FALSE),"Non trouvé")</f>
        <v>Non trouvé</v>
      </c>
      <c r="H1689" s="6" t="str">
        <f>IFERROR(VLOOKUP(LOG_RESEAU[[#This Row],[Cell_ID]],Registre_Maintenance!A:E,5,FALSE),"Non trouvé")</f>
        <v>Non trouvé</v>
      </c>
      <c r="I1689" s="6" t="str">
        <f>IFERROR(VLOOKUP(LOG_RESEAU[[#This Row],[Cell_ID]],Registre_Maintenance!A:F,6,FALSE),"Non trouvé")</f>
        <v>Non trouvé</v>
      </c>
      <c r="J1689" s="6" t="str">
        <f t="shared" si="78"/>
        <v>Antenne inconnue</v>
      </c>
      <c r="K1689" s="6">
        <f t="shared" si="79"/>
        <v>2</v>
      </c>
      <c r="L1689" s="6">
        <f t="shared" si="80"/>
        <v>111</v>
      </c>
    </row>
    <row r="1690" spans="1:12" ht="15.75" x14ac:dyDescent="0.25">
      <c r="A1690" s="6" t="s">
        <v>1169</v>
      </c>
      <c r="B1690" s="7">
        <v>45218.558333333327</v>
      </c>
      <c r="C1690" s="6">
        <v>54</v>
      </c>
      <c r="D1690" s="6" t="s">
        <v>792</v>
      </c>
      <c r="E1690" s="8" t="str">
        <f>IFERROR(VLOOKUP(LOG_RESEAU[[#This Row],[Cell_ID]],Registre_Maintenance!A:B,2,FALSE),"Non trouvé")</f>
        <v>Non trouvé</v>
      </c>
      <c r="F1690" s="8" t="str">
        <f>IFERROR(VLOOKUP(LOG_RESEAU[[#This Row],[Cell_ID]],Registre_Maintenance!A:C,3,FALSE),"Non trouvé")</f>
        <v>Non trouvé</v>
      </c>
      <c r="G1690" s="8" t="str">
        <f>IFERROR(VLOOKUP(LOG_RESEAU[[#This Row],[Cell_ID]],Registre_Maintenance!A:D,4,FALSE),"Non trouvé")</f>
        <v>Non trouvé</v>
      </c>
      <c r="H1690" s="6" t="str">
        <f>IFERROR(VLOOKUP(LOG_RESEAU[[#This Row],[Cell_ID]],Registre_Maintenance!A:E,5,FALSE),"Non trouvé")</f>
        <v>Non trouvé</v>
      </c>
      <c r="I1690" s="6" t="str">
        <f>IFERROR(VLOOKUP(LOG_RESEAU[[#This Row],[Cell_ID]],Registre_Maintenance!A:F,6,FALSE),"Non trouvé")</f>
        <v>Non trouvé</v>
      </c>
      <c r="J1690" s="6" t="str">
        <f t="shared" si="78"/>
        <v>Antenne inconnue</v>
      </c>
      <c r="K1690" s="6">
        <f t="shared" si="79"/>
        <v>2</v>
      </c>
      <c r="L1690" s="6">
        <f t="shared" si="80"/>
        <v>111</v>
      </c>
    </row>
    <row r="1691" spans="1:12" ht="15.75" x14ac:dyDescent="0.25">
      <c r="A1691" s="6" t="s">
        <v>1022</v>
      </c>
      <c r="B1691" s="7">
        <v>45220.94027777778</v>
      </c>
      <c r="C1691" s="6">
        <v>33</v>
      </c>
      <c r="D1691" s="6" t="s">
        <v>792</v>
      </c>
      <c r="E1691" s="8" t="str">
        <f>IFERROR(VLOOKUP(LOG_RESEAU[[#This Row],[Cell_ID]],Registre_Maintenance!A:B,2,FALSE),"Non trouvé")</f>
        <v>Non trouvé</v>
      </c>
      <c r="F1691" s="8" t="str">
        <f>IFERROR(VLOOKUP(LOG_RESEAU[[#This Row],[Cell_ID]],Registre_Maintenance!A:C,3,FALSE),"Non trouvé")</f>
        <v>Non trouvé</v>
      </c>
      <c r="G1691" s="8" t="str">
        <f>IFERROR(VLOOKUP(LOG_RESEAU[[#This Row],[Cell_ID]],Registre_Maintenance!A:D,4,FALSE),"Non trouvé")</f>
        <v>Non trouvé</v>
      </c>
      <c r="H1691" s="6" t="str">
        <f>IFERROR(VLOOKUP(LOG_RESEAU[[#This Row],[Cell_ID]],Registre_Maintenance!A:E,5,FALSE),"Non trouvé")</f>
        <v>Non trouvé</v>
      </c>
      <c r="I1691" s="6" t="str">
        <f>IFERROR(VLOOKUP(LOG_RESEAU[[#This Row],[Cell_ID]],Registre_Maintenance!A:F,6,FALSE),"Non trouvé")</f>
        <v>Non trouvé</v>
      </c>
      <c r="J1691" s="6" t="str">
        <f t="shared" si="78"/>
        <v>Antenne inconnue</v>
      </c>
      <c r="K1691" s="6">
        <f t="shared" si="79"/>
        <v>2</v>
      </c>
      <c r="L1691" s="6">
        <f t="shared" si="80"/>
        <v>114</v>
      </c>
    </row>
    <row r="1692" spans="1:12" ht="15.75" x14ac:dyDescent="0.25">
      <c r="A1692" s="6" t="s">
        <v>1022</v>
      </c>
      <c r="B1692" s="7">
        <v>45227.48333333333</v>
      </c>
      <c r="C1692" s="6">
        <v>81</v>
      </c>
      <c r="D1692" s="6" t="s">
        <v>800</v>
      </c>
      <c r="E1692" s="8" t="str">
        <f>IFERROR(VLOOKUP(LOG_RESEAU[[#This Row],[Cell_ID]],Registre_Maintenance!A:B,2,FALSE),"Non trouvé")</f>
        <v>Non trouvé</v>
      </c>
      <c r="F1692" s="8" t="str">
        <f>IFERROR(VLOOKUP(LOG_RESEAU[[#This Row],[Cell_ID]],Registre_Maintenance!A:C,3,FALSE),"Non trouvé")</f>
        <v>Non trouvé</v>
      </c>
      <c r="G1692" s="8" t="str">
        <f>IFERROR(VLOOKUP(LOG_RESEAU[[#This Row],[Cell_ID]],Registre_Maintenance!A:D,4,FALSE),"Non trouvé")</f>
        <v>Non trouvé</v>
      </c>
      <c r="H1692" s="6" t="str">
        <f>IFERROR(VLOOKUP(LOG_RESEAU[[#This Row],[Cell_ID]],Registre_Maintenance!A:E,5,FALSE),"Non trouvé")</f>
        <v>Non trouvé</v>
      </c>
      <c r="I1692" s="6" t="str">
        <f>IFERROR(VLOOKUP(LOG_RESEAU[[#This Row],[Cell_ID]],Registre_Maintenance!A:F,6,FALSE),"Non trouvé")</f>
        <v>Non trouvé</v>
      </c>
      <c r="J1692" s="6" t="str">
        <f t="shared" si="78"/>
        <v>Antenne inconnue</v>
      </c>
      <c r="K1692" s="6">
        <f t="shared" si="79"/>
        <v>2</v>
      </c>
      <c r="L1692" s="6">
        <f t="shared" si="80"/>
        <v>114</v>
      </c>
    </row>
    <row r="1693" spans="1:12" ht="15.75" x14ac:dyDescent="0.25">
      <c r="A1693" s="6" t="s">
        <v>1304</v>
      </c>
      <c r="B1693" s="7">
        <v>45203.67291666667</v>
      </c>
      <c r="C1693" s="6">
        <v>82</v>
      </c>
      <c r="D1693" s="6" t="s">
        <v>794</v>
      </c>
      <c r="E1693" s="8" t="str">
        <f>IFERROR(VLOOKUP(LOG_RESEAU[[#This Row],[Cell_ID]],Registre_Maintenance!A:B,2,FALSE),"Non trouvé")</f>
        <v>Non trouvé</v>
      </c>
      <c r="F1693" s="8" t="str">
        <f>IFERROR(VLOOKUP(LOG_RESEAU[[#This Row],[Cell_ID]],Registre_Maintenance!A:C,3,FALSE),"Non trouvé")</f>
        <v>Non trouvé</v>
      </c>
      <c r="G1693" s="8" t="str">
        <f>IFERROR(VLOOKUP(LOG_RESEAU[[#This Row],[Cell_ID]],Registre_Maintenance!A:D,4,FALSE),"Non trouvé")</f>
        <v>Non trouvé</v>
      </c>
      <c r="H1693" s="6" t="str">
        <f>IFERROR(VLOOKUP(LOG_RESEAU[[#This Row],[Cell_ID]],Registre_Maintenance!A:E,5,FALSE),"Non trouvé")</f>
        <v>Non trouvé</v>
      </c>
      <c r="I1693" s="6" t="str">
        <f>IFERROR(VLOOKUP(LOG_RESEAU[[#This Row],[Cell_ID]],Registre_Maintenance!A:F,6,FALSE),"Non trouvé")</f>
        <v>Non trouvé</v>
      </c>
      <c r="J1693" s="6" t="str">
        <f t="shared" si="78"/>
        <v>Antenne inconnue</v>
      </c>
      <c r="K1693" s="6">
        <f t="shared" si="79"/>
        <v>1</v>
      </c>
      <c r="L1693" s="6">
        <f t="shared" si="80"/>
        <v>82</v>
      </c>
    </row>
    <row r="1694" spans="1:12" ht="15.75" x14ac:dyDescent="0.25">
      <c r="A1694" s="6" t="s">
        <v>1350</v>
      </c>
      <c r="B1694" s="7">
        <v>45225.061805555553</v>
      </c>
      <c r="C1694" s="6">
        <v>15</v>
      </c>
      <c r="D1694" s="6" t="s">
        <v>792</v>
      </c>
      <c r="E1694" s="8" t="str">
        <f>IFERROR(VLOOKUP(LOG_RESEAU[[#This Row],[Cell_ID]],Registre_Maintenance!A:B,2,FALSE),"Non trouvé")</f>
        <v>Non trouvé</v>
      </c>
      <c r="F1694" s="8" t="str">
        <f>IFERROR(VLOOKUP(LOG_RESEAU[[#This Row],[Cell_ID]],Registre_Maintenance!A:C,3,FALSE),"Non trouvé")</f>
        <v>Non trouvé</v>
      </c>
      <c r="G1694" s="8" t="str">
        <f>IFERROR(VLOOKUP(LOG_RESEAU[[#This Row],[Cell_ID]],Registre_Maintenance!A:D,4,FALSE),"Non trouvé")</f>
        <v>Non trouvé</v>
      </c>
      <c r="H1694" s="6" t="str">
        <f>IFERROR(VLOOKUP(LOG_RESEAU[[#This Row],[Cell_ID]],Registre_Maintenance!A:E,5,FALSE),"Non trouvé")</f>
        <v>Non trouvé</v>
      </c>
      <c r="I1694" s="6" t="str">
        <f>IFERROR(VLOOKUP(LOG_RESEAU[[#This Row],[Cell_ID]],Registre_Maintenance!A:F,6,FALSE),"Non trouvé")</f>
        <v>Non trouvé</v>
      </c>
      <c r="J1694" s="6" t="str">
        <f t="shared" si="78"/>
        <v>Antenne inconnue</v>
      </c>
      <c r="K1694" s="6">
        <f t="shared" si="79"/>
        <v>2</v>
      </c>
      <c r="L1694" s="6">
        <f t="shared" si="80"/>
        <v>47</v>
      </c>
    </row>
    <row r="1695" spans="1:12" ht="15.75" x14ac:dyDescent="0.25">
      <c r="A1695" s="6" t="s">
        <v>1350</v>
      </c>
      <c r="B1695" s="7">
        <v>45205.365972222222</v>
      </c>
      <c r="C1695" s="6">
        <v>32</v>
      </c>
      <c r="D1695" s="6" t="s">
        <v>794</v>
      </c>
      <c r="E1695" s="8" t="str">
        <f>IFERROR(VLOOKUP(LOG_RESEAU[[#This Row],[Cell_ID]],Registre_Maintenance!A:B,2,FALSE),"Non trouvé")</f>
        <v>Non trouvé</v>
      </c>
      <c r="F1695" s="8" t="str">
        <f>IFERROR(VLOOKUP(LOG_RESEAU[[#This Row],[Cell_ID]],Registre_Maintenance!A:C,3,FALSE),"Non trouvé")</f>
        <v>Non trouvé</v>
      </c>
      <c r="G1695" s="8" t="str">
        <f>IFERROR(VLOOKUP(LOG_RESEAU[[#This Row],[Cell_ID]],Registre_Maintenance!A:D,4,FALSE),"Non trouvé")</f>
        <v>Non trouvé</v>
      </c>
      <c r="H1695" s="6" t="str">
        <f>IFERROR(VLOOKUP(LOG_RESEAU[[#This Row],[Cell_ID]],Registre_Maintenance!A:E,5,FALSE),"Non trouvé")</f>
        <v>Non trouvé</v>
      </c>
      <c r="I1695" s="6" t="str">
        <f>IFERROR(VLOOKUP(LOG_RESEAU[[#This Row],[Cell_ID]],Registre_Maintenance!A:F,6,FALSE),"Non trouvé")</f>
        <v>Non trouvé</v>
      </c>
      <c r="J1695" s="6" t="str">
        <f t="shared" si="78"/>
        <v>Antenne inconnue</v>
      </c>
      <c r="K1695" s="6">
        <f t="shared" si="79"/>
        <v>2</v>
      </c>
      <c r="L1695" s="6">
        <f t="shared" si="80"/>
        <v>47</v>
      </c>
    </row>
    <row r="1696" spans="1:12" ht="15.75" x14ac:dyDescent="0.25">
      <c r="A1696" s="6" t="s">
        <v>1107</v>
      </c>
      <c r="B1696" s="7">
        <v>45214.613194444442</v>
      </c>
      <c r="C1696" s="6">
        <v>11</v>
      </c>
      <c r="D1696" s="6" t="s">
        <v>792</v>
      </c>
      <c r="E1696" s="8" t="str">
        <f>IFERROR(VLOOKUP(LOG_RESEAU[[#This Row],[Cell_ID]],Registre_Maintenance!A:B,2,FALSE),"Non trouvé")</f>
        <v>Non trouvé</v>
      </c>
      <c r="F1696" s="8" t="str">
        <f>IFERROR(VLOOKUP(LOG_RESEAU[[#This Row],[Cell_ID]],Registre_Maintenance!A:C,3,FALSE),"Non trouvé")</f>
        <v>Non trouvé</v>
      </c>
      <c r="G1696" s="8" t="str">
        <f>IFERROR(VLOOKUP(LOG_RESEAU[[#This Row],[Cell_ID]],Registre_Maintenance!A:D,4,FALSE),"Non trouvé")</f>
        <v>Non trouvé</v>
      </c>
      <c r="H1696" s="6" t="str">
        <f>IFERROR(VLOOKUP(LOG_RESEAU[[#This Row],[Cell_ID]],Registre_Maintenance!A:E,5,FALSE),"Non trouvé")</f>
        <v>Non trouvé</v>
      </c>
      <c r="I1696" s="6" t="str">
        <f>IFERROR(VLOOKUP(LOG_RESEAU[[#This Row],[Cell_ID]],Registre_Maintenance!A:F,6,FALSE),"Non trouvé")</f>
        <v>Non trouvé</v>
      </c>
      <c r="J1696" s="6" t="str">
        <f t="shared" si="78"/>
        <v>Antenne inconnue</v>
      </c>
      <c r="K1696" s="6">
        <f t="shared" si="79"/>
        <v>2</v>
      </c>
      <c r="L1696" s="6">
        <f t="shared" si="80"/>
        <v>78</v>
      </c>
    </row>
    <row r="1697" spans="1:12" ht="15.75" x14ac:dyDescent="0.25">
      <c r="A1697" s="6" t="s">
        <v>1107</v>
      </c>
      <c r="B1697" s="7">
        <v>45215.479166666657</v>
      </c>
      <c r="C1697" s="6">
        <v>67</v>
      </c>
      <c r="D1697" s="6" t="s">
        <v>792</v>
      </c>
      <c r="E1697" s="8" t="str">
        <f>IFERROR(VLOOKUP(LOG_RESEAU[[#This Row],[Cell_ID]],Registre_Maintenance!A:B,2,FALSE),"Non trouvé")</f>
        <v>Non trouvé</v>
      </c>
      <c r="F1697" s="8" t="str">
        <f>IFERROR(VLOOKUP(LOG_RESEAU[[#This Row],[Cell_ID]],Registre_Maintenance!A:C,3,FALSE),"Non trouvé")</f>
        <v>Non trouvé</v>
      </c>
      <c r="G1697" s="8" t="str">
        <f>IFERROR(VLOOKUP(LOG_RESEAU[[#This Row],[Cell_ID]],Registre_Maintenance!A:D,4,FALSE),"Non trouvé")</f>
        <v>Non trouvé</v>
      </c>
      <c r="H1697" s="6" t="str">
        <f>IFERROR(VLOOKUP(LOG_RESEAU[[#This Row],[Cell_ID]],Registre_Maintenance!A:E,5,FALSE),"Non trouvé")</f>
        <v>Non trouvé</v>
      </c>
      <c r="I1697" s="6" t="str">
        <f>IFERROR(VLOOKUP(LOG_RESEAU[[#This Row],[Cell_ID]],Registre_Maintenance!A:F,6,FALSE),"Non trouvé")</f>
        <v>Non trouvé</v>
      </c>
      <c r="J1697" s="6" t="str">
        <f t="shared" si="78"/>
        <v>Antenne inconnue</v>
      </c>
      <c r="K1697" s="6">
        <f t="shared" si="79"/>
        <v>2</v>
      </c>
      <c r="L1697" s="6">
        <f t="shared" si="80"/>
        <v>78</v>
      </c>
    </row>
    <row r="1698" spans="1:12" ht="15.75" x14ac:dyDescent="0.25">
      <c r="A1698" s="6" t="s">
        <v>1182</v>
      </c>
      <c r="B1698" s="7">
        <v>45210.280555555553</v>
      </c>
      <c r="C1698" s="6">
        <v>43</v>
      </c>
      <c r="D1698" s="6" t="s">
        <v>800</v>
      </c>
      <c r="E1698" s="8" t="str">
        <f>IFERROR(VLOOKUP(LOG_RESEAU[[#This Row],[Cell_ID]],Registre_Maintenance!A:B,2,FALSE),"Non trouvé")</f>
        <v>Sud-Ubangi</v>
      </c>
      <c r="F1698" s="8">
        <f>IFERROR(VLOOKUP(LOG_RESEAU[[#This Row],[Cell_ID]],Registre_Maintenance!A:C,3,FALSE),"Non trouvé")</f>
        <v>-12.342053999999999</v>
      </c>
      <c r="G1698" s="8">
        <f>IFERROR(VLOOKUP(LOG_RESEAU[[#This Row],[Cell_ID]],Registre_Maintenance!A:D,4,FALSE),"Non trouvé")</f>
        <v>18.756862000000002</v>
      </c>
      <c r="H1698" s="6" t="str">
        <f>IFERROR(VLOOKUP(LOG_RESEAU[[#This Row],[Cell_ID]],Registre_Maintenance!A:E,5,FALSE),"Non trouvé")</f>
        <v>3G</v>
      </c>
      <c r="I1698" s="6" t="str">
        <f>IFERROR(VLOOKUP(LOG_RESEAU[[#This Row],[Cell_ID]],Registre_Maintenance!A:F,6,FALSE),"Non trouvé")</f>
        <v>Ericsson</v>
      </c>
      <c r="J1698" s="6" t="str">
        <f t="shared" si="78"/>
        <v>OK</v>
      </c>
      <c r="K1698" s="6">
        <f t="shared" si="79"/>
        <v>2</v>
      </c>
      <c r="L1698" s="6">
        <f t="shared" si="80"/>
        <v>88</v>
      </c>
    </row>
    <row r="1699" spans="1:12" ht="15.75" x14ac:dyDescent="0.25">
      <c r="A1699" s="6" t="s">
        <v>1182</v>
      </c>
      <c r="B1699" s="7">
        <v>45211.904861111107</v>
      </c>
      <c r="C1699" s="6">
        <v>45</v>
      </c>
      <c r="D1699" s="6" t="s">
        <v>792</v>
      </c>
      <c r="E1699" s="8" t="str">
        <f>IFERROR(VLOOKUP(LOG_RESEAU[[#This Row],[Cell_ID]],Registre_Maintenance!A:B,2,FALSE),"Non trouvé")</f>
        <v>Sud-Ubangi</v>
      </c>
      <c r="F1699" s="8">
        <f>IFERROR(VLOOKUP(LOG_RESEAU[[#This Row],[Cell_ID]],Registre_Maintenance!A:C,3,FALSE),"Non trouvé")</f>
        <v>-12.342053999999999</v>
      </c>
      <c r="G1699" s="8">
        <f>IFERROR(VLOOKUP(LOG_RESEAU[[#This Row],[Cell_ID]],Registre_Maintenance!A:D,4,FALSE),"Non trouvé")</f>
        <v>18.756862000000002</v>
      </c>
      <c r="H1699" s="6" t="str">
        <f>IFERROR(VLOOKUP(LOG_RESEAU[[#This Row],[Cell_ID]],Registre_Maintenance!A:E,5,FALSE),"Non trouvé")</f>
        <v>3G</v>
      </c>
      <c r="I1699" s="6" t="str">
        <f>IFERROR(VLOOKUP(LOG_RESEAU[[#This Row],[Cell_ID]],Registre_Maintenance!A:F,6,FALSE),"Non trouvé")</f>
        <v>Ericsson</v>
      </c>
      <c r="J1699" s="6" t="str">
        <f t="shared" si="78"/>
        <v>OK</v>
      </c>
      <c r="K1699" s="6">
        <f t="shared" si="79"/>
        <v>2</v>
      </c>
      <c r="L1699" s="6">
        <f t="shared" si="80"/>
        <v>88</v>
      </c>
    </row>
    <row r="1700" spans="1:12" ht="15.75" x14ac:dyDescent="0.25">
      <c r="A1700" s="6" t="s">
        <v>1382</v>
      </c>
      <c r="B1700" s="7">
        <v>45202.095138888893</v>
      </c>
      <c r="C1700" s="6">
        <v>61</v>
      </c>
      <c r="D1700" s="6" t="s">
        <v>800</v>
      </c>
      <c r="E1700" s="8" t="str">
        <f>IFERROR(VLOOKUP(LOG_RESEAU[[#This Row],[Cell_ID]],Registre_Maintenance!A:B,2,FALSE),"Non trouvé")</f>
        <v>Non trouvé</v>
      </c>
      <c r="F1700" s="8" t="str">
        <f>IFERROR(VLOOKUP(LOG_RESEAU[[#This Row],[Cell_ID]],Registre_Maintenance!A:C,3,FALSE),"Non trouvé")</f>
        <v>Non trouvé</v>
      </c>
      <c r="G1700" s="8" t="str">
        <f>IFERROR(VLOOKUP(LOG_RESEAU[[#This Row],[Cell_ID]],Registre_Maintenance!A:D,4,FALSE),"Non trouvé")</f>
        <v>Non trouvé</v>
      </c>
      <c r="H1700" s="6" t="str">
        <f>IFERROR(VLOOKUP(LOG_RESEAU[[#This Row],[Cell_ID]],Registre_Maintenance!A:E,5,FALSE),"Non trouvé")</f>
        <v>Non trouvé</v>
      </c>
      <c r="I1700" s="6" t="str">
        <f>IFERROR(VLOOKUP(LOG_RESEAU[[#This Row],[Cell_ID]],Registre_Maintenance!A:F,6,FALSE),"Non trouvé")</f>
        <v>Non trouvé</v>
      </c>
      <c r="J1700" s="6" t="str">
        <f t="shared" si="78"/>
        <v>Antenne inconnue</v>
      </c>
      <c r="K1700" s="6">
        <f t="shared" si="79"/>
        <v>1</v>
      </c>
      <c r="L1700" s="6">
        <f t="shared" si="80"/>
        <v>61</v>
      </c>
    </row>
    <row r="1701" spans="1:12" ht="15.75" x14ac:dyDescent="0.25">
      <c r="A1701" s="6" t="s">
        <v>1252</v>
      </c>
      <c r="B1701" s="7">
        <v>45205.052083333343</v>
      </c>
      <c r="C1701" s="6">
        <v>81</v>
      </c>
      <c r="D1701" s="6" t="s">
        <v>792</v>
      </c>
      <c r="E1701" s="8" t="str">
        <f>IFERROR(VLOOKUP(LOG_RESEAU[[#This Row],[Cell_ID]],Registre_Maintenance!A:B,2,FALSE),"Non trouvé")</f>
        <v>Kasai</v>
      </c>
      <c r="F1701" s="8">
        <f>IFERROR(VLOOKUP(LOG_RESEAU[[#This Row],[Cell_ID]],Registre_Maintenance!A:C,3,FALSE),"Non trouvé")</f>
        <v>1.5802860000000001</v>
      </c>
      <c r="G1701" s="8">
        <f>IFERROR(VLOOKUP(LOG_RESEAU[[#This Row],[Cell_ID]],Registre_Maintenance!A:D,4,FALSE),"Non trouvé")</f>
        <v>20.99053</v>
      </c>
      <c r="H1701" s="6" t="str">
        <f>IFERROR(VLOOKUP(LOG_RESEAU[[#This Row],[Cell_ID]],Registre_Maintenance!A:E,5,FALSE),"Non trouvé")</f>
        <v>4G</v>
      </c>
      <c r="I1701" s="6" t="str">
        <f>IFERROR(VLOOKUP(LOG_RESEAU[[#This Row],[Cell_ID]],Registre_Maintenance!A:F,6,FALSE),"Non trouvé")</f>
        <v>ZTE</v>
      </c>
      <c r="J1701" s="6" t="str">
        <f t="shared" si="78"/>
        <v>OK</v>
      </c>
      <c r="K1701" s="6">
        <f t="shared" si="79"/>
        <v>2</v>
      </c>
      <c r="L1701" s="6">
        <f t="shared" si="80"/>
        <v>103</v>
      </c>
    </row>
    <row r="1702" spans="1:12" ht="15.75" x14ac:dyDescent="0.25">
      <c r="A1702" s="6" t="s">
        <v>1252</v>
      </c>
      <c r="B1702" s="7">
        <v>45220.927777777782</v>
      </c>
      <c r="C1702" s="6">
        <v>22</v>
      </c>
      <c r="D1702" s="6" t="s">
        <v>800</v>
      </c>
      <c r="E1702" s="8" t="str">
        <f>IFERROR(VLOOKUP(LOG_RESEAU[[#This Row],[Cell_ID]],Registre_Maintenance!A:B,2,FALSE),"Non trouvé")</f>
        <v>Kasai</v>
      </c>
      <c r="F1702" s="8">
        <f>IFERROR(VLOOKUP(LOG_RESEAU[[#This Row],[Cell_ID]],Registre_Maintenance!A:C,3,FALSE),"Non trouvé")</f>
        <v>1.5802860000000001</v>
      </c>
      <c r="G1702" s="8">
        <f>IFERROR(VLOOKUP(LOG_RESEAU[[#This Row],[Cell_ID]],Registre_Maintenance!A:D,4,FALSE),"Non trouvé")</f>
        <v>20.99053</v>
      </c>
      <c r="H1702" s="6" t="str">
        <f>IFERROR(VLOOKUP(LOG_RESEAU[[#This Row],[Cell_ID]],Registre_Maintenance!A:E,5,FALSE),"Non trouvé")</f>
        <v>4G</v>
      </c>
      <c r="I1702" s="6" t="str">
        <f>IFERROR(VLOOKUP(LOG_RESEAU[[#This Row],[Cell_ID]],Registre_Maintenance!A:F,6,FALSE),"Non trouvé")</f>
        <v>ZTE</v>
      </c>
      <c r="J1702" s="6" t="str">
        <f t="shared" si="78"/>
        <v>OK</v>
      </c>
      <c r="K1702" s="6">
        <f t="shared" si="79"/>
        <v>2</v>
      </c>
      <c r="L1702" s="6">
        <f t="shared" si="80"/>
        <v>103</v>
      </c>
    </row>
    <row r="1703" spans="1:12" ht="15.75" x14ac:dyDescent="0.25">
      <c r="A1703" s="6" t="s">
        <v>1062</v>
      </c>
      <c r="B1703" s="7">
        <v>45213.645833333343</v>
      </c>
      <c r="C1703" s="6">
        <v>95</v>
      </c>
      <c r="D1703" s="6" t="s">
        <v>794</v>
      </c>
      <c r="E1703" s="8" t="str">
        <f>IFERROR(VLOOKUP(LOG_RESEAU[[#This Row],[Cell_ID]],Registre_Maintenance!A:B,2,FALSE),"Non trouvé")</f>
        <v>Haut-Katanga</v>
      </c>
      <c r="F1703" s="8">
        <f>IFERROR(VLOOKUP(LOG_RESEAU[[#This Row],[Cell_ID]],Registre_Maintenance!A:C,3,FALSE),"Non trouvé")</f>
        <v>-2.9417719999999998</v>
      </c>
      <c r="G1703" s="8">
        <f>IFERROR(VLOOKUP(LOG_RESEAU[[#This Row],[Cell_ID]],Registre_Maintenance!A:D,4,FALSE),"Non trouvé")</f>
        <v>18.587305000000001</v>
      </c>
      <c r="H1703" s="6" t="str">
        <f>IFERROR(VLOOKUP(LOG_RESEAU[[#This Row],[Cell_ID]],Registre_Maintenance!A:E,5,FALSE),"Non trouvé")</f>
        <v>5G</v>
      </c>
      <c r="I1703" s="6" t="str">
        <f>IFERROR(VLOOKUP(LOG_RESEAU[[#This Row],[Cell_ID]],Registre_Maintenance!A:F,6,FALSE),"Non trouvé")</f>
        <v>Ericsson</v>
      </c>
      <c r="J1703" s="6" t="str">
        <f t="shared" si="78"/>
        <v>OK</v>
      </c>
      <c r="K1703" s="6">
        <f t="shared" si="79"/>
        <v>2</v>
      </c>
      <c r="L1703" s="6">
        <f t="shared" si="80"/>
        <v>204</v>
      </c>
    </row>
    <row r="1704" spans="1:12" ht="15.75" x14ac:dyDescent="0.25">
      <c r="A1704" s="6" t="s">
        <v>1062</v>
      </c>
      <c r="B1704" s="7">
        <v>45222.834027777782</v>
      </c>
      <c r="C1704" s="6">
        <v>109</v>
      </c>
      <c r="D1704" s="6" t="s">
        <v>800</v>
      </c>
      <c r="E1704" s="8" t="str">
        <f>IFERROR(VLOOKUP(LOG_RESEAU[[#This Row],[Cell_ID]],Registre_Maintenance!A:B,2,FALSE),"Non trouvé")</f>
        <v>Haut-Katanga</v>
      </c>
      <c r="F1704" s="8">
        <f>IFERROR(VLOOKUP(LOG_RESEAU[[#This Row],[Cell_ID]],Registre_Maintenance!A:C,3,FALSE),"Non trouvé")</f>
        <v>-2.9417719999999998</v>
      </c>
      <c r="G1704" s="8">
        <f>IFERROR(VLOOKUP(LOG_RESEAU[[#This Row],[Cell_ID]],Registre_Maintenance!A:D,4,FALSE),"Non trouvé")</f>
        <v>18.587305000000001</v>
      </c>
      <c r="H1704" s="6" t="str">
        <f>IFERROR(VLOOKUP(LOG_RESEAU[[#This Row],[Cell_ID]],Registre_Maintenance!A:E,5,FALSE),"Non trouvé")</f>
        <v>5G</v>
      </c>
      <c r="I1704" s="6" t="str">
        <f>IFERROR(VLOOKUP(LOG_RESEAU[[#This Row],[Cell_ID]],Registre_Maintenance!A:F,6,FALSE),"Non trouvé")</f>
        <v>Ericsson</v>
      </c>
      <c r="J1704" s="6" t="str">
        <f t="shared" si="78"/>
        <v>OK</v>
      </c>
      <c r="K1704" s="6">
        <f t="shared" si="79"/>
        <v>2</v>
      </c>
      <c r="L1704" s="6">
        <f t="shared" si="80"/>
        <v>204</v>
      </c>
    </row>
    <row r="1705" spans="1:12" ht="15.75" x14ac:dyDescent="0.25">
      <c r="A1705" s="6" t="s">
        <v>1154</v>
      </c>
      <c r="B1705" s="7">
        <v>45215.10833333333</v>
      </c>
      <c r="C1705" s="6">
        <v>39</v>
      </c>
      <c r="D1705" s="6" t="s">
        <v>792</v>
      </c>
      <c r="E1705" s="8" t="str">
        <f>IFERROR(VLOOKUP(LOG_RESEAU[[#This Row],[Cell_ID]],Registre_Maintenance!A:B,2,FALSE),"Non trouvé")</f>
        <v>Non trouvé</v>
      </c>
      <c r="F1705" s="8" t="str">
        <f>IFERROR(VLOOKUP(LOG_RESEAU[[#This Row],[Cell_ID]],Registre_Maintenance!A:C,3,FALSE),"Non trouvé")</f>
        <v>Non trouvé</v>
      </c>
      <c r="G1705" s="8" t="str">
        <f>IFERROR(VLOOKUP(LOG_RESEAU[[#This Row],[Cell_ID]],Registre_Maintenance!A:D,4,FALSE),"Non trouvé")</f>
        <v>Non trouvé</v>
      </c>
      <c r="H1705" s="6" t="str">
        <f>IFERROR(VLOOKUP(LOG_RESEAU[[#This Row],[Cell_ID]],Registre_Maintenance!A:E,5,FALSE),"Non trouvé")</f>
        <v>Non trouvé</v>
      </c>
      <c r="I1705" s="6" t="str">
        <f>IFERROR(VLOOKUP(LOG_RESEAU[[#This Row],[Cell_ID]],Registre_Maintenance!A:F,6,FALSE),"Non trouvé")</f>
        <v>Non trouvé</v>
      </c>
      <c r="J1705" s="6" t="str">
        <f t="shared" si="78"/>
        <v>Antenne inconnue</v>
      </c>
      <c r="K1705" s="6">
        <f t="shared" si="79"/>
        <v>2</v>
      </c>
      <c r="L1705" s="6">
        <f t="shared" si="80"/>
        <v>65</v>
      </c>
    </row>
    <row r="1706" spans="1:12" ht="15.75" x14ac:dyDescent="0.25">
      <c r="A1706" s="6" t="s">
        <v>1154</v>
      </c>
      <c r="B1706" s="7">
        <v>45214.272916666669</v>
      </c>
      <c r="C1706" s="6">
        <v>26</v>
      </c>
      <c r="D1706" s="6" t="s">
        <v>800</v>
      </c>
      <c r="E1706" s="8" t="str">
        <f>IFERROR(VLOOKUP(LOG_RESEAU[[#This Row],[Cell_ID]],Registre_Maintenance!A:B,2,FALSE),"Non trouvé")</f>
        <v>Non trouvé</v>
      </c>
      <c r="F1706" s="8" t="str">
        <f>IFERROR(VLOOKUP(LOG_RESEAU[[#This Row],[Cell_ID]],Registre_Maintenance!A:C,3,FALSE),"Non trouvé")</f>
        <v>Non trouvé</v>
      </c>
      <c r="G1706" s="8" t="str">
        <f>IFERROR(VLOOKUP(LOG_RESEAU[[#This Row],[Cell_ID]],Registre_Maintenance!A:D,4,FALSE),"Non trouvé")</f>
        <v>Non trouvé</v>
      </c>
      <c r="H1706" s="6" t="str">
        <f>IFERROR(VLOOKUP(LOG_RESEAU[[#This Row],[Cell_ID]],Registre_Maintenance!A:E,5,FALSE),"Non trouvé")</f>
        <v>Non trouvé</v>
      </c>
      <c r="I1706" s="6" t="str">
        <f>IFERROR(VLOOKUP(LOG_RESEAU[[#This Row],[Cell_ID]],Registre_Maintenance!A:F,6,FALSE),"Non trouvé")</f>
        <v>Non trouvé</v>
      </c>
      <c r="J1706" s="6" t="str">
        <f t="shared" si="78"/>
        <v>Antenne inconnue</v>
      </c>
      <c r="K1706" s="6">
        <f t="shared" si="79"/>
        <v>2</v>
      </c>
      <c r="L1706" s="6">
        <f t="shared" si="80"/>
        <v>65</v>
      </c>
    </row>
    <row r="1707" spans="1:12" ht="15.75" x14ac:dyDescent="0.25">
      <c r="A1707" s="6" t="s">
        <v>1532</v>
      </c>
      <c r="B1707" s="7">
        <v>45217.944444444453</v>
      </c>
      <c r="C1707" s="6">
        <v>33</v>
      </c>
      <c r="D1707" s="6" t="s">
        <v>794</v>
      </c>
      <c r="E1707" s="8" t="str">
        <f>IFERROR(VLOOKUP(LOG_RESEAU[[#This Row],[Cell_ID]],Registre_Maintenance!A:B,2,FALSE),"Non trouvé")</f>
        <v>Non trouvé</v>
      </c>
      <c r="F1707" s="8" t="str">
        <f>IFERROR(VLOOKUP(LOG_RESEAU[[#This Row],[Cell_ID]],Registre_Maintenance!A:C,3,FALSE),"Non trouvé")</f>
        <v>Non trouvé</v>
      </c>
      <c r="G1707" s="8" t="str">
        <f>IFERROR(VLOOKUP(LOG_RESEAU[[#This Row],[Cell_ID]],Registre_Maintenance!A:D,4,FALSE),"Non trouvé")</f>
        <v>Non trouvé</v>
      </c>
      <c r="H1707" s="6" t="str">
        <f>IFERROR(VLOOKUP(LOG_RESEAU[[#This Row],[Cell_ID]],Registre_Maintenance!A:E,5,FALSE),"Non trouvé")</f>
        <v>Non trouvé</v>
      </c>
      <c r="I1707" s="6" t="str">
        <f>IFERROR(VLOOKUP(LOG_RESEAU[[#This Row],[Cell_ID]],Registre_Maintenance!A:F,6,FALSE),"Non trouvé")</f>
        <v>Non trouvé</v>
      </c>
      <c r="J1707" s="6" t="str">
        <f t="shared" si="78"/>
        <v>Antenne inconnue</v>
      </c>
      <c r="K1707" s="6">
        <f t="shared" si="79"/>
        <v>1</v>
      </c>
      <c r="L1707" s="6">
        <f t="shared" si="80"/>
        <v>33</v>
      </c>
    </row>
    <row r="1708" spans="1:12" ht="15.75" x14ac:dyDescent="0.25">
      <c r="A1708" s="6" t="s">
        <v>1403</v>
      </c>
      <c r="B1708" s="7">
        <v>45216.232638888891</v>
      </c>
      <c r="C1708" s="6">
        <v>11</v>
      </c>
      <c r="D1708" s="6" t="s">
        <v>792</v>
      </c>
      <c r="E1708" s="8" t="str">
        <f>IFERROR(VLOOKUP(LOG_RESEAU[[#This Row],[Cell_ID]],Registre_Maintenance!A:B,2,FALSE),"Non trouvé")</f>
        <v>Kasai</v>
      </c>
      <c r="F1708" s="8">
        <f>IFERROR(VLOOKUP(LOG_RESEAU[[#This Row],[Cell_ID]],Registre_Maintenance!A:C,3,FALSE),"Non trouvé")</f>
        <v>-3.8119990000000001</v>
      </c>
      <c r="G1708" s="8">
        <f>IFERROR(VLOOKUP(LOG_RESEAU[[#This Row],[Cell_ID]],Registre_Maintenance!A:D,4,FALSE),"Non trouvé")</f>
        <v>20.420048000000001</v>
      </c>
      <c r="H1708" s="6" t="str">
        <f>IFERROR(VLOOKUP(LOG_RESEAU[[#This Row],[Cell_ID]],Registre_Maintenance!A:E,5,FALSE),"Non trouvé")</f>
        <v>3G</v>
      </c>
      <c r="I1708" s="6" t="str">
        <f>IFERROR(VLOOKUP(LOG_RESEAU[[#This Row],[Cell_ID]],Registre_Maintenance!A:F,6,FALSE),"Non trouvé")</f>
        <v>ZTE</v>
      </c>
      <c r="J1708" s="6" t="str">
        <f t="shared" si="78"/>
        <v>OK</v>
      </c>
      <c r="K1708" s="6">
        <f t="shared" si="79"/>
        <v>1</v>
      </c>
      <c r="L1708" s="6">
        <f t="shared" si="80"/>
        <v>11</v>
      </c>
    </row>
    <row r="1709" spans="1:12" ht="15.75" x14ac:dyDescent="0.25">
      <c r="A1709" s="6" t="s">
        <v>1108</v>
      </c>
      <c r="B1709" s="7">
        <v>45206.6875</v>
      </c>
      <c r="C1709" s="6">
        <v>76</v>
      </c>
      <c r="D1709" s="6" t="s">
        <v>792</v>
      </c>
      <c r="E1709" s="8" t="str">
        <f>IFERROR(VLOOKUP(LOG_RESEAU[[#This Row],[Cell_ID]],Registre_Maintenance!A:B,2,FALSE),"Non trouvé")</f>
        <v>Haut-Uele</v>
      </c>
      <c r="F1709" s="8">
        <f>IFERROR(VLOOKUP(LOG_RESEAU[[#This Row],[Cell_ID]],Registre_Maintenance!A:C,3,FALSE),"Non trouvé")</f>
        <v>-12.100756000000001</v>
      </c>
      <c r="G1709" s="8">
        <f>IFERROR(VLOOKUP(LOG_RESEAU[[#This Row],[Cell_ID]],Registre_Maintenance!A:D,4,FALSE),"Non trouvé")</f>
        <v>21.938649999999999</v>
      </c>
      <c r="H1709" s="6" t="str">
        <f>IFERROR(VLOOKUP(LOG_RESEAU[[#This Row],[Cell_ID]],Registre_Maintenance!A:E,5,FALSE),"Non trouvé")</f>
        <v>4G</v>
      </c>
      <c r="I1709" s="6" t="str">
        <f>IFERROR(VLOOKUP(LOG_RESEAU[[#This Row],[Cell_ID]],Registre_Maintenance!A:F,6,FALSE),"Non trouvé")</f>
        <v>Huawei</v>
      </c>
      <c r="J1709" s="6" t="str">
        <f t="shared" si="78"/>
        <v>OK</v>
      </c>
      <c r="K1709" s="6">
        <f t="shared" si="79"/>
        <v>2</v>
      </c>
      <c r="L1709" s="6">
        <f t="shared" si="80"/>
        <v>100</v>
      </c>
    </row>
    <row r="1710" spans="1:12" ht="15.75" x14ac:dyDescent="0.25">
      <c r="A1710" s="6" t="s">
        <v>1108</v>
      </c>
      <c r="B1710" s="7">
        <v>45216.693749999999</v>
      </c>
      <c r="C1710" s="6">
        <v>24</v>
      </c>
      <c r="D1710" s="6" t="s">
        <v>792</v>
      </c>
      <c r="E1710" s="8" t="str">
        <f>IFERROR(VLOOKUP(LOG_RESEAU[[#This Row],[Cell_ID]],Registre_Maintenance!A:B,2,FALSE),"Non trouvé")</f>
        <v>Haut-Uele</v>
      </c>
      <c r="F1710" s="8">
        <f>IFERROR(VLOOKUP(LOG_RESEAU[[#This Row],[Cell_ID]],Registre_Maintenance!A:C,3,FALSE),"Non trouvé")</f>
        <v>-12.100756000000001</v>
      </c>
      <c r="G1710" s="8">
        <f>IFERROR(VLOOKUP(LOG_RESEAU[[#This Row],[Cell_ID]],Registre_Maintenance!A:D,4,FALSE),"Non trouvé")</f>
        <v>21.938649999999999</v>
      </c>
      <c r="H1710" s="6" t="str">
        <f>IFERROR(VLOOKUP(LOG_RESEAU[[#This Row],[Cell_ID]],Registre_Maintenance!A:E,5,FALSE),"Non trouvé")</f>
        <v>4G</v>
      </c>
      <c r="I1710" s="6" t="str">
        <f>IFERROR(VLOOKUP(LOG_RESEAU[[#This Row],[Cell_ID]],Registre_Maintenance!A:F,6,FALSE),"Non trouvé")</f>
        <v>Huawei</v>
      </c>
      <c r="J1710" s="6" t="str">
        <f t="shared" si="78"/>
        <v>OK</v>
      </c>
      <c r="K1710" s="6">
        <f t="shared" si="79"/>
        <v>2</v>
      </c>
      <c r="L1710" s="6">
        <f t="shared" si="80"/>
        <v>100</v>
      </c>
    </row>
    <row r="1711" spans="1:12" ht="15.75" x14ac:dyDescent="0.25">
      <c r="A1711" s="6" t="s">
        <v>1034</v>
      </c>
      <c r="B1711" s="7">
        <v>45227.329861111109</v>
      </c>
      <c r="C1711" s="6">
        <v>81</v>
      </c>
      <c r="D1711" s="6" t="s">
        <v>800</v>
      </c>
      <c r="E1711" s="8" t="str">
        <f>IFERROR(VLOOKUP(LOG_RESEAU[[#This Row],[Cell_ID]],Registre_Maintenance!A:B,2,FALSE),"Non trouvé")</f>
        <v>Non trouvé</v>
      </c>
      <c r="F1711" s="8" t="str">
        <f>IFERROR(VLOOKUP(LOG_RESEAU[[#This Row],[Cell_ID]],Registre_Maintenance!A:C,3,FALSE),"Non trouvé")</f>
        <v>Non trouvé</v>
      </c>
      <c r="G1711" s="8" t="str">
        <f>IFERROR(VLOOKUP(LOG_RESEAU[[#This Row],[Cell_ID]],Registre_Maintenance!A:D,4,FALSE),"Non trouvé")</f>
        <v>Non trouvé</v>
      </c>
      <c r="H1711" s="6" t="str">
        <f>IFERROR(VLOOKUP(LOG_RESEAU[[#This Row],[Cell_ID]],Registre_Maintenance!A:E,5,FALSE),"Non trouvé")</f>
        <v>Non trouvé</v>
      </c>
      <c r="I1711" s="6" t="str">
        <f>IFERROR(VLOOKUP(LOG_RESEAU[[#This Row],[Cell_ID]],Registre_Maintenance!A:F,6,FALSE),"Non trouvé")</f>
        <v>Non trouvé</v>
      </c>
      <c r="J1711" s="6" t="str">
        <f t="shared" si="78"/>
        <v>Antenne inconnue</v>
      </c>
      <c r="K1711" s="6">
        <f t="shared" si="79"/>
        <v>4</v>
      </c>
      <c r="L1711" s="6">
        <f t="shared" si="80"/>
        <v>224</v>
      </c>
    </row>
    <row r="1712" spans="1:12" ht="15.75" x14ac:dyDescent="0.25">
      <c r="A1712" s="6" t="s">
        <v>1034</v>
      </c>
      <c r="B1712" s="7">
        <v>45209.904861111107</v>
      </c>
      <c r="C1712" s="6">
        <v>45</v>
      </c>
      <c r="D1712" s="6" t="s">
        <v>792</v>
      </c>
      <c r="E1712" s="8" t="str">
        <f>IFERROR(VLOOKUP(LOG_RESEAU[[#This Row],[Cell_ID]],Registre_Maintenance!A:B,2,FALSE),"Non trouvé")</f>
        <v>Non trouvé</v>
      </c>
      <c r="F1712" s="8" t="str">
        <f>IFERROR(VLOOKUP(LOG_RESEAU[[#This Row],[Cell_ID]],Registre_Maintenance!A:C,3,FALSE),"Non trouvé")</f>
        <v>Non trouvé</v>
      </c>
      <c r="G1712" s="8" t="str">
        <f>IFERROR(VLOOKUP(LOG_RESEAU[[#This Row],[Cell_ID]],Registre_Maintenance!A:D,4,FALSE),"Non trouvé")</f>
        <v>Non trouvé</v>
      </c>
      <c r="H1712" s="6" t="str">
        <f>IFERROR(VLOOKUP(LOG_RESEAU[[#This Row],[Cell_ID]],Registre_Maintenance!A:E,5,FALSE),"Non trouvé")</f>
        <v>Non trouvé</v>
      </c>
      <c r="I1712" s="6" t="str">
        <f>IFERROR(VLOOKUP(LOG_RESEAU[[#This Row],[Cell_ID]],Registre_Maintenance!A:F,6,FALSE),"Non trouvé")</f>
        <v>Non trouvé</v>
      </c>
      <c r="J1712" s="6" t="str">
        <f t="shared" si="78"/>
        <v>Antenne inconnue</v>
      </c>
      <c r="K1712" s="6">
        <f t="shared" si="79"/>
        <v>4</v>
      </c>
      <c r="L1712" s="6">
        <f t="shared" si="80"/>
        <v>224</v>
      </c>
    </row>
    <row r="1713" spans="1:12" ht="15.75" x14ac:dyDescent="0.25">
      <c r="A1713" s="6" t="s">
        <v>1034</v>
      </c>
      <c r="B1713" s="7">
        <v>45220.428472222222</v>
      </c>
      <c r="C1713" s="6">
        <v>26</v>
      </c>
      <c r="D1713" s="6" t="s">
        <v>792</v>
      </c>
      <c r="E1713" s="8" t="str">
        <f>IFERROR(VLOOKUP(LOG_RESEAU[[#This Row],[Cell_ID]],Registre_Maintenance!A:B,2,FALSE),"Non trouvé")</f>
        <v>Non trouvé</v>
      </c>
      <c r="F1713" s="8" t="str">
        <f>IFERROR(VLOOKUP(LOG_RESEAU[[#This Row],[Cell_ID]],Registre_Maintenance!A:C,3,FALSE),"Non trouvé")</f>
        <v>Non trouvé</v>
      </c>
      <c r="G1713" s="8" t="str">
        <f>IFERROR(VLOOKUP(LOG_RESEAU[[#This Row],[Cell_ID]],Registre_Maintenance!A:D,4,FALSE),"Non trouvé")</f>
        <v>Non trouvé</v>
      </c>
      <c r="H1713" s="6" t="str">
        <f>IFERROR(VLOOKUP(LOG_RESEAU[[#This Row],[Cell_ID]],Registre_Maintenance!A:E,5,FALSE),"Non trouvé")</f>
        <v>Non trouvé</v>
      </c>
      <c r="I1713" s="6" t="str">
        <f>IFERROR(VLOOKUP(LOG_RESEAU[[#This Row],[Cell_ID]],Registre_Maintenance!A:F,6,FALSE),"Non trouvé")</f>
        <v>Non trouvé</v>
      </c>
      <c r="J1713" s="6" t="str">
        <f t="shared" si="78"/>
        <v>Antenne inconnue</v>
      </c>
      <c r="K1713" s="6">
        <f t="shared" si="79"/>
        <v>4</v>
      </c>
      <c r="L1713" s="6">
        <f t="shared" si="80"/>
        <v>224</v>
      </c>
    </row>
    <row r="1714" spans="1:12" ht="15.75" x14ac:dyDescent="0.25">
      <c r="A1714" s="6" t="s">
        <v>1034</v>
      </c>
      <c r="B1714" s="7">
        <v>45222.478472222218</v>
      </c>
      <c r="C1714" s="6">
        <v>72</v>
      </c>
      <c r="D1714" s="6" t="s">
        <v>800</v>
      </c>
      <c r="E1714" s="8" t="str">
        <f>IFERROR(VLOOKUP(LOG_RESEAU[[#This Row],[Cell_ID]],Registre_Maintenance!A:B,2,FALSE),"Non trouvé")</f>
        <v>Non trouvé</v>
      </c>
      <c r="F1714" s="8" t="str">
        <f>IFERROR(VLOOKUP(LOG_RESEAU[[#This Row],[Cell_ID]],Registre_Maintenance!A:C,3,FALSE),"Non trouvé")</f>
        <v>Non trouvé</v>
      </c>
      <c r="G1714" s="8" t="str">
        <f>IFERROR(VLOOKUP(LOG_RESEAU[[#This Row],[Cell_ID]],Registre_Maintenance!A:D,4,FALSE),"Non trouvé")</f>
        <v>Non trouvé</v>
      </c>
      <c r="H1714" s="6" t="str">
        <f>IFERROR(VLOOKUP(LOG_RESEAU[[#This Row],[Cell_ID]],Registre_Maintenance!A:E,5,FALSE),"Non trouvé")</f>
        <v>Non trouvé</v>
      </c>
      <c r="I1714" s="6" t="str">
        <f>IFERROR(VLOOKUP(LOG_RESEAU[[#This Row],[Cell_ID]],Registre_Maintenance!A:F,6,FALSE),"Non trouvé")</f>
        <v>Non trouvé</v>
      </c>
      <c r="J1714" s="6" t="str">
        <f t="shared" si="78"/>
        <v>Antenne inconnue</v>
      </c>
      <c r="K1714" s="6">
        <f t="shared" si="79"/>
        <v>4</v>
      </c>
      <c r="L1714" s="6">
        <f t="shared" si="80"/>
        <v>224</v>
      </c>
    </row>
    <row r="1715" spans="1:12" ht="15.75" x14ac:dyDescent="0.25">
      <c r="A1715" s="6" t="s">
        <v>1396</v>
      </c>
      <c r="B1715" s="7">
        <v>45209.581944444442</v>
      </c>
      <c r="C1715" s="6">
        <v>93</v>
      </c>
      <c r="D1715" s="6" t="s">
        <v>800</v>
      </c>
      <c r="E1715" s="8" t="str">
        <f>IFERROR(VLOOKUP(LOG_RESEAU[[#This Row],[Cell_ID]],Registre_Maintenance!A:B,2,FALSE),"Non trouvé")</f>
        <v>Non trouvé</v>
      </c>
      <c r="F1715" s="8" t="str">
        <f>IFERROR(VLOOKUP(LOG_RESEAU[[#This Row],[Cell_ID]],Registre_Maintenance!A:C,3,FALSE),"Non trouvé")</f>
        <v>Non trouvé</v>
      </c>
      <c r="G1715" s="8" t="str">
        <f>IFERROR(VLOOKUP(LOG_RESEAU[[#This Row],[Cell_ID]],Registre_Maintenance!A:D,4,FALSE),"Non trouvé")</f>
        <v>Non trouvé</v>
      </c>
      <c r="H1715" s="6" t="str">
        <f>IFERROR(VLOOKUP(LOG_RESEAU[[#This Row],[Cell_ID]],Registre_Maintenance!A:E,5,FALSE),"Non trouvé")</f>
        <v>Non trouvé</v>
      </c>
      <c r="I1715" s="6" t="str">
        <f>IFERROR(VLOOKUP(LOG_RESEAU[[#This Row],[Cell_ID]],Registre_Maintenance!A:F,6,FALSE),"Non trouvé")</f>
        <v>Non trouvé</v>
      </c>
      <c r="J1715" s="6" t="str">
        <f t="shared" si="78"/>
        <v>Antenne inconnue</v>
      </c>
      <c r="K1715" s="6">
        <f t="shared" si="79"/>
        <v>1</v>
      </c>
      <c r="L1715" s="6">
        <f t="shared" si="80"/>
        <v>93</v>
      </c>
    </row>
    <row r="1716" spans="1:12" ht="15.75" x14ac:dyDescent="0.25">
      <c r="A1716" s="6" t="s">
        <v>1288</v>
      </c>
      <c r="B1716" s="7">
        <v>45201.457638888889</v>
      </c>
      <c r="C1716" s="6">
        <v>42</v>
      </c>
      <c r="D1716" s="6" t="s">
        <v>792</v>
      </c>
      <c r="E1716" s="8" t="str">
        <f>IFERROR(VLOOKUP(LOG_RESEAU[[#This Row],[Cell_ID]],Registre_Maintenance!A:B,2,FALSE),"Non trouvé")</f>
        <v>Non trouvé</v>
      </c>
      <c r="F1716" s="8" t="str">
        <f>IFERROR(VLOOKUP(LOG_RESEAU[[#This Row],[Cell_ID]],Registre_Maintenance!A:C,3,FALSE),"Non trouvé")</f>
        <v>Non trouvé</v>
      </c>
      <c r="G1716" s="8" t="str">
        <f>IFERROR(VLOOKUP(LOG_RESEAU[[#This Row],[Cell_ID]],Registre_Maintenance!A:D,4,FALSE),"Non trouvé")</f>
        <v>Non trouvé</v>
      </c>
      <c r="H1716" s="6" t="str">
        <f>IFERROR(VLOOKUP(LOG_RESEAU[[#This Row],[Cell_ID]],Registre_Maintenance!A:E,5,FALSE),"Non trouvé")</f>
        <v>Non trouvé</v>
      </c>
      <c r="I1716" s="6" t="str">
        <f>IFERROR(VLOOKUP(LOG_RESEAU[[#This Row],[Cell_ID]],Registre_Maintenance!A:F,6,FALSE),"Non trouvé")</f>
        <v>Non trouvé</v>
      </c>
      <c r="J1716" s="6" t="str">
        <f t="shared" si="78"/>
        <v>Antenne inconnue</v>
      </c>
      <c r="K1716" s="6">
        <f t="shared" si="79"/>
        <v>1</v>
      </c>
      <c r="L1716" s="6">
        <f t="shared" si="80"/>
        <v>42</v>
      </c>
    </row>
    <row r="1717" spans="1:12" ht="15.75" x14ac:dyDescent="0.25">
      <c r="A1717" s="6" t="s">
        <v>1420</v>
      </c>
      <c r="B1717" s="7">
        <v>45204.84652777778</v>
      </c>
      <c r="C1717" s="6">
        <v>16</v>
      </c>
      <c r="D1717" s="6" t="s">
        <v>792</v>
      </c>
      <c r="E1717" s="8" t="str">
        <f>IFERROR(VLOOKUP(LOG_RESEAU[[#This Row],[Cell_ID]],Registre_Maintenance!A:B,2,FALSE),"Non trouvé")</f>
        <v>Non trouvé</v>
      </c>
      <c r="F1717" s="8" t="str">
        <f>IFERROR(VLOOKUP(LOG_RESEAU[[#This Row],[Cell_ID]],Registre_Maintenance!A:C,3,FALSE),"Non trouvé")</f>
        <v>Non trouvé</v>
      </c>
      <c r="G1717" s="8" t="str">
        <f>IFERROR(VLOOKUP(LOG_RESEAU[[#This Row],[Cell_ID]],Registre_Maintenance!A:D,4,FALSE),"Non trouvé")</f>
        <v>Non trouvé</v>
      </c>
      <c r="H1717" s="6" t="str">
        <f>IFERROR(VLOOKUP(LOG_RESEAU[[#This Row],[Cell_ID]],Registre_Maintenance!A:E,5,FALSE),"Non trouvé")</f>
        <v>Non trouvé</v>
      </c>
      <c r="I1717" s="6" t="str">
        <f>IFERROR(VLOOKUP(LOG_RESEAU[[#This Row],[Cell_ID]],Registre_Maintenance!A:F,6,FALSE),"Non trouvé")</f>
        <v>Non trouvé</v>
      </c>
      <c r="J1717" s="6" t="str">
        <f t="shared" si="78"/>
        <v>Antenne inconnue</v>
      </c>
      <c r="K1717" s="6">
        <f t="shared" si="79"/>
        <v>2</v>
      </c>
      <c r="L1717" s="6">
        <f t="shared" si="80"/>
        <v>113</v>
      </c>
    </row>
    <row r="1718" spans="1:12" ht="15.75" x14ac:dyDescent="0.25">
      <c r="A1718" s="6" t="s">
        <v>1420</v>
      </c>
      <c r="B1718" s="7">
        <v>45221.339583333327</v>
      </c>
      <c r="C1718" s="6">
        <v>97</v>
      </c>
      <c r="D1718" s="6" t="s">
        <v>800</v>
      </c>
      <c r="E1718" s="8" t="str">
        <f>IFERROR(VLOOKUP(LOG_RESEAU[[#This Row],[Cell_ID]],Registre_Maintenance!A:B,2,FALSE),"Non trouvé")</f>
        <v>Non trouvé</v>
      </c>
      <c r="F1718" s="8" t="str">
        <f>IFERROR(VLOOKUP(LOG_RESEAU[[#This Row],[Cell_ID]],Registre_Maintenance!A:C,3,FALSE),"Non trouvé")</f>
        <v>Non trouvé</v>
      </c>
      <c r="G1718" s="8" t="str">
        <f>IFERROR(VLOOKUP(LOG_RESEAU[[#This Row],[Cell_ID]],Registre_Maintenance!A:D,4,FALSE),"Non trouvé")</f>
        <v>Non trouvé</v>
      </c>
      <c r="H1718" s="6" t="str">
        <f>IFERROR(VLOOKUP(LOG_RESEAU[[#This Row],[Cell_ID]],Registre_Maintenance!A:E,5,FALSE),"Non trouvé")</f>
        <v>Non trouvé</v>
      </c>
      <c r="I1718" s="6" t="str">
        <f>IFERROR(VLOOKUP(LOG_RESEAU[[#This Row],[Cell_ID]],Registre_Maintenance!A:F,6,FALSE),"Non trouvé")</f>
        <v>Non trouvé</v>
      </c>
      <c r="J1718" s="6" t="str">
        <f t="shared" si="78"/>
        <v>Antenne inconnue</v>
      </c>
      <c r="K1718" s="6">
        <f t="shared" si="79"/>
        <v>2</v>
      </c>
      <c r="L1718" s="6">
        <f t="shared" si="80"/>
        <v>113</v>
      </c>
    </row>
    <row r="1719" spans="1:12" ht="15.75" x14ac:dyDescent="0.25">
      <c r="A1719" s="6" t="s">
        <v>1245</v>
      </c>
      <c r="B1719" s="7">
        <v>45220.11041666667</v>
      </c>
      <c r="C1719" s="6">
        <v>111</v>
      </c>
      <c r="D1719" s="6" t="s">
        <v>792</v>
      </c>
      <c r="E1719" s="8" t="str">
        <f>IFERROR(VLOOKUP(LOG_RESEAU[[#This Row],[Cell_ID]],Registre_Maintenance!A:B,2,FALSE),"Non trouvé")</f>
        <v>Ituri</v>
      </c>
      <c r="F1719" s="8">
        <f>IFERROR(VLOOKUP(LOG_RESEAU[[#This Row],[Cell_ID]],Registre_Maintenance!A:C,3,FALSE),"Non trouvé")</f>
        <v>-4.1250960000000001</v>
      </c>
      <c r="G1719" s="8">
        <f>IFERROR(VLOOKUP(LOG_RESEAU[[#This Row],[Cell_ID]],Registre_Maintenance!A:D,4,FALSE),"Non trouvé")</f>
        <v>27.799897999999999</v>
      </c>
      <c r="H1719" s="6" t="str">
        <f>IFERROR(VLOOKUP(LOG_RESEAU[[#This Row],[Cell_ID]],Registre_Maintenance!A:E,5,FALSE),"Non trouvé")</f>
        <v>3G</v>
      </c>
      <c r="I1719" s="6" t="str">
        <f>IFERROR(VLOOKUP(LOG_RESEAU[[#This Row],[Cell_ID]],Registre_Maintenance!A:F,6,FALSE),"Non trouvé")</f>
        <v>Nokia</v>
      </c>
      <c r="J1719" s="6" t="str">
        <f t="shared" si="78"/>
        <v>OK</v>
      </c>
      <c r="K1719" s="6">
        <f t="shared" si="79"/>
        <v>2</v>
      </c>
      <c r="L1719" s="6">
        <f t="shared" si="80"/>
        <v>223</v>
      </c>
    </row>
    <row r="1720" spans="1:12" ht="15.75" x14ac:dyDescent="0.25">
      <c r="A1720" s="6" t="s">
        <v>1245</v>
      </c>
      <c r="B1720" s="7">
        <v>45228.880555555559</v>
      </c>
      <c r="C1720" s="6">
        <v>112</v>
      </c>
      <c r="D1720" s="6" t="s">
        <v>792</v>
      </c>
      <c r="E1720" s="8" t="str">
        <f>IFERROR(VLOOKUP(LOG_RESEAU[[#This Row],[Cell_ID]],Registre_Maintenance!A:B,2,FALSE),"Non trouvé")</f>
        <v>Ituri</v>
      </c>
      <c r="F1720" s="8">
        <f>IFERROR(VLOOKUP(LOG_RESEAU[[#This Row],[Cell_ID]],Registre_Maintenance!A:C,3,FALSE),"Non trouvé")</f>
        <v>-4.1250960000000001</v>
      </c>
      <c r="G1720" s="8">
        <f>IFERROR(VLOOKUP(LOG_RESEAU[[#This Row],[Cell_ID]],Registre_Maintenance!A:D,4,FALSE),"Non trouvé")</f>
        <v>27.799897999999999</v>
      </c>
      <c r="H1720" s="6" t="str">
        <f>IFERROR(VLOOKUP(LOG_RESEAU[[#This Row],[Cell_ID]],Registre_Maintenance!A:E,5,FALSE),"Non trouvé")</f>
        <v>3G</v>
      </c>
      <c r="I1720" s="6" t="str">
        <f>IFERROR(VLOOKUP(LOG_RESEAU[[#This Row],[Cell_ID]],Registre_Maintenance!A:F,6,FALSE),"Non trouvé")</f>
        <v>Nokia</v>
      </c>
      <c r="J1720" s="6" t="str">
        <f t="shared" si="78"/>
        <v>OK</v>
      </c>
      <c r="K1720" s="6">
        <f t="shared" si="79"/>
        <v>2</v>
      </c>
      <c r="L1720" s="6">
        <f t="shared" si="80"/>
        <v>223</v>
      </c>
    </row>
    <row r="1721" spans="1:12" ht="15.75" x14ac:dyDescent="0.25">
      <c r="A1721" s="6" t="s">
        <v>1377</v>
      </c>
      <c r="B1721" s="7">
        <v>45213.328472222223</v>
      </c>
      <c r="C1721" s="6">
        <v>22</v>
      </c>
      <c r="D1721" s="6" t="s">
        <v>792</v>
      </c>
      <c r="E1721" s="8" t="str">
        <f>IFERROR(VLOOKUP(LOG_RESEAU[[#This Row],[Cell_ID]],Registre_Maintenance!A:B,2,FALSE),"Non trouvé")</f>
        <v>Non trouvé</v>
      </c>
      <c r="F1721" s="8" t="str">
        <f>IFERROR(VLOOKUP(LOG_RESEAU[[#This Row],[Cell_ID]],Registre_Maintenance!A:C,3,FALSE),"Non trouvé")</f>
        <v>Non trouvé</v>
      </c>
      <c r="G1721" s="8" t="str">
        <f>IFERROR(VLOOKUP(LOG_RESEAU[[#This Row],[Cell_ID]],Registre_Maintenance!A:D,4,FALSE),"Non trouvé")</f>
        <v>Non trouvé</v>
      </c>
      <c r="H1721" s="6" t="str">
        <f>IFERROR(VLOOKUP(LOG_RESEAU[[#This Row],[Cell_ID]],Registre_Maintenance!A:E,5,FALSE),"Non trouvé")</f>
        <v>Non trouvé</v>
      </c>
      <c r="I1721" s="6" t="str">
        <f>IFERROR(VLOOKUP(LOG_RESEAU[[#This Row],[Cell_ID]],Registre_Maintenance!A:F,6,FALSE),"Non trouvé")</f>
        <v>Non trouvé</v>
      </c>
      <c r="J1721" s="6" t="str">
        <f t="shared" si="78"/>
        <v>Antenne inconnue</v>
      </c>
      <c r="K1721" s="6">
        <f t="shared" si="79"/>
        <v>1</v>
      </c>
      <c r="L1721" s="6">
        <f t="shared" si="80"/>
        <v>22</v>
      </c>
    </row>
    <row r="1722" spans="1:12" ht="15.75" x14ac:dyDescent="0.25">
      <c r="A1722" s="6" t="s">
        <v>1199</v>
      </c>
      <c r="B1722" s="7">
        <v>45210.054166666669</v>
      </c>
      <c r="C1722" s="6">
        <v>68</v>
      </c>
      <c r="D1722" s="6" t="s">
        <v>792</v>
      </c>
      <c r="E1722" s="8" t="str">
        <f>IFERROR(VLOOKUP(LOG_RESEAU[[#This Row],[Cell_ID]],Registre_Maintenance!A:B,2,FALSE),"Non trouvé")</f>
        <v>Non trouvé</v>
      </c>
      <c r="F1722" s="8" t="str">
        <f>IFERROR(VLOOKUP(LOG_RESEAU[[#This Row],[Cell_ID]],Registre_Maintenance!A:C,3,FALSE),"Non trouvé")</f>
        <v>Non trouvé</v>
      </c>
      <c r="G1722" s="8" t="str">
        <f>IFERROR(VLOOKUP(LOG_RESEAU[[#This Row],[Cell_ID]],Registre_Maintenance!A:D,4,FALSE),"Non trouvé")</f>
        <v>Non trouvé</v>
      </c>
      <c r="H1722" s="6" t="str">
        <f>IFERROR(VLOOKUP(LOG_RESEAU[[#This Row],[Cell_ID]],Registre_Maintenance!A:E,5,FALSE),"Non trouvé")</f>
        <v>Non trouvé</v>
      </c>
      <c r="I1722" s="6" t="str">
        <f>IFERROR(VLOOKUP(LOG_RESEAU[[#This Row],[Cell_ID]],Registre_Maintenance!A:F,6,FALSE),"Non trouvé")</f>
        <v>Non trouvé</v>
      </c>
      <c r="J1722" s="6" t="str">
        <f t="shared" si="78"/>
        <v>Antenne inconnue</v>
      </c>
      <c r="K1722" s="6">
        <f t="shared" si="79"/>
        <v>1</v>
      </c>
      <c r="L1722" s="6">
        <f t="shared" si="80"/>
        <v>68</v>
      </c>
    </row>
    <row r="1723" spans="1:12" ht="15.75" x14ac:dyDescent="0.25">
      <c r="A1723" s="6" t="s">
        <v>1188</v>
      </c>
      <c r="B1723" s="7">
        <v>45227.839583333327</v>
      </c>
      <c r="C1723" s="6">
        <v>94</v>
      </c>
      <c r="D1723" s="6" t="s">
        <v>792</v>
      </c>
      <c r="E1723" s="8" t="str">
        <f>IFERROR(VLOOKUP(LOG_RESEAU[[#This Row],[Cell_ID]],Registre_Maintenance!A:B,2,FALSE),"Non trouvé")</f>
        <v>Non trouvé</v>
      </c>
      <c r="F1723" s="8" t="str">
        <f>IFERROR(VLOOKUP(LOG_RESEAU[[#This Row],[Cell_ID]],Registre_Maintenance!A:C,3,FALSE),"Non trouvé")</f>
        <v>Non trouvé</v>
      </c>
      <c r="G1723" s="8" t="str">
        <f>IFERROR(VLOOKUP(LOG_RESEAU[[#This Row],[Cell_ID]],Registre_Maintenance!A:D,4,FALSE),"Non trouvé")</f>
        <v>Non trouvé</v>
      </c>
      <c r="H1723" s="6" t="str">
        <f>IFERROR(VLOOKUP(LOG_RESEAU[[#This Row],[Cell_ID]],Registre_Maintenance!A:E,5,FALSE),"Non trouvé")</f>
        <v>Non trouvé</v>
      </c>
      <c r="I1723" s="6" t="str">
        <f>IFERROR(VLOOKUP(LOG_RESEAU[[#This Row],[Cell_ID]],Registre_Maintenance!A:F,6,FALSE),"Non trouvé")</f>
        <v>Non trouvé</v>
      </c>
      <c r="J1723" s="6" t="str">
        <f t="shared" si="78"/>
        <v>Antenne inconnue</v>
      </c>
      <c r="K1723" s="6">
        <f t="shared" si="79"/>
        <v>1</v>
      </c>
      <c r="L1723" s="6">
        <f t="shared" si="80"/>
        <v>94</v>
      </c>
    </row>
    <row r="1724" spans="1:12" ht="15.75" x14ac:dyDescent="0.25">
      <c r="A1724" s="6" t="s">
        <v>1534</v>
      </c>
      <c r="B1724" s="7">
        <v>45200.67083333333</v>
      </c>
      <c r="C1724" s="6">
        <v>74</v>
      </c>
      <c r="D1724" s="6" t="s">
        <v>792</v>
      </c>
      <c r="E1724" s="8" t="str">
        <f>IFERROR(VLOOKUP(LOG_RESEAU[[#This Row],[Cell_ID]],Registre_Maintenance!A:B,2,FALSE),"Non trouvé")</f>
        <v>Ituri</v>
      </c>
      <c r="F1724" s="8">
        <f>IFERROR(VLOOKUP(LOG_RESEAU[[#This Row],[Cell_ID]],Registre_Maintenance!A:C,3,FALSE),"Non trouvé")</f>
        <v>-4.6426759999999998</v>
      </c>
      <c r="G1724" s="8">
        <f>IFERROR(VLOOKUP(LOG_RESEAU[[#This Row],[Cell_ID]],Registre_Maintenance!A:D,4,FALSE),"Non trouvé")</f>
        <v>22.124254000000001</v>
      </c>
      <c r="H1724" s="6" t="str">
        <f>IFERROR(VLOOKUP(LOG_RESEAU[[#This Row],[Cell_ID]],Registre_Maintenance!A:E,5,FALSE),"Non trouvé")</f>
        <v>4G</v>
      </c>
      <c r="I1724" s="6" t="str">
        <f>IFERROR(VLOOKUP(LOG_RESEAU[[#This Row],[Cell_ID]],Registre_Maintenance!A:F,6,FALSE),"Non trouvé")</f>
        <v>ZTE</v>
      </c>
      <c r="J1724" s="6" t="str">
        <f t="shared" si="78"/>
        <v>OK</v>
      </c>
      <c r="K1724" s="6">
        <f t="shared" si="79"/>
        <v>1</v>
      </c>
      <c r="L1724" s="6">
        <f t="shared" si="80"/>
        <v>74</v>
      </c>
    </row>
    <row r="1725" spans="1:12" ht="15.75" x14ac:dyDescent="0.25">
      <c r="A1725" s="6" t="s">
        <v>1278</v>
      </c>
      <c r="B1725" s="7">
        <v>45211.106249999997</v>
      </c>
      <c r="C1725" s="6">
        <v>107</v>
      </c>
      <c r="D1725" s="6" t="s">
        <v>794</v>
      </c>
      <c r="E1725" s="8" t="str">
        <f>IFERROR(VLOOKUP(LOG_RESEAU[[#This Row],[Cell_ID]],Registre_Maintenance!A:B,2,FALSE),"Non trouvé")</f>
        <v>Kasai</v>
      </c>
      <c r="F1725" s="8">
        <f>IFERROR(VLOOKUP(LOG_RESEAU[[#This Row],[Cell_ID]],Registre_Maintenance!A:C,3,FALSE),"Non trouvé")</f>
        <v>-5.125</v>
      </c>
      <c r="G1725" s="8">
        <f>IFERROR(VLOOKUP(LOG_RESEAU[[#This Row],[Cell_ID]],Registre_Maintenance!A:D,4,FALSE),"Non trouvé")</f>
        <v>23.513119</v>
      </c>
      <c r="H1725" s="6" t="str">
        <f>IFERROR(VLOOKUP(LOG_RESEAU[[#This Row],[Cell_ID]],Registre_Maintenance!A:E,5,FALSE),"Non trouvé")</f>
        <v>5G</v>
      </c>
      <c r="I1725" s="6" t="str">
        <f>IFERROR(VLOOKUP(LOG_RESEAU[[#This Row],[Cell_ID]],Registre_Maintenance!A:F,6,FALSE),"Non trouvé")</f>
        <v>Huawei</v>
      </c>
      <c r="J1725" s="6" t="str">
        <f t="shared" si="78"/>
        <v>OK</v>
      </c>
      <c r="K1725" s="6">
        <f t="shared" si="79"/>
        <v>2</v>
      </c>
      <c r="L1725" s="6">
        <f t="shared" si="80"/>
        <v>174</v>
      </c>
    </row>
    <row r="1726" spans="1:12" ht="15.75" x14ac:dyDescent="0.25">
      <c r="A1726" s="6" t="s">
        <v>1278</v>
      </c>
      <c r="B1726" s="7">
        <v>45227.660416666673</v>
      </c>
      <c r="C1726" s="6">
        <v>67</v>
      </c>
      <c r="D1726" s="6" t="s">
        <v>792</v>
      </c>
      <c r="E1726" s="8" t="str">
        <f>IFERROR(VLOOKUP(LOG_RESEAU[[#This Row],[Cell_ID]],Registre_Maintenance!A:B,2,FALSE),"Non trouvé")</f>
        <v>Kasai</v>
      </c>
      <c r="F1726" s="8">
        <f>IFERROR(VLOOKUP(LOG_RESEAU[[#This Row],[Cell_ID]],Registre_Maintenance!A:C,3,FALSE),"Non trouvé")</f>
        <v>-5.125</v>
      </c>
      <c r="G1726" s="8">
        <f>IFERROR(VLOOKUP(LOG_RESEAU[[#This Row],[Cell_ID]],Registre_Maintenance!A:D,4,FALSE),"Non trouvé")</f>
        <v>23.513119</v>
      </c>
      <c r="H1726" s="6" t="str">
        <f>IFERROR(VLOOKUP(LOG_RESEAU[[#This Row],[Cell_ID]],Registre_Maintenance!A:E,5,FALSE),"Non trouvé")</f>
        <v>5G</v>
      </c>
      <c r="I1726" s="6" t="str">
        <f>IFERROR(VLOOKUP(LOG_RESEAU[[#This Row],[Cell_ID]],Registre_Maintenance!A:F,6,FALSE),"Non trouvé")</f>
        <v>Huawei</v>
      </c>
      <c r="J1726" s="6" t="str">
        <f t="shared" si="78"/>
        <v>OK</v>
      </c>
      <c r="K1726" s="6">
        <f t="shared" si="79"/>
        <v>2</v>
      </c>
      <c r="L1726" s="6">
        <f t="shared" si="80"/>
        <v>174</v>
      </c>
    </row>
    <row r="1727" spans="1:12" ht="15.75" x14ac:dyDescent="0.25">
      <c r="A1727" s="6" t="s">
        <v>1135</v>
      </c>
      <c r="B1727" s="7">
        <v>45211.234722222223</v>
      </c>
      <c r="C1727" s="6">
        <v>62</v>
      </c>
      <c r="D1727" s="6" t="s">
        <v>792</v>
      </c>
      <c r="E1727" s="8" t="str">
        <f>IFERROR(VLOOKUP(LOG_RESEAU[[#This Row],[Cell_ID]],Registre_Maintenance!A:B,2,FALSE),"Non trouvé")</f>
        <v>Nord-Kivu</v>
      </c>
      <c r="F1727" s="8">
        <f>IFERROR(VLOOKUP(LOG_RESEAU[[#This Row],[Cell_ID]],Registre_Maintenance!A:C,3,FALSE),"Non trouvé")</f>
        <v>-2.3102109999999998</v>
      </c>
      <c r="G1727" s="8">
        <f>IFERROR(VLOOKUP(LOG_RESEAU[[#This Row],[Cell_ID]],Registre_Maintenance!A:D,4,FALSE),"Non trouvé")</f>
        <v>12.362488000000001</v>
      </c>
      <c r="H1727" s="6" t="str">
        <f>IFERROR(VLOOKUP(LOG_RESEAU[[#This Row],[Cell_ID]],Registre_Maintenance!A:E,5,FALSE),"Non trouvé")</f>
        <v>5G</v>
      </c>
      <c r="I1727" s="6" t="str">
        <f>IFERROR(VLOOKUP(LOG_RESEAU[[#This Row],[Cell_ID]],Registre_Maintenance!A:F,6,FALSE),"Non trouvé")</f>
        <v>Nokia</v>
      </c>
      <c r="J1727" s="6" t="str">
        <f t="shared" si="78"/>
        <v>OK</v>
      </c>
      <c r="K1727" s="6">
        <f t="shared" si="79"/>
        <v>1</v>
      </c>
      <c r="L1727" s="6">
        <f t="shared" si="80"/>
        <v>62</v>
      </c>
    </row>
    <row r="1728" spans="1:12" ht="15.75" x14ac:dyDescent="0.25">
      <c r="A1728" s="6" t="s">
        <v>1223</v>
      </c>
      <c r="B1728" s="7">
        <v>45200.493055555547</v>
      </c>
      <c r="C1728" s="6">
        <v>113</v>
      </c>
      <c r="D1728" s="6" t="s">
        <v>794</v>
      </c>
      <c r="E1728" s="8" t="str">
        <f>IFERROR(VLOOKUP(LOG_RESEAU[[#This Row],[Cell_ID]],Registre_Maintenance!A:B,2,FALSE),"Non trouvé")</f>
        <v>Sud-Kivu</v>
      </c>
      <c r="F1728" s="8">
        <f>IFERROR(VLOOKUP(LOG_RESEAU[[#This Row],[Cell_ID]],Registre_Maintenance!A:C,3,FALSE),"Non trouvé")</f>
        <v>-1.5419050000000001</v>
      </c>
      <c r="G1728" s="8">
        <f>IFERROR(VLOOKUP(LOG_RESEAU[[#This Row],[Cell_ID]],Registre_Maintenance!A:D,4,FALSE),"Non trouvé")</f>
        <v>14.730632999999999</v>
      </c>
      <c r="H1728" s="6" t="str">
        <f>IFERROR(VLOOKUP(LOG_RESEAU[[#This Row],[Cell_ID]],Registre_Maintenance!A:E,5,FALSE),"Non trouvé")</f>
        <v>3G</v>
      </c>
      <c r="I1728" s="6" t="str">
        <f>IFERROR(VLOOKUP(LOG_RESEAU[[#This Row],[Cell_ID]],Registre_Maintenance!A:F,6,FALSE),"Non trouvé")</f>
        <v>ZTE</v>
      </c>
      <c r="J1728" s="6" t="str">
        <f t="shared" si="78"/>
        <v>OK</v>
      </c>
      <c r="K1728" s="6">
        <f t="shared" si="79"/>
        <v>2</v>
      </c>
      <c r="L1728" s="6">
        <f t="shared" si="80"/>
        <v>130</v>
      </c>
    </row>
    <row r="1729" spans="1:12" ht="15.75" x14ac:dyDescent="0.25">
      <c r="A1729" s="6" t="s">
        <v>1223</v>
      </c>
      <c r="B1729" s="7">
        <v>45220.469444444447</v>
      </c>
      <c r="C1729" s="6">
        <v>17</v>
      </c>
      <c r="D1729" s="6" t="s">
        <v>800</v>
      </c>
      <c r="E1729" s="8" t="str">
        <f>IFERROR(VLOOKUP(LOG_RESEAU[[#This Row],[Cell_ID]],Registre_Maintenance!A:B,2,FALSE),"Non trouvé")</f>
        <v>Sud-Kivu</v>
      </c>
      <c r="F1729" s="8">
        <f>IFERROR(VLOOKUP(LOG_RESEAU[[#This Row],[Cell_ID]],Registre_Maintenance!A:C,3,FALSE),"Non trouvé")</f>
        <v>-1.5419050000000001</v>
      </c>
      <c r="G1729" s="8">
        <f>IFERROR(VLOOKUP(LOG_RESEAU[[#This Row],[Cell_ID]],Registre_Maintenance!A:D,4,FALSE),"Non trouvé")</f>
        <v>14.730632999999999</v>
      </c>
      <c r="H1729" s="6" t="str">
        <f>IFERROR(VLOOKUP(LOG_RESEAU[[#This Row],[Cell_ID]],Registre_Maintenance!A:E,5,FALSE),"Non trouvé")</f>
        <v>3G</v>
      </c>
      <c r="I1729" s="6" t="str">
        <f>IFERROR(VLOOKUP(LOG_RESEAU[[#This Row],[Cell_ID]],Registre_Maintenance!A:F,6,FALSE),"Non trouvé")</f>
        <v>ZTE</v>
      </c>
      <c r="J1729" s="6" t="str">
        <f t="shared" si="78"/>
        <v>OK</v>
      </c>
      <c r="K1729" s="6">
        <f t="shared" si="79"/>
        <v>2</v>
      </c>
      <c r="L1729" s="6">
        <f t="shared" si="80"/>
        <v>130</v>
      </c>
    </row>
    <row r="1730" spans="1:12" ht="15.75" x14ac:dyDescent="0.25">
      <c r="A1730" s="6" t="s">
        <v>1364</v>
      </c>
      <c r="B1730" s="7">
        <v>45211.705555555563</v>
      </c>
      <c r="C1730" s="6">
        <v>95</v>
      </c>
      <c r="D1730" s="6" t="s">
        <v>800</v>
      </c>
      <c r="E1730" s="8" t="str">
        <f>IFERROR(VLOOKUP(LOG_RESEAU[[#This Row],[Cell_ID]],Registre_Maintenance!A:B,2,FALSE),"Non trouvé")</f>
        <v>Non trouvé</v>
      </c>
      <c r="F1730" s="8" t="str">
        <f>IFERROR(VLOOKUP(LOG_RESEAU[[#This Row],[Cell_ID]],Registre_Maintenance!A:C,3,FALSE),"Non trouvé")</f>
        <v>Non trouvé</v>
      </c>
      <c r="G1730" s="8" t="str">
        <f>IFERROR(VLOOKUP(LOG_RESEAU[[#This Row],[Cell_ID]],Registre_Maintenance!A:D,4,FALSE),"Non trouvé")</f>
        <v>Non trouvé</v>
      </c>
      <c r="H1730" s="6" t="str">
        <f>IFERROR(VLOOKUP(LOG_RESEAU[[#This Row],[Cell_ID]],Registre_Maintenance!A:E,5,FALSE),"Non trouvé")</f>
        <v>Non trouvé</v>
      </c>
      <c r="I1730" s="6" t="str">
        <f>IFERROR(VLOOKUP(LOG_RESEAU[[#This Row],[Cell_ID]],Registre_Maintenance!A:F,6,FALSE),"Non trouvé")</f>
        <v>Non trouvé</v>
      </c>
      <c r="J1730" s="6" t="str">
        <f t="shared" ref="J1730:J1793" si="81">IF(ISERROR(SEARCH("Non trouvé",F1730)),"OK","Antenne inconnue")</f>
        <v>Antenne inconnue</v>
      </c>
      <c r="K1730" s="6">
        <f t="shared" ref="K1730:K1793" si="82">COUNTIF(A:A,A1730)</f>
        <v>3</v>
      </c>
      <c r="L1730" s="6">
        <f t="shared" ref="L1730:L1793" si="83">SUMIF(A:A,A1730,C:C)</f>
        <v>195</v>
      </c>
    </row>
    <row r="1731" spans="1:12" ht="15.75" x14ac:dyDescent="0.25">
      <c r="A1731" s="6" t="s">
        <v>1364</v>
      </c>
      <c r="B1731" s="7">
        <v>45207.772916666669</v>
      </c>
      <c r="C1731" s="6">
        <v>55</v>
      </c>
      <c r="D1731" s="6" t="s">
        <v>800</v>
      </c>
      <c r="E1731" s="8" t="str">
        <f>IFERROR(VLOOKUP(LOG_RESEAU[[#This Row],[Cell_ID]],Registre_Maintenance!A:B,2,FALSE),"Non trouvé")</f>
        <v>Non trouvé</v>
      </c>
      <c r="F1731" s="8" t="str">
        <f>IFERROR(VLOOKUP(LOG_RESEAU[[#This Row],[Cell_ID]],Registre_Maintenance!A:C,3,FALSE),"Non trouvé")</f>
        <v>Non trouvé</v>
      </c>
      <c r="G1731" s="8" t="str">
        <f>IFERROR(VLOOKUP(LOG_RESEAU[[#This Row],[Cell_ID]],Registre_Maintenance!A:D,4,FALSE),"Non trouvé")</f>
        <v>Non trouvé</v>
      </c>
      <c r="H1731" s="6" t="str">
        <f>IFERROR(VLOOKUP(LOG_RESEAU[[#This Row],[Cell_ID]],Registre_Maintenance!A:E,5,FALSE),"Non trouvé")</f>
        <v>Non trouvé</v>
      </c>
      <c r="I1731" s="6" t="str">
        <f>IFERROR(VLOOKUP(LOG_RESEAU[[#This Row],[Cell_ID]],Registre_Maintenance!A:F,6,FALSE),"Non trouvé")</f>
        <v>Non trouvé</v>
      </c>
      <c r="J1731" s="6" t="str">
        <f t="shared" si="81"/>
        <v>Antenne inconnue</v>
      </c>
      <c r="K1731" s="6">
        <f t="shared" si="82"/>
        <v>3</v>
      </c>
      <c r="L1731" s="6">
        <f t="shared" si="83"/>
        <v>195</v>
      </c>
    </row>
    <row r="1732" spans="1:12" ht="15.75" x14ac:dyDescent="0.25">
      <c r="A1732" s="6" t="s">
        <v>1364</v>
      </c>
      <c r="B1732" s="7">
        <v>45205.89166666667</v>
      </c>
      <c r="C1732" s="6">
        <v>45</v>
      </c>
      <c r="D1732" s="6" t="s">
        <v>800</v>
      </c>
      <c r="E1732" s="8" t="str">
        <f>IFERROR(VLOOKUP(LOG_RESEAU[[#This Row],[Cell_ID]],Registre_Maintenance!A:B,2,FALSE),"Non trouvé")</f>
        <v>Non trouvé</v>
      </c>
      <c r="F1732" s="8" t="str">
        <f>IFERROR(VLOOKUP(LOG_RESEAU[[#This Row],[Cell_ID]],Registre_Maintenance!A:C,3,FALSE),"Non trouvé")</f>
        <v>Non trouvé</v>
      </c>
      <c r="G1732" s="8" t="str">
        <f>IFERROR(VLOOKUP(LOG_RESEAU[[#This Row],[Cell_ID]],Registre_Maintenance!A:D,4,FALSE),"Non trouvé")</f>
        <v>Non trouvé</v>
      </c>
      <c r="H1732" s="6" t="str">
        <f>IFERROR(VLOOKUP(LOG_RESEAU[[#This Row],[Cell_ID]],Registre_Maintenance!A:E,5,FALSE),"Non trouvé")</f>
        <v>Non trouvé</v>
      </c>
      <c r="I1732" s="6" t="str">
        <f>IFERROR(VLOOKUP(LOG_RESEAU[[#This Row],[Cell_ID]],Registre_Maintenance!A:F,6,FALSE),"Non trouvé")</f>
        <v>Non trouvé</v>
      </c>
      <c r="J1732" s="6" t="str">
        <f t="shared" si="81"/>
        <v>Antenne inconnue</v>
      </c>
      <c r="K1732" s="6">
        <f t="shared" si="82"/>
        <v>3</v>
      </c>
      <c r="L1732" s="6">
        <f t="shared" si="83"/>
        <v>195</v>
      </c>
    </row>
    <row r="1733" spans="1:12" ht="15.75" x14ac:dyDescent="0.25">
      <c r="A1733" s="6" t="s">
        <v>1387</v>
      </c>
      <c r="B1733" s="7">
        <v>45203.003472222219</v>
      </c>
      <c r="C1733" s="6">
        <v>46</v>
      </c>
      <c r="D1733" s="6" t="s">
        <v>800</v>
      </c>
      <c r="E1733" s="8" t="str">
        <f>IFERROR(VLOOKUP(LOG_RESEAU[[#This Row],[Cell_ID]],Registre_Maintenance!A:B,2,FALSE),"Non trouvé")</f>
        <v>Non trouvé</v>
      </c>
      <c r="F1733" s="8" t="str">
        <f>IFERROR(VLOOKUP(LOG_RESEAU[[#This Row],[Cell_ID]],Registre_Maintenance!A:C,3,FALSE),"Non trouvé")</f>
        <v>Non trouvé</v>
      </c>
      <c r="G1733" s="8" t="str">
        <f>IFERROR(VLOOKUP(LOG_RESEAU[[#This Row],[Cell_ID]],Registre_Maintenance!A:D,4,FALSE),"Non trouvé")</f>
        <v>Non trouvé</v>
      </c>
      <c r="H1733" s="6" t="str">
        <f>IFERROR(VLOOKUP(LOG_RESEAU[[#This Row],[Cell_ID]],Registre_Maintenance!A:E,5,FALSE),"Non trouvé")</f>
        <v>Non trouvé</v>
      </c>
      <c r="I1733" s="6" t="str">
        <f>IFERROR(VLOOKUP(LOG_RESEAU[[#This Row],[Cell_ID]],Registre_Maintenance!A:F,6,FALSE),"Non trouvé")</f>
        <v>Non trouvé</v>
      </c>
      <c r="J1733" s="6" t="str">
        <f t="shared" si="81"/>
        <v>Antenne inconnue</v>
      </c>
      <c r="K1733" s="6">
        <f t="shared" si="82"/>
        <v>1</v>
      </c>
      <c r="L1733" s="6">
        <f t="shared" si="83"/>
        <v>46</v>
      </c>
    </row>
    <row r="1734" spans="1:12" ht="15.75" x14ac:dyDescent="0.25">
      <c r="A1734" s="6" t="s">
        <v>1179</v>
      </c>
      <c r="B1734" s="7">
        <v>45210.802777777782</v>
      </c>
      <c r="C1734" s="6">
        <v>9</v>
      </c>
      <c r="D1734" s="6" t="s">
        <v>800</v>
      </c>
      <c r="E1734" s="8" t="str">
        <f>IFERROR(VLOOKUP(LOG_RESEAU[[#This Row],[Cell_ID]],Registre_Maintenance!A:B,2,FALSE),"Non trouvé")</f>
        <v>Non trouvé</v>
      </c>
      <c r="F1734" s="8" t="str">
        <f>IFERROR(VLOOKUP(LOG_RESEAU[[#This Row],[Cell_ID]],Registre_Maintenance!A:C,3,FALSE),"Non trouvé")</f>
        <v>Non trouvé</v>
      </c>
      <c r="G1734" s="8" t="str">
        <f>IFERROR(VLOOKUP(LOG_RESEAU[[#This Row],[Cell_ID]],Registre_Maintenance!A:D,4,FALSE),"Non trouvé")</f>
        <v>Non trouvé</v>
      </c>
      <c r="H1734" s="6" t="str">
        <f>IFERROR(VLOOKUP(LOG_RESEAU[[#This Row],[Cell_ID]],Registre_Maintenance!A:E,5,FALSE),"Non trouvé")</f>
        <v>Non trouvé</v>
      </c>
      <c r="I1734" s="6" t="str">
        <f>IFERROR(VLOOKUP(LOG_RESEAU[[#This Row],[Cell_ID]],Registre_Maintenance!A:F,6,FALSE),"Non trouvé")</f>
        <v>Non trouvé</v>
      </c>
      <c r="J1734" s="6" t="str">
        <f t="shared" si="81"/>
        <v>Antenne inconnue</v>
      </c>
      <c r="K1734" s="6">
        <f t="shared" si="82"/>
        <v>2</v>
      </c>
      <c r="L1734" s="6">
        <f t="shared" si="83"/>
        <v>85</v>
      </c>
    </row>
    <row r="1735" spans="1:12" ht="15.75" x14ac:dyDescent="0.25">
      <c r="A1735" s="6" t="s">
        <v>1179</v>
      </c>
      <c r="B1735" s="7">
        <v>45221.578472222223</v>
      </c>
      <c r="C1735" s="6">
        <v>76</v>
      </c>
      <c r="D1735" s="6" t="s">
        <v>792</v>
      </c>
      <c r="E1735" s="8" t="str">
        <f>IFERROR(VLOOKUP(LOG_RESEAU[[#This Row],[Cell_ID]],Registre_Maintenance!A:B,2,FALSE),"Non trouvé")</f>
        <v>Non trouvé</v>
      </c>
      <c r="F1735" s="8" t="str">
        <f>IFERROR(VLOOKUP(LOG_RESEAU[[#This Row],[Cell_ID]],Registre_Maintenance!A:C,3,FALSE),"Non trouvé")</f>
        <v>Non trouvé</v>
      </c>
      <c r="G1735" s="8" t="str">
        <f>IFERROR(VLOOKUP(LOG_RESEAU[[#This Row],[Cell_ID]],Registre_Maintenance!A:D,4,FALSE),"Non trouvé")</f>
        <v>Non trouvé</v>
      </c>
      <c r="H1735" s="6" t="str">
        <f>IFERROR(VLOOKUP(LOG_RESEAU[[#This Row],[Cell_ID]],Registre_Maintenance!A:E,5,FALSE),"Non trouvé")</f>
        <v>Non trouvé</v>
      </c>
      <c r="I1735" s="6" t="str">
        <f>IFERROR(VLOOKUP(LOG_RESEAU[[#This Row],[Cell_ID]],Registre_Maintenance!A:F,6,FALSE),"Non trouvé")</f>
        <v>Non trouvé</v>
      </c>
      <c r="J1735" s="6" t="str">
        <f t="shared" si="81"/>
        <v>Antenne inconnue</v>
      </c>
      <c r="K1735" s="6">
        <f t="shared" si="82"/>
        <v>2</v>
      </c>
      <c r="L1735" s="6">
        <f t="shared" si="83"/>
        <v>85</v>
      </c>
    </row>
    <row r="1736" spans="1:12" ht="15.75" x14ac:dyDescent="0.25">
      <c r="A1736" s="6" t="s">
        <v>1481</v>
      </c>
      <c r="B1736" s="7">
        <v>45212.774305555547</v>
      </c>
      <c r="C1736" s="6">
        <v>33</v>
      </c>
      <c r="D1736" s="6" t="s">
        <v>794</v>
      </c>
      <c r="E1736" s="8" t="str">
        <f>IFERROR(VLOOKUP(LOG_RESEAU[[#This Row],[Cell_ID]],Registre_Maintenance!A:B,2,FALSE),"Non trouvé")</f>
        <v>Non trouvé</v>
      </c>
      <c r="F1736" s="8" t="str">
        <f>IFERROR(VLOOKUP(LOG_RESEAU[[#This Row],[Cell_ID]],Registre_Maintenance!A:C,3,FALSE),"Non trouvé")</f>
        <v>Non trouvé</v>
      </c>
      <c r="G1736" s="8" t="str">
        <f>IFERROR(VLOOKUP(LOG_RESEAU[[#This Row],[Cell_ID]],Registre_Maintenance!A:D,4,FALSE),"Non trouvé")</f>
        <v>Non trouvé</v>
      </c>
      <c r="H1736" s="6" t="str">
        <f>IFERROR(VLOOKUP(LOG_RESEAU[[#This Row],[Cell_ID]],Registre_Maintenance!A:E,5,FALSE),"Non trouvé")</f>
        <v>Non trouvé</v>
      </c>
      <c r="I1736" s="6" t="str">
        <f>IFERROR(VLOOKUP(LOG_RESEAU[[#This Row],[Cell_ID]],Registre_Maintenance!A:F,6,FALSE),"Non trouvé")</f>
        <v>Non trouvé</v>
      </c>
      <c r="J1736" s="6" t="str">
        <f t="shared" si="81"/>
        <v>Antenne inconnue</v>
      </c>
      <c r="K1736" s="6">
        <f t="shared" si="82"/>
        <v>1</v>
      </c>
      <c r="L1736" s="6">
        <f t="shared" si="83"/>
        <v>33</v>
      </c>
    </row>
    <row r="1737" spans="1:12" ht="15.75" x14ac:dyDescent="0.25">
      <c r="A1737" s="6" t="s">
        <v>1227</v>
      </c>
      <c r="B1737" s="7">
        <v>45207.57916666667</v>
      </c>
      <c r="C1737" s="6">
        <v>68</v>
      </c>
      <c r="D1737" s="6" t="s">
        <v>794</v>
      </c>
      <c r="E1737" s="8" t="str">
        <f>IFERROR(VLOOKUP(LOG_RESEAU[[#This Row],[Cell_ID]],Registre_Maintenance!A:B,2,FALSE),"Non trouvé")</f>
        <v>Ituri</v>
      </c>
      <c r="F1737" s="8">
        <f>IFERROR(VLOOKUP(LOG_RESEAU[[#This Row],[Cell_ID]],Registre_Maintenance!A:C,3,FALSE),"Non trouvé")</f>
        <v>-3.7720639999999999</v>
      </c>
      <c r="G1737" s="8">
        <f>IFERROR(VLOOKUP(LOG_RESEAU[[#This Row],[Cell_ID]],Registre_Maintenance!A:D,4,FALSE),"Non trouvé")</f>
        <v>16.006277999999998</v>
      </c>
      <c r="H1737" s="6" t="str">
        <f>IFERROR(VLOOKUP(LOG_RESEAU[[#This Row],[Cell_ID]],Registre_Maintenance!A:E,5,FALSE),"Non trouvé")</f>
        <v>5G</v>
      </c>
      <c r="I1737" s="6" t="str">
        <f>IFERROR(VLOOKUP(LOG_RESEAU[[#This Row],[Cell_ID]],Registre_Maintenance!A:F,6,FALSE),"Non trouvé")</f>
        <v>ZTE</v>
      </c>
      <c r="J1737" s="6" t="str">
        <f t="shared" si="81"/>
        <v>OK</v>
      </c>
      <c r="K1737" s="6">
        <f t="shared" si="82"/>
        <v>3</v>
      </c>
      <c r="L1737" s="6">
        <f t="shared" si="83"/>
        <v>176</v>
      </c>
    </row>
    <row r="1738" spans="1:12" ht="15.75" x14ac:dyDescent="0.25">
      <c r="A1738" s="6" t="s">
        <v>1227</v>
      </c>
      <c r="B1738" s="7">
        <v>45227.915277777778</v>
      </c>
      <c r="C1738" s="6">
        <v>26</v>
      </c>
      <c r="D1738" s="6" t="s">
        <v>800</v>
      </c>
      <c r="E1738" s="8" t="str">
        <f>IFERROR(VLOOKUP(LOG_RESEAU[[#This Row],[Cell_ID]],Registre_Maintenance!A:B,2,FALSE),"Non trouvé")</f>
        <v>Ituri</v>
      </c>
      <c r="F1738" s="8">
        <f>IFERROR(VLOOKUP(LOG_RESEAU[[#This Row],[Cell_ID]],Registre_Maintenance!A:C,3,FALSE),"Non trouvé")</f>
        <v>-3.7720639999999999</v>
      </c>
      <c r="G1738" s="8">
        <f>IFERROR(VLOOKUP(LOG_RESEAU[[#This Row],[Cell_ID]],Registre_Maintenance!A:D,4,FALSE),"Non trouvé")</f>
        <v>16.006277999999998</v>
      </c>
      <c r="H1738" s="6" t="str">
        <f>IFERROR(VLOOKUP(LOG_RESEAU[[#This Row],[Cell_ID]],Registre_Maintenance!A:E,5,FALSE),"Non trouvé")</f>
        <v>5G</v>
      </c>
      <c r="I1738" s="6" t="str">
        <f>IFERROR(VLOOKUP(LOG_RESEAU[[#This Row],[Cell_ID]],Registre_Maintenance!A:F,6,FALSE),"Non trouvé")</f>
        <v>ZTE</v>
      </c>
      <c r="J1738" s="6" t="str">
        <f t="shared" si="81"/>
        <v>OK</v>
      </c>
      <c r="K1738" s="6">
        <f t="shared" si="82"/>
        <v>3</v>
      </c>
      <c r="L1738" s="6">
        <f t="shared" si="83"/>
        <v>176</v>
      </c>
    </row>
    <row r="1739" spans="1:12" ht="15.75" x14ac:dyDescent="0.25">
      <c r="A1739" s="6" t="s">
        <v>1227</v>
      </c>
      <c r="B1739" s="7">
        <v>45218.991666666669</v>
      </c>
      <c r="C1739" s="6">
        <v>82</v>
      </c>
      <c r="D1739" s="6" t="s">
        <v>794</v>
      </c>
      <c r="E1739" s="8" t="str">
        <f>IFERROR(VLOOKUP(LOG_RESEAU[[#This Row],[Cell_ID]],Registre_Maintenance!A:B,2,FALSE),"Non trouvé")</f>
        <v>Ituri</v>
      </c>
      <c r="F1739" s="8">
        <f>IFERROR(VLOOKUP(LOG_RESEAU[[#This Row],[Cell_ID]],Registre_Maintenance!A:C,3,FALSE),"Non trouvé")</f>
        <v>-3.7720639999999999</v>
      </c>
      <c r="G1739" s="8">
        <f>IFERROR(VLOOKUP(LOG_RESEAU[[#This Row],[Cell_ID]],Registre_Maintenance!A:D,4,FALSE),"Non trouvé")</f>
        <v>16.006277999999998</v>
      </c>
      <c r="H1739" s="6" t="str">
        <f>IFERROR(VLOOKUP(LOG_RESEAU[[#This Row],[Cell_ID]],Registre_Maintenance!A:E,5,FALSE),"Non trouvé")</f>
        <v>5G</v>
      </c>
      <c r="I1739" s="6" t="str">
        <f>IFERROR(VLOOKUP(LOG_RESEAU[[#This Row],[Cell_ID]],Registre_Maintenance!A:F,6,FALSE),"Non trouvé")</f>
        <v>ZTE</v>
      </c>
      <c r="J1739" s="6" t="str">
        <f t="shared" si="81"/>
        <v>OK</v>
      </c>
      <c r="K1739" s="6">
        <f t="shared" si="82"/>
        <v>3</v>
      </c>
      <c r="L1739" s="6">
        <f t="shared" si="83"/>
        <v>176</v>
      </c>
    </row>
    <row r="1740" spans="1:12" ht="15.75" x14ac:dyDescent="0.25">
      <c r="A1740" s="6" t="s">
        <v>1493</v>
      </c>
      <c r="B1740" s="7">
        <v>45218.287499999999</v>
      </c>
      <c r="C1740" s="6">
        <v>71</v>
      </c>
      <c r="D1740" s="6" t="s">
        <v>792</v>
      </c>
      <c r="E1740" s="8" t="str">
        <f>IFERROR(VLOOKUP(LOG_RESEAU[[#This Row],[Cell_ID]],Registre_Maintenance!A:B,2,FALSE),"Non trouvé")</f>
        <v>Non trouvé</v>
      </c>
      <c r="F1740" s="8" t="str">
        <f>IFERROR(VLOOKUP(LOG_RESEAU[[#This Row],[Cell_ID]],Registre_Maintenance!A:C,3,FALSE),"Non trouvé")</f>
        <v>Non trouvé</v>
      </c>
      <c r="G1740" s="8" t="str">
        <f>IFERROR(VLOOKUP(LOG_RESEAU[[#This Row],[Cell_ID]],Registre_Maintenance!A:D,4,FALSE),"Non trouvé")</f>
        <v>Non trouvé</v>
      </c>
      <c r="H1740" s="6" t="str">
        <f>IFERROR(VLOOKUP(LOG_RESEAU[[#This Row],[Cell_ID]],Registre_Maintenance!A:E,5,FALSE),"Non trouvé")</f>
        <v>Non trouvé</v>
      </c>
      <c r="I1740" s="6" t="str">
        <f>IFERROR(VLOOKUP(LOG_RESEAU[[#This Row],[Cell_ID]],Registre_Maintenance!A:F,6,FALSE),"Non trouvé")</f>
        <v>Non trouvé</v>
      </c>
      <c r="J1740" s="6" t="str">
        <f t="shared" si="81"/>
        <v>Antenne inconnue</v>
      </c>
      <c r="K1740" s="6">
        <f t="shared" si="82"/>
        <v>1</v>
      </c>
      <c r="L1740" s="6">
        <f t="shared" si="83"/>
        <v>71</v>
      </c>
    </row>
    <row r="1741" spans="1:12" ht="15.75" x14ac:dyDescent="0.25">
      <c r="A1741" s="6" t="s">
        <v>1210</v>
      </c>
      <c r="B1741" s="7">
        <v>45222.353472222218</v>
      </c>
      <c r="C1741" s="6">
        <v>101</v>
      </c>
      <c r="D1741" s="6" t="s">
        <v>800</v>
      </c>
      <c r="E1741" s="8" t="str">
        <f>IFERROR(VLOOKUP(LOG_RESEAU[[#This Row],[Cell_ID]],Registre_Maintenance!A:B,2,FALSE),"Non trouvé")</f>
        <v>Nord-Kivu</v>
      </c>
      <c r="F1741" s="8">
        <f>IFERROR(VLOOKUP(LOG_RESEAU[[#This Row],[Cell_ID]],Registre_Maintenance!A:C,3,FALSE),"Non trouvé")</f>
        <v>-10.846306999999999</v>
      </c>
      <c r="G1741" s="8">
        <f>IFERROR(VLOOKUP(LOG_RESEAU[[#This Row],[Cell_ID]],Registre_Maintenance!A:D,4,FALSE),"Non trouvé")</f>
        <v>19.201827999999999</v>
      </c>
      <c r="H1741" s="6" t="str">
        <f>IFERROR(VLOOKUP(LOG_RESEAU[[#This Row],[Cell_ID]],Registre_Maintenance!A:E,5,FALSE),"Non trouvé")</f>
        <v>4G</v>
      </c>
      <c r="I1741" s="6" t="str">
        <f>IFERROR(VLOOKUP(LOG_RESEAU[[#This Row],[Cell_ID]],Registre_Maintenance!A:F,6,FALSE),"Non trouvé")</f>
        <v>Ericsson</v>
      </c>
      <c r="J1741" s="6" t="str">
        <f t="shared" si="81"/>
        <v>OK</v>
      </c>
      <c r="K1741" s="6">
        <f t="shared" si="82"/>
        <v>3</v>
      </c>
      <c r="L1741" s="6">
        <f t="shared" si="83"/>
        <v>121</v>
      </c>
    </row>
    <row r="1742" spans="1:12" ht="15.75" x14ac:dyDescent="0.25">
      <c r="A1742" s="6" t="s">
        <v>1210</v>
      </c>
      <c r="B1742" s="7">
        <v>45223.252083333333</v>
      </c>
      <c r="C1742" s="6">
        <v>12</v>
      </c>
      <c r="D1742" s="6" t="s">
        <v>800</v>
      </c>
      <c r="E1742" s="8" t="str">
        <f>IFERROR(VLOOKUP(LOG_RESEAU[[#This Row],[Cell_ID]],Registre_Maintenance!A:B,2,FALSE),"Non trouvé")</f>
        <v>Nord-Kivu</v>
      </c>
      <c r="F1742" s="8">
        <f>IFERROR(VLOOKUP(LOG_RESEAU[[#This Row],[Cell_ID]],Registre_Maintenance!A:C,3,FALSE),"Non trouvé")</f>
        <v>-10.846306999999999</v>
      </c>
      <c r="G1742" s="8">
        <f>IFERROR(VLOOKUP(LOG_RESEAU[[#This Row],[Cell_ID]],Registre_Maintenance!A:D,4,FALSE),"Non trouvé")</f>
        <v>19.201827999999999</v>
      </c>
      <c r="H1742" s="6" t="str">
        <f>IFERROR(VLOOKUP(LOG_RESEAU[[#This Row],[Cell_ID]],Registre_Maintenance!A:E,5,FALSE),"Non trouvé")</f>
        <v>4G</v>
      </c>
      <c r="I1742" s="6" t="str">
        <f>IFERROR(VLOOKUP(LOG_RESEAU[[#This Row],[Cell_ID]],Registre_Maintenance!A:F,6,FALSE),"Non trouvé")</f>
        <v>Ericsson</v>
      </c>
      <c r="J1742" s="6" t="str">
        <f t="shared" si="81"/>
        <v>OK</v>
      </c>
      <c r="K1742" s="6">
        <f t="shared" si="82"/>
        <v>3</v>
      </c>
      <c r="L1742" s="6">
        <f t="shared" si="83"/>
        <v>121</v>
      </c>
    </row>
    <row r="1743" spans="1:12" ht="15.75" x14ac:dyDescent="0.25">
      <c r="A1743" s="6" t="s">
        <v>1210</v>
      </c>
      <c r="B1743" s="7">
        <v>45214.740972222222</v>
      </c>
      <c r="C1743" s="6">
        <v>8</v>
      </c>
      <c r="D1743" s="6" t="s">
        <v>794</v>
      </c>
      <c r="E1743" s="8" t="str">
        <f>IFERROR(VLOOKUP(LOG_RESEAU[[#This Row],[Cell_ID]],Registre_Maintenance!A:B,2,FALSE),"Non trouvé")</f>
        <v>Nord-Kivu</v>
      </c>
      <c r="F1743" s="8">
        <f>IFERROR(VLOOKUP(LOG_RESEAU[[#This Row],[Cell_ID]],Registre_Maintenance!A:C,3,FALSE),"Non trouvé")</f>
        <v>-10.846306999999999</v>
      </c>
      <c r="G1743" s="8">
        <f>IFERROR(VLOOKUP(LOG_RESEAU[[#This Row],[Cell_ID]],Registre_Maintenance!A:D,4,FALSE),"Non trouvé")</f>
        <v>19.201827999999999</v>
      </c>
      <c r="H1743" s="6" t="str">
        <f>IFERROR(VLOOKUP(LOG_RESEAU[[#This Row],[Cell_ID]],Registre_Maintenance!A:E,5,FALSE),"Non trouvé")</f>
        <v>4G</v>
      </c>
      <c r="I1743" s="6" t="str">
        <f>IFERROR(VLOOKUP(LOG_RESEAU[[#This Row],[Cell_ID]],Registre_Maintenance!A:F,6,FALSE),"Non trouvé")</f>
        <v>Ericsson</v>
      </c>
      <c r="J1743" s="6" t="str">
        <f t="shared" si="81"/>
        <v>OK</v>
      </c>
      <c r="K1743" s="6">
        <f t="shared" si="82"/>
        <v>3</v>
      </c>
      <c r="L1743" s="6">
        <f t="shared" si="83"/>
        <v>121</v>
      </c>
    </row>
    <row r="1744" spans="1:12" ht="15.75" x14ac:dyDescent="0.25">
      <c r="A1744" s="6" t="s">
        <v>1468</v>
      </c>
      <c r="B1744" s="7">
        <v>45207.472222222219</v>
      </c>
      <c r="C1744" s="6">
        <v>30</v>
      </c>
      <c r="D1744" s="6" t="s">
        <v>792</v>
      </c>
      <c r="E1744" s="8" t="str">
        <f>IFERROR(VLOOKUP(LOG_RESEAU[[#This Row],[Cell_ID]],Registre_Maintenance!A:B,2,FALSE),"Non trouvé")</f>
        <v>Non trouvé</v>
      </c>
      <c r="F1744" s="8" t="str">
        <f>IFERROR(VLOOKUP(LOG_RESEAU[[#This Row],[Cell_ID]],Registre_Maintenance!A:C,3,FALSE),"Non trouvé")</f>
        <v>Non trouvé</v>
      </c>
      <c r="G1744" s="8" t="str">
        <f>IFERROR(VLOOKUP(LOG_RESEAU[[#This Row],[Cell_ID]],Registre_Maintenance!A:D,4,FALSE),"Non trouvé")</f>
        <v>Non trouvé</v>
      </c>
      <c r="H1744" s="6" t="str">
        <f>IFERROR(VLOOKUP(LOG_RESEAU[[#This Row],[Cell_ID]],Registre_Maintenance!A:E,5,FALSE),"Non trouvé")</f>
        <v>Non trouvé</v>
      </c>
      <c r="I1744" s="6" t="str">
        <f>IFERROR(VLOOKUP(LOG_RESEAU[[#This Row],[Cell_ID]],Registre_Maintenance!A:F,6,FALSE),"Non trouvé")</f>
        <v>Non trouvé</v>
      </c>
      <c r="J1744" s="6" t="str">
        <f t="shared" si="81"/>
        <v>Antenne inconnue</v>
      </c>
      <c r="K1744" s="6">
        <f t="shared" si="82"/>
        <v>1</v>
      </c>
      <c r="L1744" s="6">
        <f t="shared" si="83"/>
        <v>30</v>
      </c>
    </row>
    <row r="1745" spans="1:12" ht="15.75" x14ac:dyDescent="0.25">
      <c r="A1745" s="6" t="s">
        <v>1244</v>
      </c>
      <c r="B1745" s="7">
        <v>45226.37777777778</v>
      </c>
      <c r="C1745" s="6">
        <v>74</v>
      </c>
      <c r="D1745" s="6" t="s">
        <v>792</v>
      </c>
      <c r="E1745" s="8" t="str">
        <f>IFERROR(VLOOKUP(LOG_RESEAU[[#This Row],[Cell_ID]],Registre_Maintenance!A:B,2,FALSE),"Non trouvé")</f>
        <v>Mongala</v>
      </c>
      <c r="F1745" s="8">
        <f>IFERROR(VLOOKUP(LOG_RESEAU[[#This Row],[Cell_ID]],Registre_Maintenance!A:C,3,FALSE),"Non trouvé")</f>
        <v>4.6809229999999999</v>
      </c>
      <c r="G1745" s="8">
        <f>IFERROR(VLOOKUP(LOG_RESEAU[[#This Row],[Cell_ID]],Registre_Maintenance!A:D,4,FALSE),"Non trouvé")</f>
        <v>28.934242000000001</v>
      </c>
      <c r="H1745" s="6" t="str">
        <f>IFERROR(VLOOKUP(LOG_RESEAU[[#This Row],[Cell_ID]],Registre_Maintenance!A:E,5,FALSE),"Non trouvé")</f>
        <v>5G</v>
      </c>
      <c r="I1745" s="6" t="str">
        <f>IFERROR(VLOOKUP(LOG_RESEAU[[#This Row],[Cell_ID]],Registre_Maintenance!A:F,6,FALSE),"Non trouvé")</f>
        <v>Nokia</v>
      </c>
      <c r="J1745" s="6" t="str">
        <f t="shared" si="81"/>
        <v>OK</v>
      </c>
      <c r="K1745" s="6">
        <f t="shared" si="82"/>
        <v>1</v>
      </c>
      <c r="L1745" s="6">
        <f t="shared" si="83"/>
        <v>74</v>
      </c>
    </row>
    <row r="1746" spans="1:12" ht="15.75" x14ac:dyDescent="0.25">
      <c r="A1746" s="6" t="s">
        <v>1458</v>
      </c>
      <c r="B1746" s="7">
        <v>45221.549305555563</v>
      </c>
      <c r="C1746" s="6">
        <v>39</v>
      </c>
      <c r="D1746" s="6" t="s">
        <v>800</v>
      </c>
      <c r="E1746" s="8" t="str">
        <f>IFERROR(VLOOKUP(LOG_RESEAU[[#This Row],[Cell_ID]],Registre_Maintenance!A:B,2,FALSE),"Non trouvé")</f>
        <v>Non trouvé</v>
      </c>
      <c r="F1746" s="8" t="str">
        <f>IFERROR(VLOOKUP(LOG_RESEAU[[#This Row],[Cell_ID]],Registre_Maintenance!A:C,3,FALSE),"Non trouvé")</f>
        <v>Non trouvé</v>
      </c>
      <c r="G1746" s="8" t="str">
        <f>IFERROR(VLOOKUP(LOG_RESEAU[[#This Row],[Cell_ID]],Registre_Maintenance!A:D,4,FALSE),"Non trouvé")</f>
        <v>Non trouvé</v>
      </c>
      <c r="H1746" s="6" t="str">
        <f>IFERROR(VLOOKUP(LOG_RESEAU[[#This Row],[Cell_ID]],Registre_Maintenance!A:E,5,FALSE),"Non trouvé")</f>
        <v>Non trouvé</v>
      </c>
      <c r="I1746" s="6" t="str">
        <f>IFERROR(VLOOKUP(LOG_RESEAU[[#This Row],[Cell_ID]],Registre_Maintenance!A:F,6,FALSE),"Non trouvé")</f>
        <v>Non trouvé</v>
      </c>
      <c r="J1746" s="6" t="str">
        <f t="shared" si="81"/>
        <v>Antenne inconnue</v>
      </c>
      <c r="K1746" s="6">
        <f t="shared" si="82"/>
        <v>1</v>
      </c>
      <c r="L1746" s="6">
        <f t="shared" si="83"/>
        <v>39</v>
      </c>
    </row>
    <row r="1747" spans="1:12" ht="15.75" x14ac:dyDescent="0.25">
      <c r="A1747" s="6" t="s">
        <v>1357</v>
      </c>
      <c r="B1747" s="7">
        <v>45207.342361111107</v>
      </c>
      <c r="C1747" s="6">
        <v>28</v>
      </c>
      <c r="D1747" s="6" t="s">
        <v>794</v>
      </c>
      <c r="E1747" s="8" t="str">
        <f>IFERROR(VLOOKUP(LOG_RESEAU[[#This Row],[Cell_ID]],Registre_Maintenance!A:B,2,FALSE),"Non trouvé")</f>
        <v>Bas-Uele</v>
      </c>
      <c r="F1747" s="8">
        <f>IFERROR(VLOOKUP(LOG_RESEAU[[#This Row],[Cell_ID]],Registre_Maintenance!A:C,3,FALSE),"Non trouvé")</f>
        <v>0.40267799999999998</v>
      </c>
      <c r="G1747" s="8">
        <f>IFERROR(VLOOKUP(LOG_RESEAU[[#This Row],[Cell_ID]],Registre_Maintenance!A:D,4,FALSE),"Non trouvé")</f>
        <v>16.000858000000001</v>
      </c>
      <c r="H1747" s="6" t="str">
        <f>IFERROR(VLOOKUP(LOG_RESEAU[[#This Row],[Cell_ID]],Registre_Maintenance!A:E,5,FALSE),"Non trouvé")</f>
        <v>3G</v>
      </c>
      <c r="I1747" s="6" t="str">
        <f>IFERROR(VLOOKUP(LOG_RESEAU[[#This Row],[Cell_ID]],Registre_Maintenance!A:F,6,FALSE),"Non trouvé")</f>
        <v>Nokia</v>
      </c>
      <c r="J1747" s="6" t="str">
        <f t="shared" si="81"/>
        <v>OK</v>
      </c>
      <c r="K1747" s="6">
        <f t="shared" si="82"/>
        <v>1</v>
      </c>
      <c r="L1747" s="6">
        <f t="shared" si="83"/>
        <v>28</v>
      </c>
    </row>
    <row r="1748" spans="1:12" ht="15.75" x14ac:dyDescent="0.25">
      <c r="A1748" s="6" t="s">
        <v>1300</v>
      </c>
      <c r="B1748" s="7">
        <v>45210.836111111108</v>
      </c>
      <c r="C1748" s="6">
        <v>25</v>
      </c>
      <c r="D1748" s="6" t="s">
        <v>792</v>
      </c>
      <c r="E1748" s="8" t="str">
        <f>IFERROR(VLOOKUP(LOG_RESEAU[[#This Row],[Cell_ID]],Registre_Maintenance!A:B,2,FALSE),"Non trouvé")</f>
        <v>Non trouvé</v>
      </c>
      <c r="F1748" s="8" t="str">
        <f>IFERROR(VLOOKUP(LOG_RESEAU[[#This Row],[Cell_ID]],Registre_Maintenance!A:C,3,FALSE),"Non trouvé")</f>
        <v>Non trouvé</v>
      </c>
      <c r="G1748" s="8" t="str">
        <f>IFERROR(VLOOKUP(LOG_RESEAU[[#This Row],[Cell_ID]],Registre_Maintenance!A:D,4,FALSE),"Non trouvé")</f>
        <v>Non trouvé</v>
      </c>
      <c r="H1748" s="6" t="str">
        <f>IFERROR(VLOOKUP(LOG_RESEAU[[#This Row],[Cell_ID]],Registre_Maintenance!A:E,5,FALSE),"Non trouvé")</f>
        <v>Non trouvé</v>
      </c>
      <c r="I1748" s="6" t="str">
        <f>IFERROR(VLOOKUP(LOG_RESEAU[[#This Row],[Cell_ID]],Registre_Maintenance!A:F,6,FALSE),"Non trouvé")</f>
        <v>Non trouvé</v>
      </c>
      <c r="J1748" s="6" t="str">
        <f t="shared" si="81"/>
        <v>Antenne inconnue</v>
      </c>
      <c r="K1748" s="6">
        <f t="shared" si="82"/>
        <v>1</v>
      </c>
      <c r="L1748" s="6">
        <f t="shared" si="83"/>
        <v>25</v>
      </c>
    </row>
    <row r="1749" spans="1:12" ht="15.75" x14ac:dyDescent="0.25">
      <c r="A1749" s="6" t="s">
        <v>1090</v>
      </c>
      <c r="B1749" s="7">
        <v>45208.072916666657</v>
      </c>
      <c r="C1749" s="6">
        <v>68</v>
      </c>
      <c r="D1749" s="6" t="s">
        <v>794</v>
      </c>
      <c r="E1749" s="8" t="str">
        <f>IFERROR(VLOOKUP(LOG_RESEAU[[#This Row],[Cell_ID]],Registre_Maintenance!A:B,2,FALSE),"Non trouvé")</f>
        <v>Nord-Kivu</v>
      </c>
      <c r="F1749" s="8">
        <f>IFERROR(VLOOKUP(LOG_RESEAU[[#This Row],[Cell_ID]],Registre_Maintenance!A:C,3,FALSE),"Non trouvé")</f>
        <v>1.017161</v>
      </c>
      <c r="G1749" s="8">
        <f>IFERROR(VLOOKUP(LOG_RESEAU[[#This Row],[Cell_ID]],Registre_Maintenance!A:D,4,FALSE),"Non trouvé")</f>
        <v>16.519689</v>
      </c>
      <c r="H1749" s="6" t="str">
        <f>IFERROR(VLOOKUP(LOG_RESEAU[[#This Row],[Cell_ID]],Registre_Maintenance!A:E,5,FALSE),"Non trouvé")</f>
        <v>3G</v>
      </c>
      <c r="I1749" s="6" t="str">
        <f>IFERROR(VLOOKUP(LOG_RESEAU[[#This Row],[Cell_ID]],Registre_Maintenance!A:F,6,FALSE),"Non trouvé")</f>
        <v>Nokia</v>
      </c>
      <c r="J1749" s="6" t="str">
        <f t="shared" si="81"/>
        <v>OK</v>
      </c>
      <c r="K1749" s="6">
        <f t="shared" si="82"/>
        <v>2</v>
      </c>
      <c r="L1749" s="6">
        <f t="shared" si="83"/>
        <v>153</v>
      </c>
    </row>
    <row r="1750" spans="1:12" ht="15.75" x14ac:dyDescent="0.25">
      <c r="A1750" s="6" t="s">
        <v>1090</v>
      </c>
      <c r="B1750" s="7">
        <v>45210.39166666667</v>
      </c>
      <c r="C1750" s="6">
        <v>85</v>
      </c>
      <c r="D1750" s="6" t="s">
        <v>800</v>
      </c>
      <c r="E1750" s="8" t="str">
        <f>IFERROR(VLOOKUP(LOG_RESEAU[[#This Row],[Cell_ID]],Registre_Maintenance!A:B,2,FALSE),"Non trouvé")</f>
        <v>Nord-Kivu</v>
      </c>
      <c r="F1750" s="8">
        <f>IFERROR(VLOOKUP(LOG_RESEAU[[#This Row],[Cell_ID]],Registre_Maintenance!A:C,3,FALSE),"Non trouvé")</f>
        <v>1.017161</v>
      </c>
      <c r="G1750" s="8">
        <f>IFERROR(VLOOKUP(LOG_RESEAU[[#This Row],[Cell_ID]],Registre_Maintenance!A:D,4,FALSE),"Non trouvé")</f>
        <v>16.519689</v>
      </c>
      <c r="H1750" s="6" t="str">
        <f>IFERROR(VLOOKUP(LOG_RESEAU[[#This Row],[Cell_ID]],Registre_Maintenance!A:E,5,FALSE),"Non trouvé")</f>
        <v>3G</v>
      </c>
      <c r="I1750" s="6" t="str">
        <f>IFERROR(VLOOKUP(LOG_RESEAU[[#This Row],[Cell_ID]],Registre_Maintenance!A:F,6,FALSE),"Non trouvé")</f>
        <v>Nokia</v>
      </c>
      <c r="J1750" s="6" t="str">
        <f t="shared" si="81"/>
        <v>OK</v>
      </c>
      <c r="K1750" s="6">
        <f t="shared" si="82"/>
        <v>2</v>
      </c>
      <c r="L1750" s="6">
        <f t="shared" si="83"/>
        <v>153</v>
      </c>
    </row>
    <row r="1751" spans="1:12" ht="15.75" x14ac:dyDescent="0.25">
      <c r="A1751" s="6" t="s">
        <v>1258</v>
      </c>
      <c r="B1751" s="7">
        <v>45217.89166666667</v>
      </c>
      <c r="C1751" s="6">
        <v>108</v>
      </c>
      <c r="D1751" s="6" t="s">
        <v>792</v>
      </c>
      <c r="E1751" s="8" t="str">
        <f>IFERROR(VLOOKUP(LOG_RESEAU[[#This Row],[Cell_ID]],Registre_Maintenance!A:B,2,FALSE),"Non trouvé")</f>
        <v>Mongala</v>
      </c>
      <c r="F1751" s="8">
        <f>IFERROR(VLOOKUP(LOG_RESEAU[[#This Row],[Cell_ID]],Registre_Maintenance!A:C,3,FALSE),"Non trouvé")</f>
        <v>-5.3762689999999997</v>
      </c>
      <c r="G1751" s="8">
        <f>IFERROR(VLOOKUP(LOG_RESEAU[[#This Row],[Cell_ID]],Registre_Maintenance!A:D,4,FALSE),"Non trouvé")</f>
        <v>28.189575999999999</v>
      </c>
      <c r="H1751" s="6" t="str">
        <f>IFERROR(VLOOKUP(LOG_RESEAU[[#This Row],[Cell_ID]],Registre_Maintenance!A:E,5,FALSE),"Non trouvé")</f>
        <v>5G</v>
      </c>
      <c r="I1751" s="6" t="str">
        <f>IFERROR(VLOOKUP(LOG_RESEAU[[#This Row],[Cell_ID]],Registre_Maintenance!A:F,6,FALSE),"Non trouvé")</f>
        <v>Huawei</v>
      </c>
      <c r="J1751" s="6" t="str">
        <f t="shared" si="81"/>
        <v>OK</v>
      </c>
      <c r="K1751" s="6">
        <f t="shared" si="82"/>
        <v>4</v>
      </c>
      <c r="L1751" s="6">
        <f t="shared" si="83"/>
        <v>237</v>
      </c>
    </row>
    <row r="1752" spans="1:12" ht="15.75" x14ac:dyDescent="0.25">
      <c r="A1752" s="6" t="s">
        <v>1258</v>
      </c>
      <c r="B1752" s="7">
        <v>45211.04583333333</v>
      </c>
      <c r="C1752" s="6">
        <v>18</v>
      </c>
      <c r="D1752" s="6" t="s">
        <v>792</v>
      </c>
      <c r="E1752" s="8" t="str">
        <f>IFERROR(VLOOKUP(LOG_RESEAU[[#This Row],[Cell_ID]],Registre_Maintenance!A:B,2,FALSE),"Non trouvé")</f>
        <v>Mongala</v>
      </c>
      <c r="F1752" s="8">
        <f>IFERROR(VLOOKUP(LOG_RESEAU[[#This Row],[Cell_ID]],Registre_Maintenance!A:C,3,FALSE),"Non trouvé")</f>
        <v>-5.3762689999999997</v>
      </c>
      <c r="G1752" s="8">
        <f>IFERROR(VLOOKUP(LOG_RESEAU[[#This Row],[Cell_ID]],Registre_Maintenance!A:D,4,FALSE),"Non trouvé")</f>
        <v>28.189575999999999</v>
      </c>
      <c r="H1752" s="6" t="str">
        <f>IFERROR(VLOOKUP(LOG_RESEAU[[#This Row],[Cell_ID]],Registre_Maintenance!A:E,5,FALSE),"Non trouvé")</f>
        <v>5G</v>
      </c>
      <c r="I1752" s="6" t="str">
        <f>IFERROR(VLOOKUP(LOG_RESEAU[[#This Row],[Cell_ID]],Registre_Maintenance!A:F,6,FALSE),"Non trouvé")</f>
        <v>Huawei</v>
      </c>
      <c r="J1752" s="6" t="str">
        <f t="shared" si="81"/>
        <v>OK</v>
      </c>
      <c r="K1752" s="6">
        <f t="shared" si="82"/>
        <v>4</v>
      </c>
      <c r="L1752" s="6">
        <f t="shared" si="83"/>
        <v>237</v>
      </c>
    </row>
    <row r="1753" spans="1:12" ht="15.75" x14ac:dyDescent="0.25">
      <c r="A1753" s="6" t="s">
        <v>1258</v>
      </c>
      <c r="B1753" s="7">
        <v>45222.188888888893</v>
      </c>
      <c r="C1753" s="6">
        <v>33</v>
      </c>
      <c r="D1753" s="6" t="s">
        <v>794</v>
      </c>
      <c r="E1753" s="8" t="str">
        <f>IFERROR(VLOOKUP(LOG_RESEAU[[#This Row],[Cell_ID]],Registre_Maintenance!A:B,2,FALSE),"Non trouvé")</f>
        <v>Mongala</v>
      </c>
      <c r="F1753" s="8">
        <f>IFERROR(VLOOKUP(LOG_RESEAU[[#This Row],[Cell_ID]],Registre_Maintenance!A:C,3,FALSE),"Non trouvé")</f>
        <v>-5.3762689999999997</v>
      </c>
      <c r="G1753" s="8">
        <f>IFERROR(VLOOKUP(LOG_RESEAU[[#This Row],[Cell_ID]],Registre_Maintenance!A:D,4,FALSE),"Non trouvé")</f>
        <v>28.189575999999999</v>
      </c>
      <c r="H1753" s="6" t="str">
        <f>IFERROR(VLOOKUP(LOG_RESEAU[[#This Row],[Cell_ID]],Registre_Maintenance!A:E,5,FALSE),"Non trouvé")</f>
        <v>5G</v>
      </c>
      <c r="I1753" s="6" t="str">
        <f>IFERROR(VLOOKUP(LOG_RESEAU[[#This Row],[Cell_ID]],Registre_Maintenance!A:F,6,FALSE),"Non trouvé")</f>
        <v>Huawei</v>
      </c>
      <c r="J1753" s="6" t="str">
        <f t="shared" si="81"/>
        <v>OK</v>
      </c>
      <c r="K1753" s="6">
        <f t="shared" si="82"/>
        <v>4</v>
      </c>
      <c r="L1753" s="6">
        <f t="shared" si="83"/>
        <v>237</v>
      </c>
    </row>
    <row r="1754" spans="1:12" ht="15.75" x14ac:dyDescent="0.25">
      <c r="A1754" s="6" t="s">
        <v>1258</v>
      </c>
      <c r="B1754" s="7">
        <v>45223.759722222218</v>
      </c>
      <c r="C1754" s="6">
        <v>78</v>
      </c>
      <c r="D1754" s="6" t="s">
        <v>800</v>
      </c>
      <c r="E1754" s="8" t="str">
        <f>IFERROR(VLOOKUP(LOG_RESEAU[[#This Row],[Cell_ID]],Registre_Maintenance!A:B,2,FALSE),"Non trouvé")</f>
        <v>Mongala</v>
      </c>
      <c r="F1754" s="8">
        <f>IFERROR(VLOOKUP(LOG_RESEAU[[#This Row],[Cell_ID]],Registre_Maintenance!A:C,3,FALSE),"Non trouvé")</f>
        <v>-5.3762689999999997</v>
      </c>
      <c r="G1754" s="8">
        <f>IFERROR(VLOOKUP(LOG_RESEAU[[#This Row],[Cell_ID]],Registre_Maintenance!A:D,4,FALSE),"Non trouvé")</f>
        <v>28.189575999999999</v>
      </c>
      <c r="H1754" s="6" t="str">
        <f>IFERROR(VLOOKUP(LOG_RESEAU[[#This Row],[Cell_ID]],Registre_Maintenance!A:E,5,FALSE),"Non trouvé")</f>
        <v>5G</v>
      </c>
      <c r="I1754" s="6" t="str">
        <f>IFERROR(VLOOKUP(LOG_RESEAU[[#This Row],[Cell_ID]],Registre_Maintenance!A:F,6,FALSE),"Non trouvé")</f>
        <v>Huawei</v>
      </c>
      <c r="J1754" s="6" t="str">
        <f t="shared" si="81"/>
        <v>OK</v>
      </c>
      <c r="K1754" s="6">
        <f t="shared" si="82"/>
        <v>4</v>
      </c>
      <c r="L1754" s="6">
        <f t="shared" si="83"/>
        <v>237</v>
      </c>
    </row>
    <row r="1755" spans="1:12" ht="15.75" x14ac:dyDescent="0.25">
      <c r="A1755" s="6" t="s">
        <v>1390</v>
      </c>
      <c r="B1755" s="7">
        <v>45224.115277777782</v>
      </c>
      <c r="C1755" s="6">
        <v>45</v>
      </c>
      <c r="D1755" s="6" t="s">
        <v>800</v>
      </c>
      <c r="E1755" s="8" t="str">
        <f>IFERROR(VLOOKUP(LOG_RESEAU[[#This Row],[Cell_ID]],Registre_Maintenance!A:B,2,FALSE),"Non trouvé")</f>
        <v>Tshopo</v>
      </c>
      <c r="F1755" s="8">
        <f>IFERROR(VLOOKUP(LOG_RESEAU[[#This Row],[Cell_ID]],Registre_Maintenance!A:C,3,FALSE),"Non trouvé")</f>
        <v>-11.265995</v>
      </c>
      <c r="G1755" s="8">
        <f>IFERROR(VLOOKUP(LOG_RESEAU[[#This Row],[Cell_ID]],Registre_Maintenance!A:D,4,FALSE),"Non trouvé")</f>
        <v>28.935514999999999</v>
      </c>
      <c r="H1755" s="6" t="str">
        <f>IFERROR(VLOOKUP(LOG_RESEAU[[#This Row],[Cell_ID]],Registre_Maintenance!A:E,5,FALSE),"Non trouvé")</f>
        <v>4G</v>
      </c>
      <c r="I1755" s="6" t="str">
        <f>IFERROR(VLOOKUP(LOG_RESEAU[[#This Row],[Cell_ID]],Registre_Maintenance!A:F,6,FALSE),"Non trouvé")</f>
        <v>Ericsson</v>
      </c>
      <c r="J1755" s="6" t="str">
        <f t="shared" si="81"/>
        <v>OK</v>
      </c>
      <c r="K1755" s="6">
        <f t="shared" si="82"/>
        <v>2</v>
      </c>
      <c r="L1755" s="6">
        <f t="shared" si="83"/>
        <v>89</v>
      </c>
    </row>
    <row r="1756" spans="1:12" ht="15.75" x14ac:dyDescent="0.25">
      <c r="A1756" s="6" t="s">
        <v>1390</v>
      </c>
      <c r="B1756" s="7">
        <v>45228.563194444447</v>
      </c>
      <c r="C1756" s="6">
        <v>44</v>
      </c>
      <c r="D1756" s="6" t="s">
        <v>794</v>
      </c>
      <c r="E1756" s="8" t="str">
        <f>IFERROR(VLOOKUP(LOG_RESEAU[[#This Row],[Cell_ID]],Registre_Maintenance!A:B,2,FALSE),"Non trouvé")</f>
        <v>Tshopo</v>
      </c>
      <c r="F1756" s="8">
        <f>IFERROR(VLOOKUP(LOG_RESEAU[[#This Row],[Cell_ID]],Registre_Maintenance!A:C,3,FALSE),"Non trouvé")</f>
        <v>-11.265995</v>
      </c>
      <c r="G1756" s="8">
        <f>IFERROR(VLOOKUP(LOG_RESEAU[[#This Row],[Cell_ID]],Registre_Maintenance!A:D,4,FALSE),"Non trouvé")</f>
        <v>28.935514999999999</v>
      </c>
      <c r="H1756" s="6" t="str">
        <f>IFERROR(VLOOKUP(LOG_RESEAU[[#This Row],[Cell_ID]],Registre_Maintenance!A:E,5,FALSE),"Non trouvé")</f>
        <v>4G</v>
      </c>
      <c r="I1756" s="6" t="str">
        <f>IFERROR(VLOOKUP(LOG_RESEAU[[#This Row],[Cell_ID]],Registre_Maintenance!A:F,6,FALSE),"Non trouvé")</f>
        <v>Ericsson</v>
      </c>
      <c r="J1756" s="6" t="str">
        <f t="shared" si="81"/>
        <v>OK</v>
      </c>
      <c r="K1756" s="6">
        <f t="shared" si="82"/>
        <v>2</v>
      </c>
      <c r="L1756" s="6">
        <f t="shared" si="83"/>
        <v>89</v>
      </c>
    </row>
    <row r="1757" spans="1:12" ht="15.75" x14ac:dyDescent="0.25">
      <c r="A1757" s="6" t="s">
        <v>1443</v>
      </c>
      <c r="B1757" s="7">
        <v>45225.949305555558</v>
      </c>
      <c r="C1757" s="6">
        <v>117</v>
      </c>
      <c r="D1757" s="6" t="s">
        <v>794</v>
      </c>
      <c r="E1757" s="8" t="str">
        <f>IFERROR(VLOOKUP(LOG_RESEAU[[#This Row],[Cell_ID]],Registre_Maintenance!A:B,2,FALSE),"Non trouvé")</f>
        <v>Non trouvé</v>
      </c>
      <c r="F1757" s="8" t="str">
        <f>IFERROR(VLOOKUP(LOG_RESEAU[[#This Row],[Cell_ID]],Registre_Maintenance!A:C,3,FALSE),"Non trouvé")</f>
        <v>Non trouvé</v>
      </c>
      <c r="G1757" s="8" t="str">
        <f>IFERROR(VLOOKUP(LOG_RESEAU[[#This Row],[Cell_ID]],Registre_Maintenance!A:D,4,FALSE),"Non trouvé")</f>
        <v>Non trouvé</v>
      </c>
      <c r="H1757" s="6" t="str">
        <f>IFERROR(VLOOKUP(LOG_RESEAU[[#This Row],[Cell_ID]],Registre_Maintenance!A:E,5,FALSE),"Non trouvé")</f>
        <v>Non trouvé</v>
      </c>
      <c r="I1757" s="6" t="str">
        <f>IFERROR(VLOOKUP(LOG_RESEAU[[#This Row],[Cell_ID]],Registre_Maintenance!A:F,6,FALSE),"Non trouvé")</f>
        <v>Non trouvé</v>
      </c>
      <c r="J1757" s="6" t="str">
        <f t="shared" si="81"/>
        <v>Antenne inconnue</v>
      </c>
      <c r="K1757" s="6">
        <f t="shared" si="82"/>
        <v>1</v>
      </c>
      <c r="L1757" s="6">
        <f t="shared" si="83"/>
        <v>117</v>
      </c>
    </row>
    <row r="1758" spans="1:12" ht="15.75" x14ac:dyDescent="0.25">
      <c r="A1758" s="6" t="s">
        <v>1406</v>
      </c>
      <c r="B1758" s="7">
        <v>45221.559027777781</v>
      </c>
      <c r="C1758" s="6">
        <v>22</v>
      </c>
      <c r="D1758" s="6" t="s">
        <v>794</v>
      </c>
      <c r="E1758" s="8" t="str">
        <f>IFERROR(VLOOKUP(LOG_RESEAU[[#This Row],[Cell_ID]],Registre_Maintenance!A:B,2,FALSE),"Non trouvé")</f>
        <v>Kwango</v>
      </c>
      <c r="F1758" s="8">
        <f>IFERROR(VLOOKUP(LOG_RESEAU[[#This Row],[Cell_ID]],Registre_Maintenance!A:C,3,FALSE),"Non trouvé")</f>
        <v>0.65288900000000005</v>
      </c>
      <c r="G1758" s="8">
        <f>IFERROR(VLOOKUP(LOG_RESEAU[[#This Row],[Cell_ID]],Registre_Maintenance!A:D,4,FALSE),"Non trouvé")</f>
        <v>24.243953999999999</v>
      </c>
      <c r="H1758" s="6" t="str">
        <f>IFERROR(VLOOKUP(LOG_RESEAU[[#This Row],[Cell_ID]],Registre_Maintenance!A:E,5,FALSE),"Non trouvé")</f>
        <v>5G</v>
      </c>
      <c r="I1758" s="6" t="str">
        <f>IFERROR(VLOOKUP(LOG_RESEAU[[#This Row],[Cell_ID]],Registre_Maintenance!A:F,6,FALSE),"Non trouvé")</f>
        <v>Ericsson</v>
      </c>
      <c r="J1758" s="6" t="str">
        <f t="shared" si="81"/>
        <v>OK</v>
      </c>
      <c r="K1758" s="6">
        <f t="shared" si="82"/>
        <v>1</v>
      </c>
      <c r="L1758" s="6">
        <f t="shared" si="83"/>
        <v>22</v>
      </c>
    </row>
    <row r="1759" spans="1:12" ht="15.75" x14ac:dyDescent="0.25">
      <c r="A1759" s="6" t="s">
        <v>1345</v>
      </c>
      <c r="B1759" s="7">
        <v>45219.106249999997</v>
      </c>
      <c r="C1759" s="6">
        <v>87</v>
      </c>
      <c r="D1759" s="6" t="s">
        <v>800</v>
      </c>
      <c r="E1759" s="8" t="str">
        <f>IFERROR(VLOOKUP(LOG_RESEAU[[#This Row],[Cell_ID]],Registre_Maintenance!A:B,2,FALSE),"Non trouvé")</f>
        <v>Non trouvé</v>
      </c>
      <c r="F1759" s="8" t="str">
        <f>IFERROR(VLOOKUP(LOG_RESEAU[[#This Row],[Cell_ID]],Registre_Maintenance!A:C,3,FALSE),"Non trouvé")</f>
        <v>Non trouvé</v>
      </c>
      <c r="G1759" s="8" t="str">
        <f>IFERROR(VLOOKUP(LOG_RESEAU[[#This Row],[Cell_ID]],Registre_Maintenance!A:D,4,FALSE),"Non trouvé")</f>
        <v>Non trouvé</v>
      </c>
      <c r="H1759" s="6" t="str">
        <f>IFERROR(VLOOKUP(LOG_RESEAU[[#This Row],[Cell_ID]],Registre_Maintenance!A:E,5,FALSE),"Non trouvé")</f>
        <v>Non trouvé</v>
      </c>
      <c r="I1759" s="6" t="str">
        <f>IFERROR(VLOOKUP(LOG_RESEAU[[#This Row],[Cell_ID]],Registre_Maintenance!A:F,6,FALSE),"Non trouvé")</f>
        <v>Non trouvé</v>
      </c>
      <c r="J1759" s="6" t="str">
        <f t="shared" si="81"/>
        <v>Antenne inconnue</v>
      </c>
      <c r="K1759" s="6">
        <f t="shared" si="82"/>
        <v>2</v>
      </c>
      <c r="L1759" s="6">
        <f t="shared" si="83"/>
        <v>137</v>
      </c>
    </row>
    <row r="1760" spans="1:12" ht="15.75" x14ac:dyDescent="0.25">
      <c r="A1760" s="6" t="s">
        <v>1345</v>
      </c>
      <c r="B1760" s="7">
        <v>45213.593055555553</v>
      </c>
      <c r="C1760" s="6">
        <v>50</v>
      </c>
      <c r="D1760" s="6" t="s">
        <v>792</v>
      </c>
      <c r="E1760" s="8" t="str">
        <f>IFERROR(VLOOKUP(LOG_RESEAU[[#This Row],[Cell_ID]],Registre_Maintenance!A:B,2,FALSE),"Non trouvé")</f>
        <v>Non trouvé</v>
      </c>
      <c r="F1760" s="8" t="str">
        <f>IFERROR(VLOOKUP(LOG_RESEAU[[#This Row],[Cell_ID]],Registre_Maintenance!A:C,3,FALSE),"Non trouvé")</f>
        <v>Non trouvé</v>
      </c>
      <c r="G1760" s="8" t="str">
        <f>IFERROR(VLOOKUP(LOG_RESEAU[[#This Row],[Cell_ID]],Registre_Maintenance!A:D,4,FALSE),"Non trouvé")</f>
        <v>Non trouvé</v>
      </c>
      <c r="H1760" s="6" t="str">
        <f>IFERROR(VLOOKUP(LOG_RESEAU[[#This Row],[Cell_ID]],Registre_Maintenance!A:E,5,FALSE),"Non trouvé")</f>
        <v>Non trouvé</v>
      </c>
      <c r="I1760" s="6" t="str">
        <f>IFERROR(VLOOKUP(LOG_RESEAU[[#This Row],[Cell_ID]],Registre_Maintenance!A:F,6,FALSE),"Non trouvé")</f>
        <v>Non trouvé</v>
      </c>
      <c r="J1760" s="6" t="str">
        <f t="shared" si="81"/>
        <v>Antenne inconnue</v>
      </c>
      <c r="K1760" s="6">
        <f t="shared" si="82"/>
        <v>2</v>
      </c>
      <c r="L1760" s="6">
        <f t="shared" si="83"/>
        <v>137</v>
      </c>
    </row>
    <row r="1761" spans="1:12" ht="15.75" x14ac:dyDescent="0.25">
      <c r="A1761" s="6" t="s">
        <v>1158</v>
      </c>
      <c r="B1761" s="7">
        <v>45207.149305555547</v>
      </c>
      <c r="C1761" s="6">
        <v>101</v>
      </c>
      <c r="D1761" s="6" t="s">
        <v>792</v>
      </c>
      <c r="E1761" s="8" t="str">
        <f>IFERROR(VLOOKUP(LOG_RESEAU[[#This Row],[Cell_ID]],Registre_Maintenance!A:B,2,FALSE),"Non trouvé")</f>
        <v>Lualaba</v>
      </c>
      <c r="F1761" s="8">
        <f>IFERROR(VLOOKUP(LOG_RESEAU[[#This Row],[Cell_ID]],Registre_Maintenance!A:C,3,FALSE),"Non trouvé")</f>
        <v>-10.872631999999999</v>
      </c>
      <c r="G1761" s="8">
        <f>IFERROR(VLOOKUP(LOG_RESEAU[[#This Row],[Cell_ID]],Registre_Maintenance!A:D,4,FALSE),"Non trouvé")</f>
        <v>12.773279</v>
      </c>
      <c r="H1761" s="6" t="str">
        <f>IFERROR(VLOOKUP(LOG_RESEAU[[#This Row],[Cell_ID]],Registre_Maintenance!A:E,5,FALSE),"Non trouvé")</f>
        <v>3G</v>
      </c>
      <c r="I1761" s="6" t="str">
        <f>IFERROR(VLOOKUP(LOG_RESEAU[[#This Row],[Cell_ID]],Registre_Maintenance!A:F,6,FALSE),"Non trouvé")</f>
        <v>ZTE</v>
      </c>
      <c r="J1761" s="6" t="str">
        <f t="shared" si="81"/>
        <v>OK</v>
      </c>
      <c r="K1761" s="6">
        <f t="shared" si="82"/>
        <v>3</v>
      </c>
      <c r="L1761" s="6">
        <f t="shared" si="83"/>
        <v>163</v>
      </c>
    </row>
    <row r="1762" spans="1:12" ht="15.75" x14ac:dyDescent="0.25">
      <c r="A1762" s="6" t="s">
        <v>1158</v>
      </c>
      <c r="B1762" s="7">
        <v>45209.898611111108</v>
      </c>
      <c r="C1762" s="6">
        <v>29</v>
      </c>
      <c r="D1762" s="6" t="s">
        <v>800</v>
      </c>
      <c r="E1762" s="8" t="str">
        <f>IFERROR(VLOOKUP(LOG_RESEAU[[#This Row],[Cell_ID]],Registre_Maintenance!A:B,2,FALSE),"Non trouvé")</f>
        <v>Lualaba</v>
      </c>
      <c r="F1762" s="8">
        <f>IFERROR(VLOOKUP(LOG_RESEAU[[#This Row],[Cell_ID]],Registre_Maintenance!A:C,3,FALSE),"Non trouvé")</f>
        <v>-10.872631999999999</v>
      </c>
      <c r="G1762" s="8">
        <f>IFERROR(VLOOKUP(LOG_RESEAU[[#This Row],[Cell_ID]],Registre_Maintenance!A:D,4,FALSE),"Non trouvé")</f>
        <v>12.773279</v>
      </c>
      <c r="H1762" s="6" t="str">
        <f>IFERROR(VLOOKUP(LOG_RESEAU[[#This Row],[Cell_ID]],Registre_Maintenance!A:E,5,FALSE),"Non trouvé")</f>
        <v>3G</v>
      </c>
      <c r="I1762" s="6" t="str">
        <f>IFERROR(VLOOKUP(LOG_RESEAU[[#This Row],[Cell_ID]],Registre_Maintenance!A:F,6,FALSE),"Non trouvé")</f>
        <v>ZTE</v>
      </c>
      <c r="J1762" s="6" t="str">
        <f t="shared" si="81"/>
        <v>OK</v>
      </c>
      <c r="K1762" s="6">
        <f t="shared" si="82"/>
        <v>3</v>
      </c>
      <c r="L1762" s="6">
        <f t="shared" si="83"/>
        <v>163</v>
      </c>
    </row>
    <row r="1763" spans="1:12" ht="15.75" x14ac:dyDescent="0.25">
      <c r="A1763" s="6" t="s">
        <v>1158</v>
      </c>
      <c r="B1763" s="7">
        <v>45208.52847222222</v>
      </c>
      <c r="C1763" s="6">
        <v>33</v>
      </c>
      <c r="D1763" s="6" t="s">
        <v>800</v>
      </c>
      <c r="E1763" s="8" t="str">
        <f>IFERROR(VLOOKUP(LOG_RESEAU[[#This Row],[Cell_ID]],Registre_Maintenance!A:B,2,FALSE),"Non trouvé")</f>
        <v>Lualaba</v>
      </c>
      <c r="F1763" s="8">
        <f>IFERROR(VLOOKUP(LOG_RESEAU[[#This Row],[Cell_ID]],Registre_Maintenance!A:C,3,FALSE),"Non trouvé")</f>
        <v>-10.872631999999999</v>
      </c>
      <c r="G1763" s="8">
        <f>IFERROR(VLOOKUP(LOG_RESEAU[[#This Row],[Cell_ID]],Registre_Maintenance!A:D,4,FALSE),"Non trouvé")</f>
        <v>12.773279</v>
      </c>
      <c r="H1763" s="6" t="str">
        <f>IFERROR(VLOOKUP(LOG_RESEAU[[#This Row],[Cell_ID]],Registre_Maintenance!A:E,5,FALSE),"Non trouvé")</f>
        <v>3G</v>
      </c>
      <c r="I1763" s="6" t="str">
        <f>IFERROR(VLOOKUP(LOG_RESEAU[[#This Row],[Cell_ID]],Registre_Maintenance!A:F,6,FALSE),"Non trouvé")</f>
        <v>ZTE</v>
      </c>
      <c r="J1763" s="6" t="str">
        <f t="shared" si="81"/>
        <v>OK</v>
      </c>
      <c r="K1763" s="6">
        <f t="shared" si="82"/>
        <v>3</v>
      </c>
      <c r="L1763" s="6">
        <f t="shared" si="83"/>
        <v>163</v>
      </c>
    </row>
    <row r="1764" spans="1:12" ht="15.75" x14ac:dyDescent="0.25">
      <c r="A1764" s="6" t="s">
        <v>1506</v>
      </c>
      <c r="B1764" s="7">
        <v>45230.595138888893</v>
      </c>
      <c r="C1764" s="6">
        <v>14</v>
      </c>
      <c r="D1764" s="6" t="s">
        <v>794</v>
      </c>
      <c r="E1764" s="8" t="str">
        <f>IFERROR(VLOOKUP(LOG_RESEAU[[#This Row],[Cell_ID]],Registre_Maintenance!A:B,2,FALSE),"Non trouvé")</f>
        <v>Kinshasa</v>
      </c>
      <c r="F1764" s="8">
        <f>IFERROR(VLOOKUP(LOG_RESEAU[[#This Row],[Cell_ID]],Registre_Maintenance!A:C,3,FALSE),"Non trouvé")</f>
        <v>-7.1079169999999996</v>
      </c>
      <c r="G1764" s="8">
        <f>IFERROR(VLOOKUP(LOG_RESEAU[[#This Row],[Cell_ID]],Registre_Maintenance!A:D,4,FALSE),"Non trouvé")</f>
        <v>13.636272</v>
      </c>
      <c r="H1764" s="6" t="str">
        <f>IFERROR(VLOOKUP(LOG_RESEAU[[#This Row],[Cell_ID]],Registre_Maintenance!A:E,5,FALSE),"Non trouvé")</f>
        <v>5G</v>
      </c>
      <c r="I1764" s="6" t="str">
        <f>IFERROR(VLOOKUP(LOG_RESEAU[[#This Row],[Cell_ID]],Registre_Maintenance!A:F,6,FALSE),"Non trouvé")</f>
        <v>Nokia</v>
      </c>
      <c r="J1764" s="6" t="str">
        <f t="shared" si="81"/>
        <v>OK</v>
      </c>
      <c r="K1764" s="6">
        <f t="shared" si="82"/>
        <v>2</v>
      </c>
      <c r="L1764" s="6">
        <f t="shared" si="83"/>
        <v>75</v>
      </c>
    </row>
    <row r="1765" spans="1:12" ht="15.75" x14ac:dyDescent="0.25">
      <c r="A1765" s="6" t="s">
        <v>1506</v>
      </c>
      <c r="B1765" s="7">
        <v>45227.897916666669</v>
      </c>
      <c r="C1765" s="6">
        <v>61</v>
      </c>
      <c r="D1765" s="6" t="s">
        <v>794</v>
      </c>
      <c r="E1765" s="8" t="str">
        <f>IFERROR(VLOOKUP(LOG_RESEAU[[#This Row],[Cell_ID]],Registre_Maintenance!A:B,2,FALSE),"Non trouvé")</f>
        <v>Kinshasa</v>
      </c>
      <c r="F1765" s="8">
        <f>IFERROR(VLOOKUP(LOG_RESEAU[[#This Row],[Cell_ID]],Registre_Maintenance!A:C,3,FALSE),"Non trouvé")</f>
        <v>-7.1079169999999996</v>
      </c>
      <c r="G1765" s="8">
        <f>IFERROR(VLOOKUP(LOG_RESEAU[[#This Row],[Cell_ID]],Registre_Maintenance!A:D,4,FALSE),"Non trouvé")</f>
        <v>13.636272</v>
      </c>
      <c r="H1765" s="6" t="str">
        <f>IFERROR(VLOOKUP(LOG_RESEAU[[#This Row],[Cell_ID]],Registre_Maintenance!A:E,5,FALSE),"Non trouvé")</f>
        <v>5G</v>
      </c>
      <c r="I1765" s="6" t="str">
        <f>IFERROR(VLOOKUP(LOG_RESEAU[[#This Row],[Cell_ID]],Registre_Maintenance!A:F,6,FALSE),"Non trouvé")</f>
        <v>Nokia</v>
      </c>
      <c r="J1765" s="6" t="str">
        <f t="shared" si="81"/>
        <v>OK</v>
      </c>
      <c r="K1765" s="6">
        <f t="shared" si="82"/>
        <v>2</v>
      </c>
      <c r="L1765" s="6">
        <f t="shared" si="83"/>
        <v>75</v>
      </c>
    </row>
    <row r="1766" spans="1:12" ht="15.75" x14ac:dyDescent="0.25">
      <c r="A1766" s="6" t="s">
        <v>1372</v>
      </c>
      <c r="B1766" s="7">
        <v>45217.863194444442</v>
      </c>
      <c r="C1766" s="6">
        <v>89</v>
      </c>
      <c r="D1766" s="6" t="s">
        <v>794</v>
      </c>
      <c r="E1766" s="8" t="str">
        <f>IFERROR(VLOOKUP(LOG_RESEAU[[#This Row],[Cell_ID]],Registre_Maintenance!A:B,2,FALSE),"Non trouvé")</f>
        <v>Non trouvé</v>
      </c>
      <c r="F1766" s="8" t="str">
        <f>IFERROR(VLOOKUP(LOG_RESEAU[[#This Row],[Cell_ID]],Registre_Maintenance!A:C,3,FALSE),"Non trouvé")</f>
        <v>Non trouvé</v>
      </c>
      <c r="G1766" s="8" t="str">
        <f>IFERROR(VLOOKUP(LOG_RESEAU[[#This Row],[Cell_ID]],Registre_Maintenance!A:D,4,FALSE),"Non trouvé")</f>
        <v>Non trouvé</v>
      </c>
      <c r="H1766" s="6" t="str">
        <f>IFERROR(VLOOKUP(LOG_RESEAU[[#This Row],[Cell_ID]],Registre_Maintenance!A:E,5,FALSE),"Non trouvé")</f>
        <v>Non trouvé</v>
      </c>
      <c r="I1766" s="6" t="str">
        <f>IFERROR(VLOOKUP(LOG_RESEAU[[#This Row],[Cell_ID]],Registre_Maintenance!A:F,6,FALSE),"Non trouvé")</f>
        <v>Non trouvé</v>
      </c>
      <c r="J1766" s="6" t="str">
        <f t="shared" si="81"/>
        <v>Antenne inconnue</v>
      </c>
      <c r="K1766" s="6">
        <f t="shared" si="82"/>
        <v>1</v>
      </c>
      <c r="L1766" s="6">
        <f t="shared" si="83"/>
        <v>89</v>
      </c>
    </row>
    <row r="1767" spans="1:12" ht="15.75" x14ac:dyDescent="0.25">
      <c r="A1767" s="6" t="s">
        <v>1059</v>
      </c>
      <c r="B1767" s="7">
        <v>45207.102777777778</v>
      </c>
      <c r="C1767" s="6">
        <v>41</v>
      </c>
      <c r="D1767" s="6" t="s">
        <v>794</v>
      </c>
      <c r="E1767" s="8" t="str">
        <f>IFERROR(VLOOKUP(LOG_RESEAU[[#This Row],[Cell_ID]],Registre_Maintenance!A:B,2,FALSE),"Non trouvé")</f>
        <v>Kwilu</v>
      </c>
      <c r="F1767" s="8">
        <f>IFERROR(VLOOKUP(LOG_RESEAU[[#This Row],[Cell_ID]],Registre_Maintenance!A:C,3,FALSE),"Non trouvé")</f>
        <v>-5.9021970000000001</v>
      </c>
      <c r="G1767" s="8">
        <f>IFERROR(VLOOKUP(LOG_RESEAU[[#This Row],[Cell_ID]],Registre_Maintenance!A:D,4,FALSE),"Non trouvé")</f>
        <v>20.551169999999999</v>
      </c>
      <c r="H1767" s="6" t="str">
        <f>IFERROR(VLOOKUP(LOG_RESEAU[[#This Row],[Cell_ID]],Registre_Maintenance!A:E,5,FALSE),"Non trouvé")</f>
        <v>3G</v>
      </c>
      <c r="I1767" s="6" t="str">
        <f>IFERROR(VLOOKUP(LOG_RESEAU[[#This Row],[Cell_ID]],Registre_Maintenance!A:F,6,FALSE),"Non trouvé")</f>
        <v>Huawei</v>
      </c>
      <c r="J1767" s="6" t="str">
        <f t="shared" si="81"/>
        <v>OK</v>
      </c>
      <c r="K1767" s="6">
        <f t="shared" si="82"/>
        <v>2</v>
      </c>
      <c r="L1767" s="6">
        <f t="shared" si="83"/>
        <v>99</v>
      </c>
    </row>
    <row r="1768" spans="1:12" ht="15.75" x14ac:dyDescent="0.25">
      <c r="A1768" s="6" t="s">
        <v>1059</v>
      </c>
      <c r="B1768" s="7">
        <v>45230.847222222219</v>
      </c>
      <c r="C1768" s="6">
        <v>58</v>
      </c>
      <c r="D1768" s="6" t="s">
        <v>792</v>
      </c>
      <c r="E1768" s="8" t="str">
        <f>IFERROR(VLOOKUP(LOG_RESEAU[[#This Row],[Cell_ID]],Registre_Maintenance!A:B,2,FALSE),"Non trouvé")</f>
        <v>Kwilu</v>
      </c>
      <c r="F1768" s="8">
        <f>IFERROR(VLOOKUP(LOG_RESEAU[[#This Row],[Cell_ID]],Registre_Maintenance!A:C,3,FALSE),"Non trouvé")</f>
        <v>-5.9021970000000001</v>
      </c>
      <c r="G1768" s="8">
        <f>IFERROR(VLOOKUP(LOG_RESEAU[[#This Row],[Cell_ID]],Registre_Maintenance!A:D,4,FALSE),"Non trouvé")</f>
        <v>20.551169999999999</v>
      </c>
      <c r="H1768" s="6" t="str">
        <f>IFERROR(VLOOKUP(LOG_RESEAU[[#This Row],[Cell_ID]],Registre_Maintenance!A:E,5,FALSE),"Non trouvé")</f>
        <v>3G</v>
      </c>
      <c r="I1768" s="6" t="str">
        <f>IFERROR(VLOOKUP(LOG_RESEAU[[#This Row],[Cell_ID]],Registre_Maintenance!A:F,6,FALSE),"Non trouvé")</f>
        <v>Huawei</v>
      </c>
      <c r="J1768" s="6" t="str">
        <f t="shared" si="81"/>
        <v>OK</v>
      </c>
      <c r="K1768" s="6">
        <f t="shared" si="82"/>
        <v>2</v>
      </c>
      <c r="L1768" s="6">
        <f t="shared" si="83"/>
        <v>99</v>
      </c>
    </row>
    <row r="1769" spans="1:12" ht="15.75" x14ac:dyDescent="0.25">
      <c r="A1769" s="6" t="s">
        <v>1094</v>
      </c>
      <c r="B1769" s="7">
        <v>45213.112500000003</v>
      </c>
      <c r="C1769" s="6">
        <v>93</v>
      </c>
      <c r="D1769" s="6" t="s">
        <v>794</v>
      </c>
      <c r="E1769" s="8" t="str">
        <f>IFERROR(VLOOKUP(LOG_RESEAU[[#This Row],[Cell_ID]],Registre_Maintenance!A:B,2,FALSE),"Non trouvé")</f>
        <v>Non trouvé</v>
      </c>
      <c r="F1769" s="8" t="str">
        <f>IFERROR(VLOOKUP(LOG_RESEAU[[#This Row],[Cell_ID]],Registre_Maintenance!A:C,3,FALSE),"Non trouvé")</f>
        <v>Non trouvé</v>
      </c>
      <c r="G1769" s="8" t="str">
        <f>IFERROR(VLOOKUP(LOG_RESEAU[[#This Row],[Cell_ID]],Registre_Maintenance!A:D,4,FALSE),"Non trouvé")</f>
        <v>Non trouvé</v>
      </c>
      <c r="H1769" s="6" t="str">
        <f>IFERROR(VLOOKUP(LOG_RESEAU[[#This Row],[Cell_ID]],Registre_Maintenance!A:E,5,FALSE),"Non trouvé")</f>
        <v>Non trouvé</v>
      </c>
      <c r="I1769" s="6" t="str">
        <f>IFERROR(VLOOKUP(LOG_RESEAU[[#This Row],[Cell_ID]],Registre_Maintenance!A:F,6,FALSE),"Non trouvé")</f>
        <v>Non trouvé</v>
      </c>
      <c r="J1769" s="6" t="str">
        <f t="shared" si="81"/>
        <v>Antenne inconnue</v>
      </c>
      <c r="K1769" s="6">
        <f t="shared" si="82"/>
        <v>3</v>
      </c>
      <c r="L1769" s="6">
        <f t="shared" si="83"/>
        <v>303</v>
      </c>
    </row>
    <row r="1770" spans="1:12" ht="15.75" x14ac:dyDescent="0.25">
      <c r="A1770" s="6" t="s">
        <v>1094</v>
      </c>
      <c r="B1770" s="7">
        <v>45207.611111111109</v>
      </c>
      <c r="C1770" s="6">
        <v>107</v>
      </c>
      <c r="D1770" s="6" t="s">
        <v>800</v>
      </c>
      <c r="E1770" s="8" t="str">
        <f>IFERROR(VLOOKUP(LOG_RESEAU[[#This Row],[Cell_ID]],Registre_Maintenance!A:B,2,FALSE),"Non trouvé")</f>
        <v>Non trouvé</v>
      </c>
      <c r="F1770" s="8" t="str">
        <f>IFERROR(VLOOKUP(LOG_RESEAU[[#This Row],[Cell_ID]],Registre_Maintenance!A:C,3,FALSE),"Non trouvé")</f>
        <v>Non trouvé</v>
      </c>
      <c r="G1770" s="8" t="str">
        <f>IFERROR(VLOOKUP(LOG_RESEAU[[#This Row],[Cell_ID]],Registre_Maintenance!A:D,4,FALSE),"Non trouvé")</f>
        <v>Non trouvé</v>
      </c>
      <c r="H1770" s="6" t="str">
        <f>IFERROR(VLOOKUP(LOG_RESEAU[[#This Row],[Cell_ID]],Registre_Maintenance!A:E,5,FALSE),"Non trouvé")</f>
        <v>Non trouvé</v>
      </c>
      <c r="I1770" s="6" t="str">
        <f>IFERROR(VLOOKUP(LOG_RESEAU[[#This Row],[Cell_ID]],Registre_Maintenance!A:F,6,FALSE),"Non trouvé")</f>
        <v>Non trouvé</v>
      </c>
      <c r="J1770" s="6" t="str">
        <f t="shared" si="81"/>
        <v>Antenne inconnue</v>
      </c>
      <c r="K1770" s="6">
        <f t="shared" si="82"/>
        <v>3</v>
      </c>
      <c r="L1770" s="6">
        <f t="shared" si="83"/>
        <v>303</v>
      </c>
    </row>
    <row r="1771" spans="1:12" ht="15.75" x14ac:dyDescent="0.25">
      <c r="A1771" s="6" t="s">
        <v>1094</v>
      </c>
      <c r="B1771" s="7">
        <v>45220.96875</v>
      </c>
      <c r="C1771" s="6">
        <v>103</v>
      </c>
      <c r="D1771" s="6" t="s">
        <v>794</v>
      </c>
      <c r="E1771" s="8" t="str">
        <f>IFERROR(VLOOKUP(LOG_RESEAU[[#This Row],[Cell_ID]],Registre_Maintenance!A:B,2,FALSE),"Non trouvé")</f>
        <v>Non trouvé</v>
      </c>
      <c r="F1771" s="8" t="str">
        <f>IFERROR(VLOOKUP(LOG_RESEAU[[#This Row],[Cell_ID]],Registre_Maintenance!A:C,3,FALSE),"Non trouvé")</f>
        <v>Non trouvé</v>
      </c>
      <c r="G1771" s="8" t="str">
        <f>IFERROR(VLOOKUP(LOG_RESEAU[[#This Row],[Cell_ID]],Registre_Maintenance!A:D,4,FALSE),"Non trouvé")</f>
        <v>Non trouvé</v>
      </c>
      <c r="H1771" s="6" t="str">
        <f>IFERROR(VLOOKUP(LOG_RESEAU[[#This Row],[Cell_ID]],Registre_Maintenance!A:E,5,FALSE),"Non trouvé")</f>
        <v>Non trouvé</v>
      </c>
      <c r="I1771" s="6" t="str">
        <f>IFERROR(VLOOKUP(LOG_RESEAU[[#This Row],[Cell_ID]],Registre_Maintenance!A:F,6,FALSE),"Non trouvé")</f>
        <v>Non trouvé</v>
      </c>
      <c r="J1771" s="6" t="str">
        <f t="shared" si="81"/>
        <v>Antenne inconnue</v>
      </c>
      <c r="K1771" s="6">
        <f t="shared" si="82"/>
        <v>3</v>
      </c>
      <c r="L1771" s="6">
        <f t="shared" si="83"/>
        <v>303</v>
      </c>
    </row>
    <row r="1772" spans="1:12" ht="15.75" x14ac:dyDescent="0.25">
      <c r="A1772" s="6" t="s">
        <v>1044</v>
      </c>
      <c r="B1772" s="7">
        <v>45226.07708333333</v>
      </c>
      <c r="C1772" s="6">
        <v>101</v>
      </c>
      <c r="D1772" s="6" t="s">
        <v>794</v>
      </c>
      <c r="E1772" s="8" t="str">
        <f>IFERROR(VLOOKUP(LOG_RESEAU[[#This Row],[Cell_ID]],Registre_Maintenance!A:B,2,FALSE),"Non trouvé")</f>
        <v>Sud-Kivu</v>
      </c>
      <c r="F1772" s="8">
        <f>IFERROR(VLOOKUP(LOG_RESEAU[[#This Row],[Cell_ID]],Registre_Maintenance!A:C,3,FALSE),"Non trouvé")</f>
        <v>4.2493650000000001</v>
      </c>
      <c r="G1772" s="8">
        <f>IFERROR(VLOOKUP(LOG_RESEAU[[#This Row],[Cell_ID]],Registre_Maintenance!A:D,4,FALSE),"Non trouvé")</f>
        <v>28.355039999999999</v>
      </c>
      <c r="H1772" s="6" t="str">
        <f>IFERROR(VLOOKUP(LOG_RESEAU[[#This Row],[Cell_ID]],Registre_Maintenance!A:E,5,FALSE),"Non trouvé")</f>
        <v>3G</v>
      </c>
      <c r="I1772" s="6" t="str">
        <f>IFERROR(VLOOKUP(LOG_RESEAU[[#This Row],[Cell_ID]],Registre_Maintenance!A:F,6,FALSE),"Non trouvé")</f>
        <v>ZTE</v>
      </c>
      <c r="J1772" s="6" t="str">
        <f t="shared" si="81"/>
        <v>OK</v>
      </c>
      <c r="K1772" s="6">
        <f t="shared" si="82"/>
        <v>3</v>
      </c>
      <c r="L1772" s="6">
        <f t="shared" si="83"/>
        <v>215</v>
      </c>
    </row>
    <row r="1773" spans="1:12" ht="15.75" x14ac:dyDescent="0.25">
      <c r="A1773" s="6" t="s">
        <v>1044</v>
      </c>
      <c r="B1773" s="7">
        <v>45221.928472222222</v>
      </c>
      <c r="C1773" s="6">
        <v>21</v>
      </c>
      <c r="D1773" s="6" t="s">
        <v>794</v>
      </c>
      <c r="E1773" s="8" t="str">
        <f>IFERROR(VLOOKUP(LOG_RESEAU[[#This Row],[Cell_ID]],Registre_Maintenance!A:B,2,FALSE),"Non trouvé")</f>
        <v>Sud-Kivu</v>
      </c>
      <c r="F1773" s="8">
        <f>IFERROR(VLOOKUP(LOG_RESEAU[[#This Row],[Cell_ID]],Registre_Maintenance!A:C,3,FALSE),"Non trouvé")</f>
        <v>4.2493650000000001</v>
      </c>
      <c r="G1773" s="8">
        <f>IFERROR(VLOOKUP(LOG_RESEAU[[#This Row],[Cell_ID]],Registre_Maintenance!A:D,4,FALSE),"Non trouvé")</f>
        <v>28.355039999999999</v>
      </c>
      <c r="H1773" s="6" t="str">
        <f>IFERROR(VLOOKUP(LOG_RESEAU[[#This Row],[Cell_ID]],Registre_Maintenance!A:E,5,FALSE),"Non trouvé")</f>
        <v>3G</v>
      </c>
      <c r="I1773" s="6" t="str">
        <f>IFERROR(VLOOKUP(LOG_RESEAU[[#This Row],[Cell_ID]],Registre_Maintenance!A:F,6,FALSE),"Non trouvé")</f>
        <v>ZTE</v>
      </c>
      <c r="J1773" s="6" t="str">
        <f t="shared" si="81"/>
        <v>OK</v>
      </c>
      <c r="K1773" s="6">
        <f t="shared" si="82"/>
        <v>3</v>
      </c>
      <c r="L1773" s="6">
        <f t="shared" si="83"/>
        <v>215</v>
      </c>
    </row>
    <row r="1774" spans="1:12" ht="15.75" x14ac:dyDescent="0.25">
      <c r="A1774" s="6" t="s">
        <v>1044</v>
      </c>
      <c r="B1774" s="7">
        <v>45219.826388888891</v>
      </c>
      <c r="C1774" s="6">
        <v>93</v>
      </c>
      <c r="D1774" s="6" t="s">
        <v>792</v>
      </c>
      <c r="E1774" s="8" t="str">
        <f>IFERROR(VLOOKUP(LOG_RESEAU[[#This Row],[Cell_ID]],Registre_Maintenance!A:B,2,FALSE),"Non trouvé")</f>
        <v>Sud-Kivu</v>
      </c>
      <c r="F1774" s="8">
        <f>IFERROR(VLOOKUP(LOG_RESEAU[[#This Row],[Cell_ID]],Registre_Maintenance!A:C,3,FALSE),"Non trouvé")</f>
        <v>4.2493650000000001</v>
      </c>
      <c r="G1774" s="8">
        <f>IFERROR(VLOOKUP(LOG_RESEAU[[#This Row],[Cell_ID]],Registre_Maintenance!A:D,4,FALSE),"Non trouvé")</f>
        <v>28.355039999999999</v>
      </c>
      <c r="H1774" s="6" t="str">
        <f>IFERROR(VLOOKUP(LOG_RESEAU[[#This Row],[Cell_ID]],Registre_Maintenance!A:E,5,FALSE),"Non trouvé")</f>
        <v>3G</v>
      </c>
      <c r="I1774" s="6" t="str">
        <f>IFERROR(VLOOKUP(LOG_RESEAU[[#This Row],[Cell_ID]],Registre_Maintenance!A:F,6,FALSE),"Non trouvé")</f>
        <v>ZTE</v>
      </c>
      <c r="J1774" s="6" t="str">
        <f t="shared" si="81"/>
        <v>OK</v>
      </c>
      <c r="K1774" s="6">
        <f t="shared" si="82"/>
        <v>3</v>
      </c>
      <c r="L1774" s="6">
        <f t="shared" si="83"/>
        <v>215</v>
      </c>
    </row>
    <row r="1775" spans="1:12" ht="15.75" x14ac:dyDescent="0.25">
      <c r="A1775" s="6" t="s">
        <v>1076</v>
      </c>
      <c r="B1775" s="7">
        <v>45221.775000000001</v>
      </c>
      <c r="C1775" s="6">
        <v>24</v>
      </c>
      <c r="D1775" s="6" t="s">
        <v>794</v>
      </c>
      <c r="E1775" s="8" t="str">
        <f>IFERROR(VLOOKUP(LOG_RESEAU[[#This Row],[Cell_ID]],Registre_Maintenance!A:B,2,FALSE),"Non trouvé")</f>
        <v>Mongala</v>
      </c>
      <c r="F1775" s="8">
        <f>IFERROR(VLOOKUP(LOG_RESEAU[[#This Row],[Cell_ID]],Registre_Maintenance!A:C,3,FALSE),"Non trouvé")</f>
        <v>-11.514188000000001</v>
      </c>
      <c r="G1775" s="8">
        <f>IFERROR(VLOOKUP(LOG_RESEAU[[#This Row],[Cell_ID]],Registre_Maintenance!A:D,4,FALSE),"Non trouvé")</f>
        <v>15.971181</v>
      </c>
      <c r="H1775" s="6" t="str">
        <f>IFERROR(VLOOKUP(LOG_RESEAU[[#This Row],[Cell_ID]],Registre_Maintenance!A:E,5,FALSE),"Non trouvé")</f>
        <v>5G</v>
      </c>
      <c r="I1775" s="6" t="str">
        <f>IFERROR(VLOOKUP(LOG_RESEAU[[#This Row],[Cell_ID]],Registre_Maintenance!A:F,6,FALSE),"Non trouvé")</f>
        <v>Ericsson</v>
      </c>
      <c r="J1775" s="6" t="str">
        <f t="shared" si="81"/>
        <v>OK</v>
      </c>
      <c r="K1775" s="6">
        <f t="shared" si="82"/>
        <v>2</v>
      </c>
      <c r="L1775" s="6">
        <f t="shared" si="83"/>
        <v>98</v>
      </c>
    </row>
    <row r="1776" spans="1:12" ht="15.75" x14ac:dyDescent="0.25">
      <c r="A1776" s="6" t="s">
        <v>1076</v>
      </c>
      <c r="B1776" s="7">
        <v>45205.529861111107</v>
      </c>
      <c r="C1776" s="6">
        <v>74</v>
      </c>
      <c r="D1776" s="6" t="s">
        <v>800</v>
      </c>
      <c r="E1776" s="8" t="str">
        <f>IFERROR(VLOOKUP(LOG_RESEAU[[#This Row],[Cell_ID]],Registre_Maintenance!A:B,2,FALSE),"Non trouvé")</f>
        <v>Mongala</v>
      </c>
      <c r="F1776" s="8">
        <f>IFERROR(VLOOKUP(LOG_RESEAU[[#This Row],[Cell_ID]],Registre_Maintenance!A:C,3,FALSE),"Non trouvé")</f>
        <v>-11.514188000000001</v>
      </c>
      <c r="G1776" s="8">
        <f>IFERROR(VLOOKUP(LOG_RESEAU[[#This Row],[Cell_ID]],Registre_Maintenance!A:D,4,FALSE),"Non trouvé")</f>
        <v>15.971181</v>
      </c>
      <c r="H1776" s="6" t="str">
        <f>IFERROR(VLOOKUP(LOG_RESEAU[[#This Row],[Cell_ID]],Registre_Maintenance!A:E,5,FALSE),"Non trouvé")</f>
        <v>5G</v>
      </c>
      <c r="I1776" s="6" t="str">
        <f>IFERROR(VLOOKUP(LOG_RESEAU[[#This Row],[Cell_ID]],Registre_Maintenance!A:F,6,FALSE),"Non trouvé")</f>
        <v>Ericsson</v>
      </c>
      <c r="J1776" s="6" t="str">
        <f t="shared" si="81"/>
        <v>OK</v>
      </c>
      <c r="K1776" s="6">
        <f t="shared" si="82"/>
        <v>2</v>
      </c>
      <c r="L1776" s="6">
        <f t="shared" si="83"/>
        <v>98</v>
      </c>
    </row>
    <row r="1777" spans="1:12" ht="15.75" x14ac:dyDescent="0.25">
      <c r="A1777" s="6" t="s">
        <v>1247</v>
      </c>
      <c r="B1777" s="7">
        <v>45230.997916666667</v>
      </c>
      <c r="C1777" s="6">
        <v>72</v>
      </c>
      <c r="D1777" s="6" t="s">
        <v>792</v>
      </c>
      <c r="E1777" s="8" t="str">
        <f>IFERROR(VLOOKUP(LOG_RESEAU[[#This Row],[Cell_ID]],Registre_Maintenance!A:B,2,FALSE),"Non trouvé")</f>
        <v>Ituri</v>
      </c>
      <c r="F1777" s="8">
        <f>IFERROR(VLOOKUP(LOG_RESEAU[[#This Row],[Cell_ID]],Registre_Maintenance!A:C,3,FALSE),"Non trouvé")</f>
        <v>-1.9120569999999999</v>
      </c>
      <c r="G1777" s="8">
        <f>IFERROR(VLOOKUP(LOG_RESEAU[[#This Row],[Cell_ID]],Registre_Maintenance!A:D,4,FALSE),"Non trouvé")</f>
        <v>15.236072999999999</v>
      </c>
      <c r="H1777" s="6" t="str">
        <f>IFERROR(VLOOKUP(LOG_RESEAU[[#This Row],[Cell_ID]],Registre_Maintenance!A:E,5,FALSE),"Non trouvé")</f>
        <v>5G</v>
      </c>
      <c r="I1777" s="6" t="str">
        <f>IFERROR(VLOOKUP(LOG_RESEAU[[#This Row],[Cell_ID]],Registre_Maintenance!A:F,6,FALSE),"Non trouvé")</f>
        <v>Huawei</v>
      </c>
      <c r="J1777" s="6" t="str">
        <f t="shared" si="81"/>
        <v>OK</v>
      </c>
      <c r="K1777" s="6">
        <f t="shared" si="82"/>
        <v>1</v>
      </c>
      <c r="L1777" s="6">
        <f t="shared" si="83"/>
        <v>72</v>
      </c>
    </row>
    <row r="1778" spans="1:12" ht="15.75" x14ac:dyDescent="0.25">
      <c r="A1778" s="6" t="s">
        <v>1457</v>
      </c>
      <c r="B1778" s="7">
        <v>45215.01666666667</v>
      </c>
      <c r="C1778" s="6">
        <v>35</v>
      </c>
      <c r="D1778" s="6" t="s">
        <v>800</v>
      </c>
      <c r="E1778" s="8" t="str">
        <f>IFERROR(VLOOKUP(LOG_RESEAU[[#This Row],[Cell_ID]],Registre_Maintenance!A:B,2,FALSE),"Non trouvé")</f>
        <v>Non trouvé</v>
      </c>
      <c r="F1778" s="8" t="str">
        <f>IFERROR(VLOOKUP(LOG_RESEAU[[#This Row],[Cell_ID]],Registre_Maintenance!A:C,3,FALSE),"Non trouvé")</f>
        <v>Non trouvé</v>
      </c>
      <c r="G1778" s="8" t="str">
        <f>IFERROR(VLOOKUP(LOG_RESEAU[[#This Row],[Cell_ID]],Registre_Maintenance!A:D,4,FALSE),"Non trouvé")</f>
        <v>Non trouvé</v>
      </c>
      <c r="H1778" s="6" t="str">
        <f>IFERROR(VLOOKUP(LOG_RESEAU[[#This Row],[Cell_ID]],Registre_Maintenance!A:E,5,FALSE),"Non trouvé")</f>
        <v>Non trouvé</v>
      </c>
      <c r="I1778" s="6" t="str">
        <f>IFERROR(VLOOKUP(LOG_RESEAU[[#This Row],[Cell_ID]],Registre_Maintenance!A:F,6,FALSE),"Non trouvé")</f>
        <v>Non trouvé</v>
      </c>
      <c r="J1778" s="6" t="str">
        <f t="shared" si="81"/>
        <v>Antenne inconnue</v>
      </c>
      <c r="K1778" s="6">
        <f t="shared" si="82"/>
        <v>1</v>
      </c>
      <c r="L1778" s="6">
        <f t="shared" si="83"/>
        <v>35</v>
      </c>
    </row>
    <row r="1779" spans="1:12" ht="15.75" x14ac:dyDescent="0.25">
      <c r="A1779" s="6" t="s">
        <v>1184</v>
      </c>
      <c r="B1779" s="7">
        <v>45210.979166666657</v>
      </c>
      <c r="C1779" s="6">
        <v>114</v>
      </c>
      <c r="D1779" s="6" t="s">
        <v>792</v>
      </c>
      <c r="E1779" s="8" t="str">
        <f>IFERROR(VLOOKUP(LOG_RESEAU[[#This Row],[Cell_ID]],Registre_Maintenance!A:B,2,FALSE),"Non trouvé")</f>
        <v>Non trouvé</v>
      </c>
      <c r="F1779" s="8" t="str">
        <f>IFERROR(VLOOKUP(LOG_RESEAU[[#This Row],[Cell_ID]],Registre_Maintenance!A:C,3,FALSE),"Non trouvé")</f>
        <v>Non trouvé</v>
      </c>
      <c r="G1779" s="8" t="str">
        <f>IFERROR(VLOOKUP(LOG_RESEAU[[#This Row],[Cell_ID]],Registre_Maintenance!A:D,4,FALSE),"Non trouvé")</f>
        <v>Non trouvé</v>
      </c>
      <c r="H1779" s="6" t="str">
        <f>IFERROR(VLOOKUP(LOG_RESEAU[[#This Row],[Cell_ID]],Registre_Maintenance!A:E,5,FALSE),"Non trouvé")</f>
        <v>Non trouvé</v>
      </c>
      <c r="I1779" s="6" t="str">
        <f>IFERROR(VLOOKUP(LOG_RESEAU[[#This Row],[Cell_ID]],Registre_Maintenance!A:F,6,FALSE),"Non trouvé")</f>
        <v>Non trouvé</v>
      </c>
      <c r="J1779" s="6" t="str">
        <f t="shared" si="81"/>
        <v>Antenne inconnue</v>
      </c>
      <c r="K1779" s="6">
        <f t="shared" si="82"/>
        <v>1</v>
      </c>
      <c r="L1779" s="6">
        <f t="shared" si="83"/>
        <v>114</v>
      </c>
    </row>
    <row r="1780" spans="1:12" ht="15.75" x14ac:dyDescent="0.25">
      <c r="A1780" s="6" t="s">
        <v>1486</v>
      </c>
      <c r="B1780" s="7">
        <v>45226.388194444437</v>
      </c>
      <c r="C1780" s="6">
        <v>115</v>
      </c>
      <c r="D1780" s="6" t="s">
        <v>792</v>
      </c>
      <c r="E1780" s="8" t="str">
        <f>IFERROR(VLOOKUP(LOG_RESEAU[[#This Row],[Cell_ID]],Registre_Maintenance!A:B,2,FALSE),"Non trouvé")</f>
        <v>Non trouvé</v>
      </c>
      <c r="F1780" s="8" t="str">
        <f>IFERROR(VLOOKUP(LOG_RESEAU[[#This Row],[Cell_ID]],Registre_Maintenance!A:C,3,FALSE),"Non trouvé")</f>
        <v>Non trouvé</v>
      </c>
      <c r="G1780" s="8" t="str">
        <f>IFERROR(VLOOKUP(LOG_RESEAU[[#This Row],[Cell_ID]],Registre_Maintenance!A:D,4,FALSE),"Non trouvé")</f>
        <v>Non trouvé</v>
      </c>
      <c r="H1780" s="6" t="str">
        <f>IFERROR(VLOOKUP(LOG_RESEAU[[#This Row],[Cell_ID]],Registre_Maintenance!A:E,5,FALSE),"Non trouvé")</f>
        <v>Non trouvé</v>
      </c>
      <c r="I1780" s="6" t="str">
        <f>IFERROR(VLOOKUP(LOG_RESEAU[[#This Row],[Cell_ID]],Registre_Maintenance!A:F,6,FALSE),"Non trouvé")</f>
        <v>Non trouvé</v>
      </c>
      <c r="J1780" s="6" t="str">
        <f t="shared" si="81"/>
        <v>Antenne inconnue</v>
      </c>
      <c r="K1780" s="6">
        <f t="shared" si="82"/>
        <v>1</v>
      </c>
      <c r="L1780" s="6">
        <f t="shared" si="83"/>
        <v>115</v>
      </c>
    </row>
    <row r="1781" spans="1:12" ht="15.75" x14ac:dyDescent="0.25">
      <c r="A1781" s="6" t="s">
        <v>1106</v>
      </c>
      <c r="B1781" s="7">
        <v>45209.268750000003</v>
      </c>
      <c r="C1781" s="6">
        <v>94</v>
      </c>
      <c r="D1781" s="6" t="s">
        <v>800</v>
      </c>
      <c r="E1781" s="8" t="str">
        <f>IFERROR(VLOOKUP(LOG_RESEAU[[#This Row],[Cell_ID]],Registre_Maintenance!A:B,2,FALSE),"Non trouvé")</f>
        <v>Non trouvé</v>
      </c>
      <c r="F1781" s="8" t="str">
        <f>IFERROR(VLOOKUP(LOG_RESEAU[[#This Row],[Cell_ID]],Registre_Maintenance!A:C,3,FALSE),"Non trouvé")</f>
        <v>Non trouvé</v>
      </c>
      <c r="G1781" s="8" t="str">
        <f>IFERROR(VLOOKUP(LOG_RESEAU[[#This Row],[Cell_ID]],Registre_Maintenance!A:D,4,FALSE),"Non trouvé")</f>
        <v>Non trouvé</v>
      </c>
      <c r="H1781" s="6" t="str">
        <f>IFERROR(VLOOKUP(LOG_RESEAU[[#This Row],[Cell_ID]],Registre_Maintenance!A:E,5,FALSE),"Non trouvé")</f>
        <v>Non trouvé</v>
      </c>
      <c r="I1781" s="6" t="str">
        <f>IFERROR(VLOOKUP(LOG_RESEAU[[#This Row],[Cell_ID]],Registre_Maintenance!A:F,6,FALSE),"Non trouvé")</f>
        <v>Non trouvé</v>
      </c>
      <c r="J1781" s="6" t="str">
        <f t="shared" si="81"/>
        <v>Antenne inconnue</v>
      </c>
      <c r="K1781" s="6">
        <f t="shared" si="82"/>
        <v>2</v>
      </c>
      <c r="L1781" s="6">
        <f t="shared" si="83"/>
        <v>207</v>
      </c>
    </row>
    <row r="1782" spans="1:12" ht="15.75" x14ac:dyDescent="0.25">
      <c r="A1782" s="6" t="s">
        <v>1106</v>
      </c>
      <c r="B1782" s="7">
        <v>45201.519444444442</v>
      </c>
      <c r="C1782" s="6">
        <v>113</v>
      </c>
      <c r="D1782" s="6" t="s">
        <v>792</v>
      </c>
      <c r="E1782" s="8" t="str">
        <f>IFERROR(VLOOKUP(LOG_RESEAU[[#This Row],[Cell_ID]],Registre_Maintenance!A:B,2,FALSE),"Non trouvé")</f>
        <v>Non trouvé</v>
      </c>
      <c r="F1782" s="8" t="str">
        <f>IFERROR(VLOOKUP(LOG_RESEAU[[#This Row],[Cell_ID]],Registre_Maintenance!A:C,3,FALSE),"Non trouvé")</f>
        <v>Non trouvé</v>
      </c>
      <c r="G1782" s="8" t="str">
        <f>IFERROR(VLOOKUP(LOG_RESEAU[[#This Row],[Cell_ID]],Registre_Maintenance!A:D,4,FALSE),"Non trouvé")</f>
        <v>Non trouvé</v>
      </c>
      <c r="H1782" s="6" t="str">
        <f>IFERROR(VLOOKUP(LOG_RESEAU[[#This Row],[Cell_ID]],Registre_Maintenance!A:E,5,FALSE),"Non trouvé")</f>
        <v>Non trouvé</v>
      </c>
      <c r="I1782" s="6" t="str">
        <f>IFERROR(VLOOKUP(LOG_RESEAU[[#This Row],[Cell_ID]],Registre_Maintenance!A:F,6,FALSE),"Non trouvé")</f>
        <v>Non trouvé</v>
      </c>
      <c r="J1782" s="6" t="str">
        <f t="shared" si="81"/>
        <v>Antenne inconnue</v>
      </c>
      <c r="K1782" s="6">
        <f t="shared" si="82"/>
        <v>2</v>
      </c>
      <c r="L1782" s="6">
        <f t="shared" si="83"/>
        <v>207</v>
      </c>
    </row>
    <row r="1783" spans="1:12" ht="15.75" x14ac:dyDescent="0.25">
      <c r="A1783" s="6" t="s">
        <v>1028</v>
      </c>
      <c r="B1783" s="7">
        <v>45212.140277777777</v>
      </c>
      <c r="C1783" s="6">
        <v>19</v>
      </c>
      <c r="D1783" s="6" t="s">
        <v>800</v>
      </c>
      <c r="E1783" s="8" t="str">
        <f>IFERROR(VLOOKUP(LOG_RESEAU[[#This Row],[Cell_ID]],Registre_Maintenance!A:B,2,FALSE),"Non trouvé")</f>
        <v>Tanganyika</v>
      </c>
      <c r="F1783" s="8">
        <f>IFERROR(VLOOKUP(LOG_RESEAU[[#This Row],[Cell_ID]],Registre_Maintenance!A:C,3,FALSE),"Non trouvé")</f>
        <v>-9.4708620000000003</v>
      </c>
      <c r="G1783" s="8">
        <f>IFERROR(VLOOKUP(LOG_RESEAU[[#This Row],[Cell_ID]],Registre_Maintenance!A:D,4,FALSE),"Non trouvé")</f>
        <v>29.234387999999999</v>
      </c>
      <c r="H1783" s="6" t="str">
        <f>IFERROR(VLOOKUP(LOG_RESEAU[[#This Row],[Cell_ID]],Registre_Maintenance!A:E,5,FALSE),"Non trouvé")</f>
        <v>3G</v>
      </c>
      <c r="I1783" s="6" t="str">
        <f>IFERROR(VLOOKUP(LOG_RESEAU[[#This Row],[Cell_ID]],Registre_Maintenance!A:F,6,FALSE),"Non trouvé")</f>
        <v>ZTE</v>
      </c>
      <c r="J1783" s="6" t="str">
        <f t="shared" si="81"/>
        <v>OK</v>
      </c>
      <c r="K1783" s="6">
        <f t="shared" si="82"/>
        <v>1</v>
      </c>
      <c r="L1783" s="6">
        <f t="shared" si="83"/>
        <v>19</v>
      </c>
    </row>
    <row r="1784" spans="1:12" ht="15.75" x14ac:dyDescent="0.25">
      <c r="A1784" s="6" t="s">
        <v>1485</v>
      </c>
      <c r="B1784" s="7">
        <v>45211.01458333333</v>
      </c>
      <c r="C1784" s="6">
        <v>7</v>
      </c>
      <c r="D1784" s="6" t="s">
        <v>792</v>
      </c>
      <c r="E1784" s="8" t="str">
        <f>IFERROR(VLOOKUP(LOG_RESEAU[[#This Row],[Cell_ID]],Registre_Maintenance!A:B,2,FALSE),"Non trouvé")</f>
        <v>Non trouvé</v>
      </c>
      <c r="F1784" s="8" t="str">
        <f>IFERROR(VLOOKUP(LOG_RESEAU[[#This Row],[Cell_ID]],Registre_Maintenance!A:C,3,FALSE),"Non trouvé")</f>
        <v>Non trouvé</v>
      </c>
      <c r="G1784" s="8" t="str">
        <f>IFERROR(VLOOKUP(LOG_RESEAU[[#This Row],[Cell_ID]],Registre_Maintenance!A:D,4,FALSE),"Non trouvé")</f>
        <v>Non trouvé</v>
      </c>
      <c r="H1784" s="6" t="str">
        <f>IFERROR(VLOOKUP(LOG_RESEAU[[#This Row],[Cell_ID]],Registre_Maintenance!A:E,5,FALSE),"Non trouvé")</f>
        <v>Non trouvé</v>
      </c>
      <c r="I1784" s="6" t="str">
        <f>IFERROR(VLOOKUP(LOG_RESEAU[[#This Row],[Cell_ID]],Registre_Maintenance!A:F,6,FALSE),"Non trouvé")</f>
        <v>Non trouvé</v>
      </c>
      <c r="J1784" s="6" t="str">
        <f t="shared" si="81"/>
        <v>Antenne inconnue</v>
      </c>
      <c r="K1784" s="6">
        <f t="shared" si="82"/>
        <v>2</v>
      </c>
      <c r="L1784" s="6">
        <f t="shared" si="83"/>
        <v>94</v>
      </c>
    </row>
    <row r="1785" spans="1:12" ht="15.75" x14ac:dyDescent="0.25">
      <c r="A1785" s="6" t="s">
        <v>1485</v>
      </c>
      <c r="B1785" s="7">
        <v>45230.90625</v>
      </c>
      <c r="C1785" s="6">
        <v>87</v>
      </c>
      <c r="D1785" s="6" t="s">
        <v>794</v>
      </c>
      <c r="E1785" s="8" t="str">
        <f>IFERROR(VLOOKUP(LOG_RESEAU[[#This Row],[Cell_ID]],Registre_Maintenance!A:B,2,FALSE),"Non trouvé")</f>
        <v>Non trouvé</v>
      </c>
      <c r="F1785" s="8" t="str">
        <f>IFERROR(VLOOKUP(LOG_RESEAU[[#This Row],[Cell_ID]],Registre_Maintenance!A:C,3,FALSE),"Non trouvé")</f>
        <v>Non trouvé</v>
      </c>
      <c r="G1785" s="8" t="str">
        <f>IFERROR(VLOOKUP(LOG_RESEAU[[#This Row],[Cell_ID]],Registre_Maintenance!A:D,4,FALSE),"Non trouvé")</f>
        <v>Non trouvé</v>
      </c>
      <c r="H1785" s="6" t="str">
        <f>IFERROR(VLOOKUP(LOG_RESEAU[[#This Row],[Cell_ID]],Registre_Maintenance!A:E,5,FALSE),"Non trouvé")</f>
        <v>Non trouvé</v>
      </c>
      <c r="I1785" s="6" t="str">
        <f>IFERROR(VLOOKUP(LOG_RESEAU[[#This Row],[Cell_ID]],Registre_Maintenance!A:F,6,FALSE),"Non trouvé")</f>
        <v>Non trouvé</v>
      </c>
      <c r="J1785" s="6" t="str">
        <f t="shared" si="81"/>
        <v>Antenne inconnue</v>
      </c>
      <c r="K1785" s="6">
        <f t="shared" si="82"/>
        <v>2</v>
      </c>
      <c r="L1785" s="6">
        <f t="shared" si="83"/>
        <v>94</v>
      </c>
    </row>
    <row r="1786" spans="1:12" ht="15.75" x14ac:dyDescent="0.25">
      <c r="A1786" s="6" t="s">
        <v>1233</v>
      </c>
      <c r="B1786" s="7">
        <v>45204.986111111109</v>
      </c>
      <c r="C1786" s="6">
        <v>76</v>
      </c>
      <c r="D1786" s="6" t="s">
        <v>800</v>
      </c>
      <c r="E1786" s="8" t="str">
        <f>IFERROR(VLOOKUP(LOG_RESEAU[[#This Row],[Cell_ID]],Registre_Maintenance!A:B,2,FALSE),"Non trouvé")</f>
        <v>Haut-Uele</v>
      </c>
      <c r="F1786" s="8">
        <f>IFERROR(VLOOKUP(LOG_RESEAU[[#This Row],[Cell_ID]],Registre_Maintenance!A:C,3,FALSE),"Non trouvé")</f>
        <v>-4.869434</v>
      </c>
      <c r="G1786" s="8">
        <f>IFERROR(VLOOKUP(LOG_RESEAU[[#This Row],[Cell_ID]],Registre_Maintenance!A:D,4,FALSE),"Non trouvé")</f>
        <v>22.326522000000001</v>
      </c>
      <c r="H1786" s="6" t="str">
        <f>IFERROR(VLOOKUP(LOG_RESEAU[[#This Row],[Cell_ID]],Registre_Maintenance!A:E,5,FALSE),"Non trouvé")</f>
        <v>5G</v>
      </c>
      <c r="I1786" s="6" t="str">
        <f>IFERROR(VLOOKUP(LOG_RESEAU[[#This Row],[Cell_ID]],Registre_Maintenance!A:F,6,FALSE),"Non trouvé")</f>
        <v>Ericsson</v>
      </c>
      <c r="J1786" s="6" t="str">
        <f t="shared" si="81"/>
        <v>OK</v>
      </c>
      <c r="K1786" s="6">
        <f t="shared" si="82"/>
        <v>2</v>
      </c>
      <c r="L1786" s="6">
        <f t="shared" si="83"/>
        <v>92</v>
      </c>
    </row>
    <row r="1787" spans="1:12" ht="15.75" x14ac:dyDescent="0.25">
      <c r="A1787" s="6" t="s">
        <v>1233</v>
      </c>
      <c r="B1787" s="7">
        <v>45210.689583333333</v>
      </c>
      <c r="C1787" s="6">
        <v>16</v>
      </c>
      <c r="D1787" s="6" t="s">
        <v>794</v>
      </c>
      <c r="E1787" s="8" t="str">
        <f>IFERROR(VLOOKUP(LOG_RESEAU[[#This Row],[Cell_ID]],Registre_Maintenance!A:B,2,FALSE),"Non trouvé")</f>
        <v>Haut-Uele</v>
      </c>
      <c r="F1787" s="8">
        <f>IFERROR(VLOOKUP(LOG_RESEAU[[#This Row],[Cell_ID]],Registre_Maintenance!A:C,3,FALSE),"Non trouvé")</f>
        <v>-4.869434</v>
      </c>
      <c r="G1787" s="8">
        <f>IFERROR(VLOOKUP(LOG_RESEAU[[#This Row],[Cell_ID]],Registre_Maintenance!A:D,4,FALSE),"Non trouvé")</f>
        <v>22.326522000000001</v>
      </c>
      <c r="H1787" s="6" t="str">
        <f>IFERROR(VLOOKUP(LOG_RESEAU[[#This Row],[Cell_ID]],Registre_Maintenance!A:E,5,FALSE),"Non trouvé")</f>
        <v>5G</v>
      </c>
      <c r="I1787" s="6" t="str">
        <f>IFERROR(VLOOKUP(LOG_RESEAU[[#This Row],[Cell_ID]],Registre_Maintenance!A:F,6,FALSE),"Non trouvé")</f>
        <v>Ericsson</v>
      </c>
      <c r="J1787" s="6" t="str">
        <f t="shared" si="81"/>
        <v>OK</v>
      </c>
      <c r="K1787" s="6">
        <f t="shared" si="82"/>
        <v>2</v>
      </c>
      <c r="L1787" s="6">
        <f t="shared" si="83"/>
        <v>92</v>
      </c>
    </row>
    <row r="1788" spans="1:12" ht="15.75" x14ac:dyDescent="0.25">
      <c r="A1788" s="6" t="s">
        <v>1434</v>
      </c>
      <c r="B1788" s="7">
        <v>45225.553472222222</v>
      </c>
      <c r="C1788" s="6">
        <v>120</v>
      </c>
      <c r="D1788" s="6" t="s">
        <v>794</v>
      </c>
      <c r="E1788" s="8" t="str">
        <f>IFERROR(VLOOKUP(LOG_RESEAU[[#This Row],[Cell_ID]],Registre_Maintenance!A:B,2,FALSE),"Non trouvé")</f>
        <v>Non trouvé</v>
      </c>
      <c r="F1788" s="8" t="str">
        <f>IFERROR(VLOOKUP(LOG_RESEAU[[#This Row],[Cell_ID]],Registre_Maintenance!A:C,3,FALSE),"Non trouvé")</f>
        <v>Non trouvé</v>
      </c>
      <c r="G1788" s="8" t="str">
        <f>IFERROR(VLOOKUP(LOG_RESEAU[[#This Row],[Cell_ID]],Registre_Maintenance!A:D,4,FALSE),"Non trouvé")</f>
        <v>Non trouvé</v>
      </c>
      <c r="H1788" s="6" t="str">
        <f>IFERROR(VLOOKUP(LOG_RESEAU[[#This Row],[Cell_ID]],Registre_Maintenance!A:E,5,FALSE),"Non trouvé")</f>
        <v>Non trouvé</v>
      </c>
      <c r="I1788" s="6" t="str">
        <f>IFERROR(VLOOKUP(LOG_RESEAU[[#This Row],[Cell_ID]],Registre_Maintenance!A:F,6,FALSE),"Non trouvé")</f>
        <v>Non trouvé</v>
      </c>
      <c r="J1788" s="6" t="str">
        <f t="shared" si="81"/>
        <v>Antenne inconnue</v>
      </c>
      <c r="K1788" s="6">
        <f t="shared" si="82"/>
        <v>1</v>
      </c>
      <c r="L1788" s="6">
        <f t="shared" si="83"/>
        <v>120</v>
      </c>
    </row>
    <row r="1789" spans="1:12" ht="15.75" x14ac:dyDescent="0.25">
      <c r="A1789" s="6" t="s">
        <v>1057</v>
      </c>
      <c r="B1789" s="7">
        <v>45223.45208333333</v>
      </c>
      <c r="C1789" s="6">
        <v>117</v>
      </c>
      <c r="D1789" s="6" t="s">
        <v>792</v>
      </c>
      <c r="E1789" s="8" t="str">
        <f>IFERROR(VLOOKUP(LOG_RESEAU[[#This Row],[Cell_ID]],Registre_Maintenance!A:B,2,FALSE),"Non trouvé")</f>
        <v>Non trouvé</v>
      </c>
      <c r="F1789" s="8" t="str">
        <f>IFERROR(VLOOKUP(LOG_RESEAU[[#This Row],[Cell_ID]],Registre_Maintenance!A:C,3,FALSE),"Non trouvé")</f>
        <v>Non trouvé</v>
      </c>
      <c r="G1789" s="8" t="str">
        <f>IFERROR(VLOOKUP(LOG_RESEAU[[#This Row],[Cell_ID]],Registre_Maintenance!A:D,4,FALSE),"Non trouvé")</f>
        <v>Non trouvé</v>
      </c>
      <c r="H1789" s="6" t="str">
        <f>IFERROR(VLOOKUP(LOG_RESEAU[[#This Row],[Cell_ID]],Registre_Maintenance!A:E,5,FALSE),"Non trouvé")</f>
        <v>Non trouvé</v>
      </c>
      <c r="I1789" s="6" t="str">
        <f>IFERROR(VLOOKUP(LOG_RESEAU[[#This Row],[Cell_ID]],Registre_Maintenance!A:F,6,FALSE),"Non trouvé")</f>
        <v>Non trouvé</v>
      </c>
      <c r="J1789" s="6" t="str">
        <f t="shared" si="81"/>
        <v>Antenne inconnue</v>
      </c>
      <c r="K1789" s="6">
        <f t="shared" si="82"/>
        <v>3</v>
      </c>
      <c r="L1789" s="6">
        <f t="shared" si="83"/>
        <v>267</v>
      </c>
    </row>
    <row r="1790" spans="1:12" ht="15.75" x14ac:dyDescent="0.25">
      <c r="A1790" s="6" t="s">
        <v>1057</v>
      </c>
      <c r="B1790" s="7">
        <v>45211.382638888892</v>
      </c>
      <c r="C1790" s="6">
        <v>105</v>
      </c>
      <c r="D1790" s="6" t="s">
        <v>794</v>
      </c>
      <c r="E1790" s="8" t="str">
        <f>IFERROR(VLOOKUP(LOG_RESEAU[[#This Row],[Cell_ID]],Registre_Maintenance!A:B,2,FALSE),"Non trouvé")</f>
        <v>Non trouvé</v>
      </c>
      <c r="F1790" s="8" t="str">
        <f>IFERROR(VLOOKUP(LOG_RESEAU[[#This Row],[Cell_ID]],Registre_Maintenance!A:C,3,FALSE),"Non trouvé")</f>
        <v>Non trouvé</v>
      </c>
      <c r="G1790" s="8" t="str">
        <f>IFERROR(VLOOKUP(LOG_RESEAU[[#This Row],[Cell_ID]],Registre_Maintenance!A:D,4,FALSE),"Non trouvé")</f>
        <v>Non trouvé</v>
      </c>
      <c r="H1790" s="6" t="str">
        <f>IFERROR(VLOOKUP(LOG_RESEAU[[#This Row],[Cell_ID]],Registre_Maintenance!A:E,5,FALSE),"Non trouvé")</f>
        <v>Non trouvé</v>
      </c>
      <c r="I1790" s="6" t="str">
        <f>IFERROR(VLOOKUP(LOG_RESEAU[[#This Row],[Cell_ID]],Registre_Maintenance!A:F,6,FALSE),"Non trouvé")</f>
        <v>Non trouvé</v>
      </c>
      <c r="J1790" s="6" t="str">
        <f t="shared" si="81"/>
        <v>Antenne inconnue</v>
      </c>
      <c r="K1790" s="6">
        <f t="shared" si="82"/>
        <v>3</v>
      </c>
      <c r="L1790" s="6">
        <f t="shared" si="83"/>
        <v>267</v>
      </c>
    </row>
    <row r="1791" spans="1:12" ht="15.75" x14ac:dyDescent="0.25">
      <c r="A1791" s="6" t="s">
        <v>1057</v>
      </c>
      <c r="B1791" s="7">
        <v>45219.95</v>
      </c>
      <c r="C1791" s="6">
        <v>45</v>
      </c>
      <c r="D1791" s="6" t="s">
        <v>792</v>
      </c>
      <c r="E1791" s="8" t="str">
        <f>IFERROR(VLOOKUP(LOG_RESEAU[[#This Row],[Cell_ID]],Registre_Maintenance!A:B,2,FALSE),"Non trouvé")</f>
        <v>Non trouvé</v>
      </c>
      <c r="F1791" s="8" t="str">
        <f>IFERROR(VLOOKUP(LOG_RESEAU[[#This Row],[Cell_ID]],Registre_Maintenance!A:C,3,FALSE),"Non trouvé")</f>
        <v>Non trouvé</v>
      </c>
      <c r="G1791" s="8" t="str">
        <f>IFERROR(VLOOKUP(LOG_RESEAU[[#This Row],[Cell_ID]],Registre_Maintenance!A:D,4,FALSE),"Non trouvé")</f>
        <v>Non trouvé</v>
      </c>
      <c r="H1791" s="6" t="str">
        <f>IFERROR(VLOOKUP(LOG_RESEAU[[#This Row],[Cell_ID]],Registre_Maintenance!A:E,5,FALSE),"Non trouvé")</f>
        <v>Non trouvé</v>
      </c>
      <c r="I1791" s="6" t="str">
        <f>IFERROR(VLOOKUP(LOG_RESEAU[[#This Row],[Cell_ID]],Registre_Maintenance!A:F,6,FALSE),"Non trouvé")</f>
        <v>Non trouvé</v>
      </c>
      <c r="J1791" s="6" t="str">
        <f t="shared" si="81"/>
        <v>Antenne inconnue</v>
      </c>
      <c r="K1791" s="6">
        <f t="shared" si="82"/>
        <v>3</v>
      </c>
      <c r="L1791" s="6">
        <f t="shared" si="83"/>
        <v>267</v>
      </c>
    </row>
    <row r="1792" spans="1:12" ht="15.75" x14ac:dyDescent="0.25">
      <c r="A1792" s="6" t="s">
        <v>1413</v>
      </c>
      <c r="B1792" s="7">
        <v>45221.931944444441</v>
      </c>
      <c r="C1792" s="6">
        <v>26</v>
      </c>
      <c r="D1792" s="6" t="s">
        <v>794</v>
      </c>
      <c r="E1792" s="8" t="str">
        <f>IFERROR(VLOOKUP(LOG_RESEAU[[#This Row],[Cell_ID]],Registre_Maintenance!A:B,2,FALSE),"Non trouvé")</f>
        <v>Non trouvé</v>
      </c>
      <c r="F1792" s="8" t="str">
        <f>IFERROR(VLOOKUP(LOG_RESEAU[[#This Row],[Cell_ID]],Registre_Maintenance!A:C,3,FALSE),"Non trouvé")</f>
        <v>Non trouvé</v>
      </c>
      <c r="G1792" s="8" t="str">
        <f>IFERROR(VLOOKUP(LOG_RESEAU[[#This Row],[Cell_ID]],Registre_Maintenance!A:D,4,FALSE),"Non trouvé")</f>
        <v>Non trouvé</v>
      </c>
      <c r="H1792" s="6" t="str">
        <f>IFERROR(VLOOKUP(LOG_RESEAU[[#This Row],[Cell_ID]],Registre_Maintenance!A:E,5,FALSE),"Non trouvé")</f>
        <v>Non trouvé</v>
      </c>
      <c r="I1792" s="6" t="str">
        <f>IFERROR(VLOOKUP(LOG_RESEAU[[#This Row],[Cell_ID]],Registre_Maintenance!A:F,6,FALSE),"Non trouvé")</f>
        <v>Non trouvé</v>
      </c>
      <c r="J1792" s="6" t="str">
        <f t="shared" si="81"/>
        <v>Antenne inconnue</v>
      </c>
      <c r="K1792" s="6">
        <f t="shared" si="82"/>
        <v>1</v>
      </c>
      <c r="L1792" s="6">
        <f t="shared" si="83"/>
        <v>26</v>
      </c>
    </row>
    <row r="1793" spans="1:12" ht="15.75" x14ac:dyDescent="0.25">
      <c r="A1793" s="6" t="s">
        <v>1373</v>
      </c>
      <c r="B1793" s="7">
        <v>45210.366666666669</v>
      </c>
      <c r="C1793" s="6">
        <v>67</v>
      </c>
      <c r="D1793" s="6" t="s">
        <v>800</v>
      </c>
      <c r="E1793" s="8" t="str">
        <f>IFERROR(VLOOKUP(LOG_RESEAU[[#This Row],[Cell_ID]],Registre_Maintenance!A:B,2,FALSE),"Non trouvé")</f>
        <v>Lualaba</v>
      </c>
      <c r="F1793" s="8">
        <f>IFERROR(VLOOKUP(LOG_RESEAU[[#This Row],[Cell_ID]],Registre_Maintenance!A:C,3,FALSE),"Non trouvé")</f>
        <v>-8.0301989999999996</v>
      </c>
      <c r="G1793" s="8">
        <f>IFERROR(VLOOKUP(LOG_RESEAU[[#This Row],[Cell_ID]],Registre_Maintenance!A:D,4,FALSE),"Non trouvé")</f>
        <v>24.122495000000001</v>
      </c>
      <c r="H1793" s="6" t="str">
        <f>IFERROR(VLOOKUP(LOG_RESEAU[[#This Row],[Cell_ID]],Registre_Maintenance!A:E,5,FALSE),"Non trouvé")</f>
        <v>5G</v>
      </c>
      <c r="I1793" s="6" t="str">
        <f>IFERROR(VLOOKUP(LOG_RESEAU[[#This Row],[Cell_ID]],Registre_Maintenance!A:F,6,FALSE),"Non trouvé")</f>
        <v>ZTE</v>
      </c>
      <c r="J1793" s="6" t="str">
        <f t="shared" si="81"/>
        <v>OK</v>
      </c>
      <c r="K1793" s="6">
        <f t="shared" si="82"/>
        <v>3</v>
      </c>
      <c r="L1793" s="6">
        <f t="shared" si="83"/>
        <v>182</v>
      </c>
    </row>
    <row r="1794" spans="1:12" ht="15.75" x14ac:dyDescent="0.25">
      <c r="A1794" s="6" t="s">
        <v>1373</v>
      </c>
      <c r="B1794" s="7">
        <v>45228.747916666667</v>
      </c>
      <c r="C1794" s="6">
        <v>27</v>
      </c>
      <c r="D1794" s="6" t="s">
        <v>794</v>
      </c>
      <c r="E1794" s="8" t="str">
        <f>IFERROR(VLOOKUP(LOG_RESEAU[[#This Row],[Cell_ID]],Registre_Maintenance!A:B,2,FALSE),"Non trouvé")</f>
        <v>Lualaba</v>
      </c>
      <c r="F1794" s="8">
        <f>IFERROR(VLOOKUP(LOG_RESEAU[[#This Row],[Cell_ID]],Registre_Maintenance!A:C,3,FALSE),"Non trouvé")</f>
        <v>-8.0301989999999996</v>
      </c>
      <c r="G1794" s="8">
        <f>IFERROR(VLOOKUP(LOG_RESEAU[[#This Row],[Cell_ID]],Registre_Maintenance!A:D,4,FALSE),"Non trouvé")</f>
        <v>24.122495000000001</v>
      </c>
      <c r="H1794" s="6" t="str">
        <f>IFERROR(VLOOKUP(LOG_RESEAU[[#This Row],[Cell_ID]],Registre_Maintenance!A:E,5,FALSE),"Non trouvé")</f>
        <v>5G</v>
      </c>
      <c r="I1794" s="6" t="str">
        <f>IFERROR(VLOOKUP(LOG_RESEAU[[#This Row],[Cell_ID]],Registre_Maintenance!A:F,6,FALSE),"Non trouvé")</f>
        <v>ZTE</v>
      </c>
      <c r="J1794" s="6" t="str">
        <f t="shared" ref="J1794:J1857" si="84">IF(ISERROR(SEARCH("Non trouvé",F1794)),"OK","Antenne inconnue")</f>
        <v>OK</v>
      </c>
      <c r="K1794" s="6">
        <f t="shared" ref="K1794:K1857" si="85">COUNTIF(A:A,A1794)</f>
        <v>3</v>
      </c>
      <c r="L1794" s="6">
        <f t="shared" ref="L1794:L1857" si="86">SUMIF(A:A,A1794,C:C)</f>
        <v>182</v>
      </c>
    </row>
    <row r="1795" spans="1:12" ht="15.75" x14ac:dyDescent="0.25">
      <c r="A1795" s="6" t="s">
        <v>1373</v>
      </c>
      <c r="B1795" s="7">
        <v>45223.611111111109</v>
      </c>
      <c r="C1795" s="6">
        <v>88</v>
      </c>
      <c r="D1795" s="6" t="s">
        <v>794</v>
      </c>
      <c r="E1795" s="8" t="str">
        <f>IFERROR(VLOOKUP(LOG_RESEAU[[#This Row],[Cell_ID]],Registre_Maintenance!A:B,2,FALSE),"Non trouvé")</f>
        <v>Lualaba</v>
      </c>
      <c r="F1795" s="8">
        <f>IFERROR(VLOOKUP(LOG_RESEAU[[#This Row],[Cell_ID]],Registre_Maintenance!A:C,3,FALSE),"Non trouvé")</f>
        <v>-8.0301989999999996</v>
      </c>
      <c r="G1795" s="8">
        <f>IFERROR(VLOOKUP(LOG_RESEAU[[#This Row],[Cell_ID]],Registre_Maintenance!A:D,4,FALSE),"Non trouvé")</f>
        <v>24.122495000000001</v>
      </c>
      <c r="H1795" s="6" t="str">
        <f>IFERROR(VLOOKUP(LOG_RESEAU[[#This Row],[Cell_ID]],Registre_Maintenance!A:E,5,FALSE),"Non trouvé")</f>
        <v>5G</v>
      </c>
      <c r="I1795" s="6" t="str">
        <f>IFERROR(VLOOKUP(LOG_RESEAU[[#This Row],[Cell_ID]],Registre_Maintenance!A:F,6,FALSE),"Non trouvé")</f>
        <v>ZTE</v>
      </c>
      <c r="J1795" s="6" t="str">
        <f t="shared" si="84"/>
        <v>OK</v>
      </c>
      <c r="K1795" s="6">
        <f t="shared" si="85"/>
        <v>3</v>
      </c>
      <c r="L1795" s="6">
        <f t="shared" si="86"/>
        <v>182</v>
      </c>
    </row>
    <row r="1796" spans="1:12" ht="15.75" x14ac:dyDescent="0.25">
      <c r="A1796" s="6" t="s">
        <v>1287</v>
      </c>
      <c r="B1796" s="7">
        <v>45222.584722222222</v>
      </c>
      <c r="C1796" s="6">
        <v>15</v>
      </c>
      <c r="D1796" s="6" t="s">
        <v>792</v>
      </c>
      <c r="E1796" s="8" t="str">
        <f>IFERROR(VLOOKUP(LOG_RESEAU[[#This Row],[Cell_ID]],Registre_Maintenance!A:B,2,FALSE),"Non trouvé")</f>
        <v>Equateur</v>
      </c>
      <c r="F1796" s="8">
        <f>IFERROR(VLOOKUP(LOG_RESEAU[[#This Row],[Cell_ID]],Registre_Maintenance!A:C,3,FALSE),"Non trouvé")</f>
        <v>-9.1215879999999991</v>
      </c>
      <c r="G1796" s="8">
        <f>IFERROR(VLOOKUP(LOG_RESEAU[[#This Row],[Cell_ID]],Registre_Maintenance!A:D,4,FALSE),"Non trouvé")</f>
        <v>16.457916999999998</v>
      </c>
      <c r="H1796" s="6" t="str">
        <f>IFERROR(VLOOKUP(LOG_RESEAU[[#This Row],[Cell_ID]],Registre_Maintenance!A:E,5,FALSE),"Non trouvé")</f>
        <v>4G</v>
      </c>
      <c r="I1796" s="6" t="str">
        <f>IFERROR(VLOOKUP(LOG_RESEAU[[#This Row],[Cell_ID]],Registre_Maintenance!A:F,6,FALSE),"Non trouvé")</f>
        <v>Nokia</v>
      </c>
      <c r="J1796" s="6" t="str">
        <f t="shared" si="84"/>
        <v>OK</v>
      </c>
      <c r="K1796" s="6">
        <f t="shared" si="85"/>
        <v>1</v>
      </c>
      <c r="L1796" s="6">
        <f t="shared" si="86"/>
        <v>15</v>
      </c>
    </row>
    <row r="1797" spans="1:12" ht="15.75" x14ac:dyDescent="0.25">
      <c r="A1797" s="6" t="s">
        <v>1269</v>
      </c>
      <c r="B1797" s="7">
        <v>45230.633333333331</v>
      </c>
      <c r="C1797" s="6">
        <v>34</v>
      </c>
      <c r="D1797" s="6" t="s">
        <v>794</v>
      </c>
      <c r="E1797" s="8" t="str">
        <f>IFERROR(VLOOKUP(LOG_RESEAU[[#This Row],[Cell_ID]],Registre_Maintenance!A:B,2,FALSE),"Non trouvé")</f>
        <v>Kasai-Oriental</v>
      </c>
      <c r="F1797" s="8">
        <f>IFERROR(VLOOKUP(LOG_RESEAU[[#This Row],[Cell_ID]],Registre_Maintenance!A:C,3,FALSE),"Non trouvé")</f>
        <v>2.486888</v>
      </c>
      <c r="G1797" s="8">
        <f>IFERROR(VLOOKUP(LOG_RESEAU[[#This Row],[Cell_ID]],Registre_Maintenance!A:D,4,FALSE),"Non trouvé")</f>
        <v>23.798074</v>
      </c>
      <c r="H1797" s="6" t="str">
        <f>IFERROR(VLOOKUP(LOG_RESEAU[[#This Row],[Cell_ID]],Registre_Maintenance!A:E,5,FALSE),"Non trouvé")</f>
        <v>5G</v>
      </c>
      <c r="I1797" s="6" t="str">
        <f>IFERROR(VLOOKUP(LOG_RESEAU[[#This Row],[Cell_ID]],Registre_Maintenance!A:F,6,FALSE),"Non trouvé")</f>
        <v>ZTE</v>
      </c>
      <c r="J1797" s="6" t="str">
        <f t="shared" si="84"/>
        <v>OK</v>
      </c>
      <c r="K1797" s="6">
        <f t="shared" si="85"/>
        <v>2</v>
      </c>
      <c r="L1797" s="6">
        <f t="shared" si="86"/>
        <v>39</v>
      </c>
    </row>
    <row r="1798" spans="1:12" hidden="1" x14ac:dyDescent="0.25">
      <c r="A1798" s="2"/>
      <c r="B1798" s="2">
        <v>45200.875</v>
      </c>
      <c r="C1798" s="2">
        <v>37</v>
      </c>
      <c r="D1798" s="2" t="s">
        <v>794</v>
      </c>
      <c r="E1798" s="3" t="str">
        <f>IFERROR(VLOOKUP(LOG_RESEAU[[#This Row],[Cell_ID]],Registre_Maintenance!A:B,2,FALSE),"Non trouvé")</f>
        <v>Non trouvé</v>
      </c>
      <c r="F1798" s="3" t="str">
        <f>IFERROR(VLOOKUP(LOG_RESEAU[[#This Row],[Cell_ID]],Registre_Maintenance!A:C,3,FALSE),"Non trouvé")</f>
        <v>Non trouvé</v>
      </c>
      <c r="G1798" s="3" t="str">
        <f>IFERROR(VLOOKUP(LOG_RESEAU[[#This Row],[Cell_ID]],Registre_Maintenance!A:D,4,FALSE),"Non trouvé")</f>
        <v>Non trouvé</v>
      </c>
      <c r="H1798" s="2" t="str">
        <f>IFERROR(VLOOKUP(LOG_RESEAU[[#This Row],[Cell_ID]],Registre_Maintenance!A:E,5,FALSE),"Non trouvé")</f>
        <v>Non trouvé</v>
      </c>
      <c r="I1798" s="2" t="str">
        <f>IFERROR(VLOOKUP(LOG_RESEAU[[#This Row],[Cell_ID]],Registre_Maintenance!A:F,6,FALSE),"Non trouvé")</f>
        <v>Non trouvé</v>
      </c>
      <c r="J1798" s="2" t="str">
        <f t="shared" si="84"/>
        <v>Antenne inconnue</v>
      </c>
      <c r="K1798" s="2">
        <f t="shared" si="85"/>
        <v>0</v>
      </c>
      <c r="L1798" s="2">
        <f t="shared" si="86"/>
        <v>0</v>
      </c>
    </row>
    <row r="1799" spans="1:12" ht="15.75" x14ac:dyDescent="0.25">
      <c r="A1799" s="6" t="s">
        <v>1269</v>
      </c>
      <c r="B1799" s="7">
        <v>45226.115972222222</v>
      </c>
      <c r="C1799" s="6">
        <v>5</v>
      </c>
      <c r="D1799" s="6" t="s">
        <v>792</v>
      </c>
      <c r="E1799" s="8" t="str">
        <f>IFERROR(VLOOKUP(LOG_RESEAU[[#This Row],[Cell_ID]],Registre_Maintenance!A:B,2,FALSE),"Non trouvé")</f>
        <v>Kasai-Oriental</v>
      </c>
      <c r="F1799" s="8">
        <f>IFERROR(VLOOKUP(LOG_RESEAU[[#This Row],[Cell_ID]],Registre_Maintenance!A:C,3,FALSE),"Non trouvé")</f>
        <v>2.486888</v>
      </c>
      <c r="G1799" s="8">
        <f>IFERROR(VLOOKUP(LOG_RESEAU[[#This Row],[Cell_ID]],Registre_Maintenance!A:D,4,FALSE),"Non trouvé")</f>
        <v>23.798074</v>
      </c>
      <c r="H1799" s="6" t="str">
        <f>IFERROR(VLOOKUP(LOG_RESEAU[[#This Row],[Cell_ID]],Registre_Maintenance!A:E,5,FALSE),"Non trouvé")</f>
        <v>5G</v>
      </c>
      <c r="I1799" s="6" t="str">
        <f>IFERROR(VLOOKUP(LOG_RESEAU[[#This Row],[Cell_ID]],Registre_Maintenance!A:F,6,FALSE),"Non trouvé")</f>
        <v>ZTE</v>
      </c>
      <c r="J1799" s="6" t="str">
        <f t="shared" si="84"/>
        <v>OK</v>
      </c>
      <c r="K1799" s="6">
        <f t="shared" si="85"/>
        <v>2</v>
      </c>
      <c r="L1799" s="6">
        <f t="shared" si="86"/>
        <v>39</v>
      </c>
    </row>
    <row r="1800" spans="1:12" ht="15.75" x14ac:dyDescent="0.25">
      <c r="A1800" s="6" t="s">
        <v>1540</v>
      </c>
      <c r="B1800" s="7">
        <v>45226.955555555563</v>
      </c>
      <c r="C1800" s="6">
        <v>20</v>
      </c>
      <c r="D1800" s="6" t="s">
        <v>800</v>
      </c>
      <c r="E1800" s="8" t="str">
        <f>IFERROR(VLOOKUP(LOG_RESEAU[[#This Row],[Cell_ID]],Registre_Maintenance!A:B,2,FALSE),"Non trouvé")</f>
        <v>Non trouvé</v>
      </c>
      <c r="F1800" s="8" t="str">
        <f>IFERROR(VLOOKUP(LOG_RESEAU[[#This Row],[Cell_ID]],Registre_Maintenance!A:C,3,FALSE),"Non trouvé")</f>
        <v>Non trouvé</v>
      </c>
      <c r="G1800" s="8" t="str">
        <f>IFERROR(VLOOKUP(LOG_RESEAU[[#This Row],[Cell_ID]],Registre_Maintenance!A:D,4,FALSE),"Non trouvé")</f>
        <v>Non trouvé</v>
      </c>
      <c r="H1800" s="6" t="str">
        <f>IFERROR(VLOOKUP(LOG_RESEAU[[#This Row],[Cell_ID]],Registre_Maintenance!A:E,5,FALSE),"Non trouvé")</f>
        <v>Non trouvé</v>
      </c>
      <c r="I1800" s="6" t="str">
        <f>IFERROR(VLOOKUP(LOG_RESEAU[[#This Row],[Cell_ID]],Registre_Maintenance!A:F,6,FALSE),"Non trouvé")</f>
        <v>Non trouvé</v>
      </c>
      <c r="J1800" s="6" t="str">
        <f t="shared" si="84"/>
        <v>Antenne inconnue</v>
      </c>
      <c r="K1800" s="6">
        <f t="shared" si="85"/>
        <v>1</v>
      </c>
      <c r="L1800" s="6">
        <f t="shared" si="86"/>
        <v>20</v>
      </c>
    </row>
    <row r="1801" spans="1:12" ht="15.75" x14ac:dyDescent="0.25">
      <c r="A1801" s="6" t="s">
        <v>1051</v>
      </c>
      <c r="B1801" s="7">
        <v>45225.660416666673</v>
      </c>
      <c r="C1801" s="6">
        <v>14</v>
      </c>
      <c r="D1801" s="6" t="s">
        <v>794</v>
      </c>
      <c r="E1801" s="8" t="str">
        <f>IFERROR(VLOOKUP(LOG_RESEAU[[#This Row],[Cell_ID]],Registre_Maintenance!A:B,2,FALSE),"Non trouvé")</f>
        <v>Non trouvé</v>
      </c>
      <c r="F1801" s="8" t="str">
        <f>IFERROR(VLOOKUP(LOG_RESEAU[[#This Row],[Cell_ID]],Registre_Maintenance!A:C,3,FALSE),"Non trouvé")</f>
        <v>Non trouvé</v>
      </c>
      <c r="G1801" s="8" t="str">
        <f>IFERROR(VLOOKUP(LOG_RESEAU[[#This Row],[Cell_ID]],Registre_Maintenance!A:D,4,FALSE),"Non trouvé")</f>
        <v>Non trouvé</v>
      </c>
      <c r="H1801" s="6" t="str">
        <f>IFERROR(VLOOKUP(LOG_RESEAU[[#This Row],[Cell_ID]],Registre_Maintenance!A:E,5,FALSE),"Non trouvé")</f>
        <v>Non trouvé</v>
      </c>
      <c r="I1801" s="6" t="str">
        <f>IFERROR(VLOOKUP(LOG_RESEAU[[#This Row],[Cell_ID]],Registre_Maintenance!A:F,6,FALSE),"Non trouvé")</f>
        <v>Non trouvé</v>
      </c>
      <c r="J1801" s="6" t="str">
        <f t="shared" si="84"/>
        <v>Antenne inconnue</v>
      </c>
      <c r="K1801" s="6">
        <f t="shared" si="85"/>
        <v>2</v>
      </c>
      <c r="L1801" s="6">
        <f t="shared" si="86"/>
        <v>106</v>
      </c>
    </row>
    <row r="1802" spans="1:12" ht="15.75" x14ac:dyDescent="0.25">
      <c r="A1802" s="6" t="s">
        <v>1051</v>
      </c>
      <c r="B1802" s="7">
        <v>45208.047222222223</v>
      </c>
      <c r="C1802" s="6">
        <v>92</v>
      </c>
      <c r="D1802" s="6" t="s">
        <v>792</v>
      </c>
      <c r="E1802" s="8" t="str">
        <f>IFERROR(VLOOKUP(LOG_RESEAU[[#This Row],[Cell_ID]],Registre_Maintenance!A:B,2,FALSE),"Non trouvé")</f>
        <v>Non trouvé</v>
      </c>
      <c r="F1802" s="8" t="str">
        <f>IFERROR(VLOOKUP(LOG_RESEAU[[#This Row],[Cell_ID]],Registre_Maintenance!A:C,3,FALSE),"Non trouvé")</f>
        <v>Non trouvé</v>
      </c>
      <c r="G1802" s="8" t="str">
        <f>IFERROR(VLOOKUP(LOG_RESEAU[[#This Row],[Cell_ID]],Registre_Maintenance!A:D,4,FALSE),"Non trouvé")</f>
        <v>Non trouvé</v>
      </c>
      <c r="H1802" s="6" t="str">
        <f>IFERROR(VLOOKUP(LOG_RESEAU[[#This Row],[Cell_ID]],Registre_Maintenance!A:E,5,FALSE),"Non trouvé")</f>
        <v>Non trouvé</v>
      </c>
      <c r="I1802" s="6" t="str">
        <f>IFERROR(VLOOKUP(LOG_RESEAU[[#This Row],[Cell_ID]],Registre_Maintenance!A:F,6,FALSE),"Non trouvé")</f>
        <v>Non trouvé</v>
      </c>
      <c r="J1802" s="6" t="str">
        <f t="shared" si="84"/>
        <v>Antenne inconnue</v>
      </c>
      <c r="K1802" s="6">
        <f t="shared" si="85"/>
        <v>2</v>
      </c>
      <c r="L1802" s="6">
        <f t="shared" si="86"/>
        <v>106</v>
      </c>
    </row>
    <row r="1803" spans="1:12" ht="15.75" x14ac:dyDescent="0.25">
      <c r="A1803" s="6" t="s">
        <v>1478</v>
      </c>
      <c r="B1803" s="7">
        <v>45213.210416666669</v>
      </c>
      <c r="C1803" s="6">
        <v>28</v>
      </c>
      <c r="D1803" s="6" t="s">
        <v>792</v>
      </c>
      <c r="E1803" s="8" t="str">
        <f>IFERROR(VLOOKUP(LOG_RESEAU[[#This Row],[Cell_ID]],Registre_Maintenance!A:B,2,FALSE),"Non trouvé")</f>
        <v>Haut-Lomami</v>
      </c>
      <c r="F1803" s="8">
        <f>IFERROR(VLOOKUP(LOG_RESEAU[[#This Row],[Cell_ID]],Registre_Maintenance!A:C,3,FALSE),"Non trouvé")</f>
        <v>-3.1608390000000002</v>
      </c>
      <c r="G1803" s="8">
        <f>IFERROR(VLOOKUP(LOG_RESEAU[[#This Row],[Cell_ID]],Registre_Maintenance!A:D,4,FALSE),"Non trouvé")</f>
        <v>13.244503999999999</v>
      </c>
      <c r="H1803" s="6" t="str">
        <f>IFERROR(VLOOKUP(LOG_RESEAU[[#This Row],[Cell_ID]],Registre_Maintenance!A:E,5,FALSE),"Non trouvé")</f>
        <v>3G</v>
      </c>
      <c r="I1803" s="6" t="str">
        <f>IFERROR(VLOOKUP(LOG_RESEAU[[#This Row],[Cell_ID]],Registre_Maintenance!A:F,6,FALSE),"Non trouvé")</f>
        <v>Huawei</v>
      </c>
      <c r="J1803" s="6" t="str">
        <f t="shared" si="84"/>
        <v>OK</v>
      </c>
      <c r="K1803" s="6">
        <f t="shared" si="85"/>
        <v>1</v>
      </c>
      <c r="L1803" s="6">
        <f t="shared" si="86"/>
        <v>28</v>
      </c>
    </row>
    <row r="1804" spans="1:12" ht="15.75" x14ac:dyDescent="0.25">
      <c r="A1804" s="6" t="s">
        <v>1333</v>
      </c>
      <c r="B1804" s="7">
        <v>45203.213888888888</v>
      </c>
      <c r="C1804" s="6">
        <v>5</v>
      </c>
      <c r="D1804" s="6" t="s">
        <v>794</v>
      </c>
      <c r="E1804" s="8" t="str">
        <f>IFERROR(VLOOKUP(LOG_RESEAU[[#This Row],[Cell_ID]],Registre_Maintenance!A:B,2,FALSE),"Non trouvé")</f>
        <v>Nord-Kivu</v>
      </c>
      <c r="F1804" s="8">
        <f>IFERROR(VLOOKUP(LOG_RESEAU[[#This Row],[Cell_ID]],Registre_Maintenance!A:C,3,FALSE),"Non trouvé")</f>
        <v>-6.5332999999999997</v>
      </c>
      <c r="G1804" s="8">
        <f>IFERROR(VLOOKUP(LOG_RESEAU[[#This Row],[Cell_ID]],Registre_Maintenance!A:D,4,FALSE),"Non trouvé")</f>
        <v>20.098018</v>
      </c>
      <c r="H1804" s="6" t="str">
        <f>IFERROR(VLOOKUP(LOG_RESEAU[[#This Row],[Cell_ID]],Registre_Maintenance!A:E,5,FALSE),"Non trouvé")</f>
        <v>4G</v>
      </c>
      <c r="I1804" s="6" t="str">
        <f>IFERROR(VLOOKUP(LOG_RESEAU[[#This Row],[Cell_ID]],Registre_Maintenance!A:F,6,FALSE),"Non trouvé")</f>
        <v>Huawei</v>
      </c>
      <c r="J1804" s="6" t="str">
        <f t="shared" si="84"/>
        <v>OK</v>
      </c>
      <c r="K1804" s="6">
        <f t="shared" si="85"/>
        <v>1</v>
      </c>
      <c r="L1804" s="6">
        <f t="shared" si="86"/>
        <v>5</v>
      </c>
    </row>
    <row r="1805" spans="1:12" ht="15.75" x14ac:dyDescent="0.25">
      <c r="A1805" s="6" t="s">
        <v>1429</v>
      </c>
      <c r="B1805" s="7">
        <v>45224.195138888892</v>
      </c>
      <c r="C1805" s="6">
        <v>81</v>
      </c>
      <c r="D1805" s="6" t="s">
        <v>800</v>
      </c>
      <c r="E1805" s="8" t="str">
        <f>IFERROR(VLOOKUP(LOG_RESEAU[[#This Row],[Cell_ID]],Registre_Maintenance!A:B,2,FALSE),"Non trouvé")</f>
        <v>Bas-Uele</v>
      </c>
      <c r="F1805" s="8">
        <f>IFERROR(VLOOKUP(LOG_RESEAU[[#This Row],[Cell_ID]],Registre_Maintenance!A:C,3,FALSE),"Non trouvé")</f>
        <v>-1.500685</v>
      </c>
      <c r="G1805" s="8">
        <f>IFERROR(VLOOKUP(LOG_RESEAU[[#This Row],[Cell_ID]],Registre_Maintenance!A:D,4,FALSE),"Non trouvé")</f>
        <v>26.563376000000002</v>
      </c>
      <c r="H1805" s="6" t="str">
        <f>IFERROR(VLOOKUP(LOG_RESEAU[[#This Row],[Cell_ID]],Registre_Maintenance!A:E,5,FALSE),"Non trouvé")</f>
        <v>5G</v>
      </c>
      <c r="I1805" s="6" t="str">
        <f>IFERROR(VLOOKUP(LOG_RESEAU[[#This Row],[Cell_ID]],Registre_Maintenance!A:F,6,FALSE),"Non trouvé")</f>
        <v>Nokia</v>
      </c>
      <c r="J1805" s="6" t="str">
        <f t="shared" si="84"/>
        <v>OK</v>
      </c>
      <c r="K1805" s="6">
        <f t="shared" si="85"/>
        <v>1</v>
      </c>
      <c r="L1805" s="6">
        <f t="shared" si="86"/>
        <v>81</v>
      </c>
    </row>
    <row r="1806" spans="1:12" ht="15.75" x14ac:dyDescent="0.25">
      <c r="A1806" s="6" t="s">
        <v>1100</v>
      </c>
      <c r="B1806" s="7">
        <v>45217.175000000003</v>
      </c>
      <c r="C1806" s="6">
        <v>18</v>
      </c>
      <c r="D1806" s="6" t="s">
        <v>792</v>
      </c>
      <c r="E1806" s="8" t="str">
        <f>IFERROR(VLOOKUP(LOG_RESEAU[[#This Row],[Cell_ID]],Registre_Maintenance!A:B,2,FALSE),"Non trouvé")</f>
        <v>Sud-Kivu</v>
      </c>
      <c r="F1806" s="8">
        <f>IFERROR(VLOOKUP(LOG_RESEAU[[#This Row],[Cell_ID]],Registre_Maintenance!A:C,3,FALSE),"Non trouvé")</f>
        <v>-9.4702129999999993</v>
      </c>
      <c r="G1806" s="8">
        <f>IFERROR(VLOOKUP(LOG_RESEAU[[#This Row],[Cell_ID]],Registre_Maintenance!A:D,4,FALSE),"Non trouvé")</f>
        <v>12.826158</v>
      </c>
      <c r="H1806" s="6" t="str">
        <f>IFERROR(VLOOKUP(LOG_RESEAU[[#This Row],[Cell_ID]],Registre_Maintenance!A:E,5,FALSE),"Non trouvé")</f>
        <v>3G</v>
      </c>
      <c r="I1806" s="6" t="str">
        <f>IFERROR(VLOOKUP(LOG_RESEAU[[#This Row],[Cell_ID]],Registre_Maintenance!A:F,6,FALSE),"Non trouvé")</f>
        <v>Ericsson</v>
      </c>
      <c r="J1806" s="6" t="str">
        <f t="shared" si="84"/>
        <v>OK</v>
      </c>
      <c r="K1806" s="6">
        <f t="shared" si="85"/>
        <v>3</v>
      </c>
      <c r="L1806" s="6">
        <f t="shared" si="86"/>
        <v>164</v>
      </c>
    </row>
    <row r="1807" spans="1:12" ht="15.75" x14ac:dyDescent="0.25">
      <c r="A1807" s="6" t="s">
        <v>1100</v>
      </c>
      <c r="B1807" s="7">
        <v>45203.224305555559</v>
      </c>
      <c r="C1807" s="6">
        <v>102</v>
      </c>
      <c r="D1807" s="6" t="s">
        <v>792</v>
      </c>
      <c r="E1807" s="8" t="str">
        <f>IFERROR(VLOOKUP(LOG_RESEAU[[#This Row],[Cell_ID]],Registre_Maintenance!A:B,2,FALSE),"Non trouvé")</f>
        <v>Sud-Kivu</v>
      </c>
      <c r="F1807" s="8">
        <f>IFERROR(VLOOKUP(LOG_RESEAU[[#This Row],[Cell_ID]],Registre_Maintenance!A:C,3,FALSE),"Non trouvé")</f>
        <v>-9.4702129999999993</v>
      </c>
      <c r="G1807" s="8">
        <f>IFERROR(VLOOKUP(LOG_RESEAU[[#This Row],[Cell_ID]],Registre_Maintenance!A:D,4,FALSE),"Non trouvé")</f>
        <v>12.826158</v>
      </c>
      <c r="H1807" s="6" t="str">
        <f>IFERROR(VLOOKUP(LOG_RESEAU[[#This Row],[Cell_ID]],Registre_Maintenance!A:E,5,FALSE),"Non trouvé")</f>
        <v>3G</v>
      </c>
      <c r="I1807" s="6" t="str">
        <f>IFERROR(VLOOKUP(LOG_RESEAU[[#This Row],[Cell_ID]],Registre_Maintenance!A:F,6,FALSE),"Non trouvé")</f>
        <v>Ericsson</v>
      </c>
      <c r="J1807" s="6" t="str">
        <f t="shared" si="84"/>
        <v>OK</v>
      </c>
      <c r="K1807" s="6">
        <f t="shared" si="85"/>
        <v>3</v>
      </c>
      <c r="L1807" s="6">
        <f t="shared" si="86"/>
        <v>164</v>
      </c>
    </row>
    <row r="1808" spans="1:12" ht="15.75" x14ac:dyDescent="0.25">
      <c r="A1808" s="6" t="s">
        <v>1100</v>
      </c>
      <c r="B1808" s="7">
        <v>45218.007638888892</v>
      </c>
      <c r="C1808" s="6">
        <v>44</v>
      </c>
      <c r="D1808" s="6" t="s">
        <v>800</v>
      </c>
      <c r="E1808" s="8" t="str">
        <f>IFERROR(VLOOKUP(LOG_RESEAU[[#This Row],[Cell_ID]],Registre_Maintenance!A:B,2,FALSE),"Non trouvé")</f>
        <v>Sud-Kivu</v>
      </c>
      <c r="F1808" s="8">
        <f>IFERROR(VLOOKUP(LOG_RESEAU[[#This Row],[Cell_ID]],Registre_Maintenance!A:C,3,FALSE),"Non trouvé")</f>
        <v>-9.4702129999999993</v>
      </c>
      <c r="G1808" s="8">
        <f>IFERROR(VLOOKUP(LOG_RESEAU[[#This Row],[Cell_ID]],Registre_Maintenance!A:D,4,FALSE),"Non trouvé")</f>
        <v>12.826158</v>
      </c>
      <c r="H1808" s="6" t="str">
        <f>IFERROR(VLOOKUP(LOG_RESEAU[[#This Row],[Cell_ID]],Registre_Maintenance!A:E,5,FALSE),"Non trouvé")</f>
        <v>3G</v>
      </c>
      <c r="I1808" s="6" t="str">
        <f>IFERROR(VLOOKUP(LOG_RESEAU[[#This Row],[Cell_ID]],Registre_Maintenance!A:F,6,FALSE),"Non trouvé")</f>
        <v>Ericsson</v>
      </c>
      <c r="J1808" s="6" t="str">
        <f t="shared" si="84"/>
        <v>OK</v>
      </c>
      <c r="K1808" s="6">
        <f t="shared" si="85"/>
        <v>3</v>
      </c>
      <c r="L1808" s="6">
        <f t="shared" si="86"/>
        <v>164</v>
      </c>
    </row>
    <row r="1809" spans="1:12" ht="15.75" x14ac:dyDescent="0.25">
      <c r="A1809" s="6" t="s">
        <v>1294</v>
      </c>
      <c r="B1809" s="7">
        <v>45211.73333333333</v>
      </c>
      <c r="C1809" s="6">
        <v>108</v>
      </c>
      <c r="D1809" s="6" t="s">
        <v>800</v>
      </c>
      <c r="E1809" s="8" t="str">
        <f>IFERROR(VLOOKUP(LOG_RESEAU[[#This Row],[Cell_ID]],Registre_Maintenance!A:B,2,FALSE),"Non trouvé")</f>
        <v>Non trouvé</v>
      </c>
      <c r="F1809" s="8" t="str">
        <f>IFERROR(VLOOKUP(LOG_RESEAU[[#This Row],[Cell_ID]],Registre_Maintenance!A:C,3,FALSE),"Non trouvé")</f>
        <v>Non trouvé</v>
      </c>
      <c r="G1809" s="8" t="str">
        <f>IFERROR(VLOOKUP(LOG_RESEAU[[#This Row],[Cell_ID]],Registre_Maintenance!A:D,4,FALSE),"Non trouvé")</f>
        <v>Non trouvé</v>
      </c>
      <c r="H1809" s="6" t="str">
        <f>IFERROR(VLOOKUP(LOG_RESEAU[[#This Row],[Cell_ID]],Registre_Maintenance!A:E,5,FALSE),"Non trouvé")</f>
        <v>Non trouvé</v>
      </c>
      <c r="I1809" s="6" t="str">
        <f>IFERROR(VLOOKUP(LOG_RESEAU[[#This Row],[Cell_ID]],Registre_Maintenance!A:F,6,FALSE),"Non trouvé")</f>
        <v>Non trouvé</v>
      </c>
      <c r="J1809" s="6" t="str">
        <f t="shared" si="84"/>
        <v>Antenne inconnue</v>
      </c>
      <c r="K1809" s="6">
        <f t="shared" si="85"/>
        <v>1</v>
      </c>
      <c r="L1809" s="6">
        <f t="shared" si="86"/>
        <v>108</v>
      </c>
    </row>
    <row r="1810" spans="1:12" ht="15.75" x14ac:dyDescent="0.25">
      <c r="A1810" s="6" t="s">
        <v>1156</v>
      </c>
      <c r="B1810" s="7">
        <v>45204.20208333333</v>
      </c>
      <c r="C1810" s="6">
        <v>10</v>
      </c>
      <c r="D1810" s="6" t="s">
        <v>794</v>
      </c>
      <c r="E1810" s="8" t="str">
        <f>IFERROR(VLOOKUP(LOG_RESEAU[[#This Row],[Cell_ID]],Registre_Maintenance!A:B,2,FALSE),"Non trouvé")</f>
        <v>Non trouvé</v>
      </c>
      <c r="F1810" s="8" t="str">
        <f>IFERROR(VLOOKUP(LOG_RESEAU[[#This Row],[Cell_ID]],Registre_Maintenance!A:C,3,FALSE),"Non trouvé")</f>
        <v>Non trouvé</v>
      </c>
      <c r="G1810" s="8" t="str">
        <f>IFERROR(VLOOKUP(LOG_RESEAU[[#This Row],[Cell_ID]],Registre_Maintenance!A:D,4,FALSE),"Non trouvé")</f>
        <v>Non trouvé</v>
      </c>
      <c r="H1810" s="6" t="str">
        <f>IFERROR(VLOOKUP(LOG_RESEAU[[#This Row],[Cell_ID]],Registre_Maintenance!A:E,5,FALSE),"Non trouvé")</f>
        <v>Non trouvé</v>
      </c>
      <c r="I1810" s="6" t="str">
        <f>IFERROR(VLOOKUP(LOG_RESEAU[[#This Row],[Cell_ID]],Registre_Maintenance!A:F,6,FALSE),"Non trouvé")</f>
        <v>Non trouvé</v>
      </c>
      <c r="J1810" s="6" t="str">
        <f t="shared" si="84"/>
        <v>Antenne inconnue</v>
      </c>
      <c r="K1810" s="6">
        <f t="shared" si="85"/>
        <v>1</v>
      </c>
      <c r="L1810" s="6">
        <f t="shared" si="86"/>
        <v>10</v>
      </c>
    </row>
    <row r="1811" spans="1:12" ht="15.75" x14ac:dyDescent="0.25">
      <c r="A1811" s="6" t="s">
        <v>1298</v>
      </c>
      <c r="B1811" s="7">
        <v>45223.647916666669</v>
      </c>
      <c r="C1811" s="6">
        <v>14</v>
      </c>
      <c r="D1811" s="6" t="s">
        <v>792</v>
      </c>
      <c r="E1811" s="8" t="str">
        <f>IFERROR(VLOOKUP(LOG_RESEAU[[#This Row],[Cell_ID]],Registre_Maintenance!A:B,2,FALSE),"Non trouvé")</f>
        <v>Non trouvé</v>
      </c>
      <c r="F1811" s="8" t="str">
        <f>IFERROR(VLOOKUP(LOG_RESEAU[[#This Row],[Cell_ID]],Registre_Maintenance!A:C,3,FALSE),"Non trouvé")</f>
        <v>Non trouvé</v>
      </c>
      <c r="G1811" s="8" t="str">
        <f>IFERROR(VLOOKUP(LOG_RESEAU[[#This Row],[Cell_ID]],Registre_Maintenance!A:D,4,FALSE),"Non trouvé")</f>
        <v>Non trouvé</v>
      </c>
      <c r="H1811" s="6" t="str">
        <f>IFERROR(VLOOKUP(LOG_RESEAU[[#This Row],[Cell_ID]],Registre_Maintenance!A:E,5,FALSE),"Non trouvé")</f>
        <v>Non trouvé</v>
      </c>
      <c r="I1811" s="6" t="str">
        <f>IFERROR(VLOOKUP(LOG_RESEAU[[#This Row],[Cell_ID]],Registre_Maintenance!A:F,6,FALSE),"Non trouvé")</f>
        <v>Non trouvé</v>
      </c>
      <c r="J1811" s="6" t="str">
        <f t="shared" si="84"/>
        <v>Antenne inconnue</v>
      </c>
      <c r="K1811" s="6">
        <f t="shared" si="85"/>
        <v>1</v>
      </c>
      <c r="L1811" s="6">
        <f t="shared" si="86"/>
        <v>14</v>
      </c>
    </row>
    <row r="1812" spans="1:12" ht="15.75" x14ac:dyDescent="0.25">
      <c r="A1812" s="6" t="s">
        <v>1473</v>
      </c>
      <c r="B1812" s="7">
        <v>45205.586111111108</v>
      </c>
      <c r="C1812" s="6">
        <v>89</v>
      </c>
      <c r="D1812" s="6" t="s">
        <v>792</v>
      </c>
      <c r="E1812" s="8" t="str">
        <f>IFERROR(VLOOKUP(LOG_RESEAU[[#This Row],[Cell_ID]],Registre_Maintenance!A:B,2,FALSE),"Non trouvé")</f>
        <v>Non trouvé</v>
      </c>
      <c r="F1812" s="8" t="str">
        <f>IFERROR(VLOOKUP(LOG_RESEAU[[#This Row],[Cell_ID]],Registre_Maintenance!A:C,3,FALSE),"Non trouvé")</f>
        <v>Non trouvé</v>
      </c>
      <c r="G1812" s="8" t="str">
        <f>IFERROR(VLOOKUP(LOG_RESEAU[[#This Row],[Cell_ID]],Registre_Maintenance!A:D,4,FALSE),"Non trouvé")</f>
        <v>Non trouvé</v>
      </c>
      <c r="H1812" s="6" t="str">
        <f>IFERROR(VLOOKUP(LOG_RESEAU[[#This Row],[Cell_ID]],Registre_Maintenance!A:E,5,FALSE),"Non trouvé")</f>
        <v>Non trouvé</v>
      </c>
      <c r="I1812" s="6" t="str">
        <f>IFERROR(VLOOKUP(LOG_RESEAU[[#This Row],[Cell_ID]],Registre_Maintenance!A:F,6,FALSE),"Non trouvé")</f>
        <v>Non trouvé</v>
      </c>
      <c r="J1812" s="6" t="str">
        <f t="shared" si="84"/>
        <v>Antenne inconnue</v>
      </c>
      <c r="K1812" s="6">
        <f t="shared" si="85"/>
        <v>1</v>
      </c>
      <c r="L1812" s="6">
        <f t="shared" si="86"/>
        <v>89</v>
      </c>
    </row>
    <row r="1813" spans="1:12" ht="15.75" x14ac:dyDescent="0.25">
      <c r="A1813" s="6" t="s">
        <v>1160</v>
      </c>
      <c r="B1813" s="7">
        <v>45224.683333333327</v>
      </c>
      <c r="C1813" s="6">
        <v>71</v>
      </c>
      <c r="D1813" s="6" t="s">
        <v>794</v>
      </c>
      <c r="E1813" s="8" t="str">
        <f>IFERROR(VLOOKUP(LOG_RESEAU[[#This Row],[Cell_ID]],Registre_Maintenance!A:B,2,FALSE),"Non trouvé")</f>
        <v>Non trouvé</v>
      </c>
      <c r="F1813" s="8" t="str">
        <f>IFERROR(VLOOKUP(LOG_RESEAU[[#This Row],[Cell_ID]],Registre_Maintenance!A:C,3,FALSE),"Non trouvé")</f>
        <v>Non trouvé</v>
      </c>
      <c r="G1813" s="8" t="str">
        <f>IFERROR(VLOOKUP(LOG_RESEAU[[#This Row],[Cell_ID]],Registre_Maintenance!A:D,4,FALSE),"Non trouvé")</f>
        <v>Non trouvé</v>
      </c>
      <c r="H1813" s="6" t="str">
        <f>IFERROR(VLOOKUP(LOG_RESEAU[[#This Row],[Cell_ID]],Registre_Maintenance!A:E,5,FALSE),"Non trouvé")</f>
        <v>Non trouvé</v>
      </c>
      <c r="I1813" s="6" t="str">
        <f>IFERROR(VLOOKUP(LOG_RESEAU[[#This Row],[Cell_ID]],Registre_Maintenance!A:F,6,FALSE),"Non trouvé")</f>
        <v>Non trouvé</v>
      </c>
      <c r="J1813" s="6" t="str">
        <f t="shared" si="84"/>
        <v>Antenne inconnue</v>
      </c>
      <c r="K1813" s="6">
        <f t="shared" si="85"/>
        <v>2</v>
      </c>
      <c r="L1813" s="6">
        <f t="shared" si="86"/>
        <v>125</v>
      </c>
    </row>
    <row r="1814" spans="1:12" ht="15.75" x14ac:dyDescent="0.25">
      <c r="A1814" s="6" t="s">
        <v>1160</v>
      </c>
      <c r="B1814" s="7">
        <v>45217.027777777781</v>
      </c>
      <c r="C1814" s="6">
        <v>54</v>
      </c>
      <c r="D1814" s="6" t="s">
        <v>800</v>
      </c>
      <c r="E1814" s="8" t="str">
        <f>IFERROR(VLOOKUP(LOG_RESEAU[[#This Row],[Cell_ID]],Registre_Maintenance!A:B,2,FALSE),"Non trouvé")</f>
        <v>Non trouvé</v>
      </c>
      <c r="F1814" s="8" t="str">
        <f>IFERROR(VLOOKUP(LOG_RESEAU[[#This Row],[Cell_ID]],Registre_Maintenance!A:C,3,FALSE),"Non trouvé")</f>
        <v>Non trouvé</v>
      </c>
      <c r="G1814" s="8" t="str">
        <f>IFERROR(VLOOKUP(LOG_RESEAU[[#This Row],[Cell_ID]],Registre_Maintenance!A:D,4,FALSE),"Non trouvé")</f>
        <v>Non trouvé</v>
      </c>
      <c r="H1814" s="6" t="str">
        <f>IFERROR(VLOOKUP(LOG_RESEAU[[#This Row],[Cell_ID]],Registre_Maintenance!A:E,5,FALSE),"Non trouvé")</f>
        <v>Non trouvé</v>
      </c>
      <c r="I1814" s="6" t="str">
        <f>IFERROR(VLOOKUP(LOG_RESEAU[[#This Row],[Cell_ID]],Registre_Maintenance!A:F,6,FALSE),"Non trouvé")</f>
        <v>Non trouvé</v>
      </c>
      <c r="J1814" s="6" t="str">
        <f t="shared" si="84"/>
        <v>Antenne inconnue</v>
      </c>
      <c r="K1814" s="6">
        <f t="shared" si="85"/>
        <v>2</v>
      </c>
      <c r="L1814" s="6">
        <f t="shared" si="86"/>
        <v>125</v>
      </c>
    </row>
    <row r="1815" spans="1:12" ht="15.75" x14ac:dyDescent="0.25">
      <c r="A1815" s="6" t="s">
        <v>1025</v>
      </c>
      <c r="B1815" s="7">
        <v>45213.428472222222</v>
      </c>
      <c r="C1815" s="6">
        <v>101</v>
      </c>
      <c r="D1815" s="6" t="s">
        <v>800</v>
      </c>
      <c r="E1815" s="8" t="str">
        <f>IFERROR(VLOOKUP(LOG_RESEAU[[#This Row],[Cell_ID]],Registre_Maintenance!A:B,2,FALSE),"Non trouvé")</f>
        <v>Non trouvé</v>
      </c>
      <c r="F1815" s="8" t="str">
        <f>IFERROR(VLOOKUP(LOG_RESEAU[[#This Row],[Cell_ID]],Registre_Maintenance!A:C,3,FALSE),"Non trouvé")</f>
        <v>Non trouvé</v>
      </c>
      <c r="G1815" s="8" t="str">
        <f>IFERROR(VLOOKUP(LOG_RESEAU[[#This Row],[Cell_ID]],Registre_Maintenance!A:D,4,FALSE),"Non trouvé")</f>
        <v>Non trouvé</v>
      </c>
      <c r="H1815" s="6" t="str">
        <f>IFERROR(VLOOKUP(LOG_RESEAU[[#This Row],[Cell_ID]],Registre_Maintenance!A:E,5,FALSE),"Non trouvé")</f>
        <v>Non trouvé</v>
      </c>
      <c r="I1815" s="6" t="str">
        <f>IFERROR(VLOOKUP(LOG_RESEAU[[#This Row],[Cell_ID]],Registre_Maintenance!A:F,6,FALSE),"Non trouvé")</f>
        <v>Non trouvé</v>
      </c>
      <c r="J1815" s="6" t="str">
        <f t="shared" si="84"/>
        <v>Antenne inconnue</v>
      </c>
      <c r="K1815" s="6">
        <f t="shared" si="85"/>
        <v>2</v>
      </c>
      <c r="L1815" s="6">
        <f t="shared" si="86"/>
        <v>111</v>
      </c>
    </row>
    <row r="1816" spans="1:12" ht="15.75" x14ac:dyDescent="0.25">
      <c r="A1816" s="6" t="s">
        <v>1025</v>
      </c>
      <c r="B1816" s="7" t="s">
        <v>1239</v>
      </c>
      <c r="C1816" s="6">
        <v>10</v>
      </c>
      <c r="D1816" s="6" t="s">
        <v>800</v>
      </c>
      <c r="E1816" s="8" t="str">
        <f>IFERROR(VLOOKUP(LOG_RESEAU[[#This Row],[Cell_ID]],Registre_Maintenance!A:B,2,FALSE),"Non trouvé")</f>
        <v>Non trouvé</v>
      </c>
      <c r="F1816" s="8" t="str">
        <f>IFERROR(VLOOKUP(LOG_RESEAU[[#This Row],[Cell_ID]],Registre_Maintenance!A:C,3,FALSE),"Non trouvé")</f>
        <v>Non trouvé</v>
      </c>
      <c r="G1816" s="8" t="str">
        <f>IFERROR(VLOOKUP(LOG_RESEAU[[#This Row],[Cell_ID]],Registre_Maintenance!A:D,4,FALSE),"Non trouvé")</f>
        <v>Non trouvé</v>
      </c>
      <c r="H1816" s="6" t="str">
        <f>IFERROR(VLOOKUP(LOG_RESEAU[[#This Row],[Cell_ID]],Registre_Maintenance!A:E,5,FALSE),"Non trouvé")</f>
        <v>Non trouvé</v>
      </c>
      <c r="I1816" s="6" t="str">
        <f>IFERROR(VLOOKUP(LOG_RESEAU[[#This Row],[Cell_ID]],Registre_Maintenance!A:F,6,FALSE),"Non trouvé")</f>
        <v>Non trouvé</v>
      </c>
      <c r="J1816" s="6" t="str">
        <f t="shared" si="84"/>
        <v>Antenne inconnue</v>
      </c>
      <c r="K1816" s="6">
        <f t="shared" si="85"/>
        <v>2</v>
      </c>
      <c r="L1816" s="6">
        <f t="shared" si="86"/>
        <v>111</v>
      </c>
    </row>
    <row r="1817" spans="1:12" ht="15.75" x14ac:dyDescent="0.25">
      <c r="A1817" s="6" t="s">
        <v>1260</v>
      </c>
      <c r="B1817" s="7">
        <v>45204.47152777778</v>
      </c>
      <c r="C1817" s="6">
        <v>10</v>
      </c>
      <c r="D1817" s="6" t="s">
        <v>794</v>
      </c>
      <c r="E1817" s="8" t="str">
        <f>IFERROR(VLOOKUP(LOG_RESEAU[[#This Row],[Cell_ID]],Registre_Maintenance!A:B,2,FALSE),"Non trouvé")</f>
        <v>Nord-Kivu</v>
      </c>
      <c r="F1817" s="8">
        <f>IFERROR(VLOOKUP(LOG_RESEAU[[#This Row],[Cell_ID]],Registre_Maintenance!A:C,3,FALSE),"Non trouvé")</f>
        <v>4.9455159999999996</v>
      </c>
      <c r="G1817" s="8">
        <f>IFERROR(VLOOKUP(LOG_RESEAU[[#This Row],[Cell_ID]],Registre_Maintenance!A:D,4,FALSE),"Non trouvé")</f>
        <v>23.647746000000001</v>
      </c>
      <c r="H1817" s="6" t="str">
        <f>IFERROR(VLOOKUP(LOG_RESEAU[[#This Row],[Cell_ID]],Registre_Maintenance!A:E,5,FALSE),"Non trouvé")</f>
        <v>5G</v>
      </c>
      <c r="I1817" s="6" t="str">
        <f>IFERROR(VLOOKUP(LOG_RESEAU[[#This Row],[Cell_ID]],Registre_Maintenance!A:F,6,FALSE),"Non trouvé")</f>
        <v>Huawei</v>
      </c>
      <c r="J1817" s="6" t="str">
        <f t="shared" si="84"/>
        <v>OK</v>
      </c>
      <c r="K1817" s="6">
        <f t="shared" si="85"/>
        <v>1</v>
      </c>
      <c r="L1817" s="6">
        <f t="shared" si="86"/>
        <v>10</v>
      </c>
    </row>
    <row r="1818" spans="1:12" ht="15.75" x14ac:dyDescent="0.25">
      <c r="A1818" s="6" t="s">
        <v>1264</v>
      </c>
      <c r="B1818" s="7">
        <v>45220.452777777777</v>
      </c>
      <c r="C1818" s="6">
        <v>35</v>
      </c>
      <c r="D1818" s="6" t="s">
        <v>800</v>
      </c>
      <c r="E1818" s="8" t="str">
        <f>IFERROR(VLOOKUP(LOG_RESEAU[[#This Row],[Cell_ID]],Registre_Maintenance!A:B,2,FALSE),"Non trouvé")</f>
        <v>Non trouvé</v>
      </c>
      <c r="F1818" s="8" t="str">
        <f>IFERROR(VLOOKUP(LOG_RESEAU[[#This Row],[Cell_ID]],Registre_Maintenance!A:C,3,FALSE),"Non trouvé")</f>
        <v>Non trouvé</v>
      </c>
      <c r="G1818" s="8" t="str">
        <f>IFERROR(VLOOKUP(LOG_RESEAU[[#This Row],[Cell_ID]],Registre_Maintenance!A:D,4,FALSE),"Non trouvé")</f>
        <v>Non trouvé</v>
      </c>
      <c r="H1818" s="6" t="str">
        <f>IFERROR(VLOOKUP(LOG_RESEAU[[#This Row],[Cell_ID]],Registre_Maintenance!A:E,5,FALSE),"Non trouvé")</f>
        <v>Non trouvé</v>
      </c>
      <c r="I1818" s="6" t="str">
        <f>IFERROR(VLOOKUP(LOG_RESEAU[[#This Row],[Cell_ID]],Registre_Maintenance!A:F,6,FALSE),"Non trouvé")</f>
        <v>Non trouvé</v>
      </c>
      <c r="J1818" s="6" t="str">
        <f t="shared" si="84"/>
        <v>Antenne inconnue</v>
      </c>
      <c r="K1818" s="6">
        <f t="shared" si="85"/>
        <v>2</v>
      </c>
      <c r="L1818" s="6">
        <f t="shared" si="86"/>
        <v>61</v>
      </c>
    </row>
    <row r="1819" spans="1:12" ht="15.75" x14ac:dyDescent="0.25">
      <c r="A1819" s="6" t="s">
        <v>1264</v>
      </c>
      <c r="B1819" s="7">
        <v>45226.90625</v>
      </c>
      <c r="C1819" s="6">
        <v>26</v>
      </c>
      <c r="D1819" s="6" t="s">
        <v>800</v>
      </c>
      <c r="E1819" s="8" t="str">
        <f>IFERROR(VLOOKUP(LOG_RESEAU[[#This Row],[Cell_ID]],Registre_Maintenance!A:B,2,FALSE),"Non trouvé")</f>
        <v>Non trouvé</v>
      </c>
      <c r="F1819" s="8" t="str">
        <f>IFERROR(VLOOKUP(LOG_RESEAU[[#This Row],[Cell_ID]],Registre_Maintenance!A:C,3,FALSE),"Non trouvé")</f>
        <v>Non trouvé</v>
      </c>
      <c r="G1819" s="8" t="str">
        <f>IFERROR(VLOOKUP(LOG_RESEAU[[#This Row],[Cell_ID]],Registre_Maintenance!A:D,4,FALSE),"Non trouvé")</f>
        <v>Non trouvé</v>
      </c>
      <c r="H1819" s="6" t="str">
        <f>IFERROR(VLOOKUP(LOG_RESEAU[[#This Row],[Cell_ID]],Registre_Maintenance!A:E,5,FALSE),"Non trouvé")</f>
        <v>Non trouvé</v>
      </c>
      <c r="I1819" s="6" t="str">
        <f>IFERROR(VLOOKUP(LOG_RESEAU[[#This Row],[Cell_ID]],Registre_Maintenance!A:F,6,FALSE),"Non trouvé")</f>
        <v>Non trouvé</v>
      </c>
      <c r="J1819" s="6" t="str">
        <f t="shared" si="84"/>
        <v>Antenne inconnue</v>
      </c>
      <c r="K1819" s="6">
        <f t="shared" si="85"/>
        <v>2</v>
      </c>
      <c r="L1819" s="6">
        <f t="shared" si="86"/>
        <v>61</v>
      </c>
    </row>
    <row r="1820" spans="1:12" ht="15.75" x14ac:dyDescent="0.25">
      <c r="A1820" s="6" t="s">
        <v>1017</v>
      </c>
      <c r="B1820" s="7">
        <v>45217.109027777777</v>
      </c>
      <c r="C1820" s="6">
        <v>59</v>
      </c>
      <c r="D1820" s="6" t="s">
        <v>794</v>
      </c>
      <c r="E1820" s="8" t="str">
        <f>IFERROR(VLOOKUP(LOG_RESEAU[[#This Row],[Cell_ID]],Registre_Maintenance!A:B,2,FALSE),"Non trouvé")</f>
        <v>Non trouvé</v>
      </c>
      <c r="F1820" s="8" t="str">
        <f>IFERROR(VLOOKUP(LOG_RESEAU[[#This Row],[Cell_ID]],Registre_Maintenance!A:C,3,FALSE),"Non trouvé")</f>
        <v>Non trouvé</v>
      </c>
      <c r="G1820" s="8" t="str">
        <f>IFERROR(VLOOKUP(LOG_RESEAU[[#This Row],[Cell_ID]],Registre_Maintenance!A:D,4,FALSE),"Non trouvé")</f>
        <v>Non trouvé</v>
      </c>
      <c r="H1820" s="6" t="str">
        <f>IFERROR(VLOOKUP(LOG_RESEAU[[#This Row],[Cell_ID]],Registre_Maintenance!A:E,5,FALSE),"Non trouvé")</f>
        <v>Non trouvé</v>
      </c>
      <c r="I1820" s="6" t="str">
        <f>IFERROR(VLOOKUP(LOG_RESEAU[[#This Row],[Cell_ID]],Registre_Maintenance!A:F,6,FALSE),"Non trouvé")</f>
        <v>Non trouvé</v>
      </c>
      <c r="J1820" s="6" t="str">
        <f t="shared" si="84"/>
        <v>Antenne inconnue</v>
      </c>
      <c r="K1820" s="6">
        <f t="shared" si="85"/>
        <v>3</v>
      </c>
      <c r="L1820" s="6">
        <f t="shared" si="86"/>
        <v>161</v>
      </c>
    </row>
    <row r="1821" spans="1:12" ht="15.75" x14ac:dyDescent="0.25">
      <c r="A1821" s="6" t="s">
        <v>1017</v>
      </c>
      <c r="B1821" s="7">
        <v>45222.771527777782</v>
      </c>
      <c r="C1821" s="6">
        <v>53</v>
      </c>
      <c r="D1821" s="6" t="s">
        <v>792</v>
      </c>
      <c r="E1821" s="8" t="str">
        <f>IFERROR(VLOOKUP(LOG_RESEAU[[#This Row],[Cell_ID]],Registre_Maintenance!A:B,2,FALSE),"Non trouvé")</f>
        <v>Non trouvé</v>
      </c>
      <c r="F1821" s="8" t="str">
        <f>IFERROR(VLOOKUP(LOG_RESEAU[[#This Row],[Cell_ID]],Registre_Maintenance!A:C,3,FALSE),"Non trouvé")</f>
        <v>Non trouvé</v>
      </c>
      <c r="G1821" s="8" t="str">
        <f>IFERROR(VLOOKUP(LOG_RESEAU[[#This Row],[Cell_ID]],Registre_Maintenance!A:D,4,FALSE),"Non trouvé")</f>
        <v>Non trouvé</v>
      </c>
      <c r="H1821" s="6" t="str">
        <f>IFERROR(VLOOKUP(LOG_RESEAU[[#This Row],[Cell_ID]],Registre_Maintenance!A:E,5,FALSE),"Non trouvé")</f>
        <v>Non trouvé</v>
      </c>
      <c r="I1821" s="6" t="str">
        <f>IFERROR(VLOOKUP(LOG_RESEAU[[#This Row],[Cell_ID]],Registre_Maintenance!A:F,6,FALSE),"Non trouvé")</f>
        <v>Non trouvé</v>
      </c>
      <c r="J1821" s="6" t="str">
        <f t="shared" si="84"/>
        <v>Antenne inconnue</v>
      </c>
      <c r="K1821" s="6">
        <f t="shared" si="85"/>
        <v>3</v>
      </c>
      <c r="L1821" s="6">
        <f t="shared" si="86"/>
        <v>161</v>
      </c>
    </row>
    <row r="1822" spans="1:12" ht="15.75" x14ac:dyDescent="0.25">
      <c r="A1822" s="6" t="s">
        <v>1017</v>
      </c>
      <c r="B1822" s="7">
        <v>45217.509027777778</v>
      </c>
      <c r="C1822" s="6">
        <v>49</v>
      </c>
      <c r="D1822" s="6" t="s">
        <v>794</v>
      </c>
      <c r="E1822" s="8" t="str">
        <f>IFERROR(VLOOKUP(LOG_RESEAU[[#This Row],[Cell_ID]],Registre_Maintenance!A:B,2,FALSE),"Non trouvé")</f>
        <v>Non trouvé</v>
      </c>
      <c r="F1822" s="8" t="str">
        <f>IFERROR(VLOOKUP(LOG_RESEAU[[#This Row],[Cell_ID]],Registre_Maintenance!A:C,3,FALSE),"Non trouvé")</f>
        <v>Non trouvé</v>
      </c>
      <c r="G1822" s="8" t="str">
        <f>IFERROR(VLOOKUP(LOG_RESEAU[[#This Row],[Cell_ID]],Registre_Maintenance!A:D,4,FALSE),"Non trouvé")</f>
        <v>Non trouvé</v>
      </c>
      <c r="H1822" s="6" t="str">
        <f>IFERROR(VLOOKUP(LOG_RESEAU[[#This Row],[Cell_ID]],Registre_Maintenance!A:E,5,FALSE),"Non trouvé")</f>
        <v>Non trouvé</v>
      </c>
      <c r="I1822" s="6" t="str">
        <f>IFERROR(VLOOKUP(LOG_RESEAU[[#This Row],[Cell_ID]],Registre_Maintenance!A:F,6,FALSE),"Non trouvé")</f>
        <v>Non trouvé</v>
      </c>
      <c r="J1822" s="6" t="str">
        <f t="shared" si="84"/>
        <v>Antenne inconnue</v>
      </c>
      <c r="K1822" s="6">
        <f t="shared" si="85"/>
        <v>3</v>
      </c>
      <c r="L1822" s="6">
        <f t="shared" si="86"/>
        <v>161</v>
      </c>
    </row>
    <row r="1823" spans="1:12" ht="15.75" x14ac:dyDescent="0.25">
      <c r="A1823" s="6" t="s">
        <v>1200</v>
      </c>
      <c r="B1823" s="7">
        <v>45204.314583333333</v>
      </c>
      <c r="C1823" s="6">
        <v>120</v>
      </c>
      <c r="D1823" s="6" t="s">
        <v>800</v>
      </c>
      <c r="E1823" s="8" t="str">
        <f>IFERROR(VLOOKUP(LOG_RESEAU[[#This Row],[Cell_ID]],Registre_Maintenance!A:B,2,FALSE),"Non trouvé")</f>
        <v>Non trouvé</v>
      </c>
      <c r="F1823" s="8" t="str">
        <f>IFERROR(VLOOKUP(LOG_RESEAU[[#This Row],[Cell_ID]],Registre_Maintenance!A:C,3,FALSE),"Non trouvé")</f>
        <v>Non trouvé</v>
      </c>
      <c r="G1823" s="8" t="str">
        <f>IFERROR(VLOOKUP(LOG_RESEAU[[#This Row],[Cell_ID]],Registre_Maintenance!A:D,4,FALSE),"Non trouvé")</f>
        <v>Non trouvé</v>
      </c>
      <c r="H1823" s="6" t="str">
        <f>IFERROR(VLOOKUP(LOG_RESEAU[[#This Row],[Cell_ID]],Registre_Maintenance!A:E,5,FALSE),"Non trouvé")</f>
        <v>Non trouvé</v>
      </c>
      <c r="I1823" s="6" t="str">
        <f>IFERROR(VLOOKUP(LOG_RESEAU[[#This Row],[Cell_ID]],Registre_Maintenance!A:F,6,FALSE),"Non trouvé")</f>
        <v>Non trouvé</v>
      </c>
      <c r="J1823" s="6" t="str">
        <f t="shared" si="84"/>
        <v>Antenne inconnue</v>
      </c>
      <c r="K1823" s="6">
        <f t="shared" si="85"/>
        <v>1</v>
      </c>
      <c r="L1823" s="6">
        <f t="shared" si="86"/>
        <v>120</v>
      </c>
    </row>
    <row r="1824" spans="1:12" ht="15.75" x14ac:dyDescent="0.25">
      <c r="A1824" s="6" t="s">
        <v>1043</v>
      </c>
      <c r="B1824" s="7">
        <v>45210.051388888889</v>
      </c>
      <c r="C1824" s="6">
        <v>73</v>
      </c>
      <c r="D1824" s="6" t="s">
        <v>794</v>
      </c>
      <c r="E1824" s="8" t="str">
        <f>IFERROR(VLOOKUP(LOG_RESEAU[[#This Row],[Cell_ID]],Registre_Maintenance!A:B,2,FALSE),"Non trouvé")</f>
        <v>Tanganyika</v>
      </c>
      <c r="F1824" s="8">
        <f>IFERROR(VLOOKUP(LOG_RESEAU[[#This Row],[Cell_ID]],Registre_Maintenance!A:C,3,FALSE),"Non trouvé")</f>
        <v>-10.776204</v>
      </c>
      <c r="G1824" s="8">
        <f>IFERROR(VLOOKUP(LOG_RESEAU[[#This Row],[Cell_ID]],Registre_Maintenance!A:D,4,FALSE),"Non trouvé")</f>
        <v>24.672934000000001</v>
      </c>
      <c r="H1824" s="6" t="str">
        <f>IFERROR(VLOOKUP(LOG_RESEAU[[#This Row],[Cell_ID]],Registre_Maintenance!A:E,5,FALSE),"Non trouvé")</f>
        <v>4G</v>
      </c>
      <c r="I1824" s="6" t="str">
        <f>IFERROR(VLOOKUP(LOG_RESEAU[[#This Row],[Cell_ID]],Registre_Maintenance!A:F,6,FALSE),"Non trouvé")</f>
        <v>Ericsson</v>
      </c>
      <c r="J1824" s="6" t="str">
        <f t="shared" si="84"/>
        <v>OK</v>
      </c>
      <c r="K1824" s="6">
        <f t="shared" si="85"/>
        <v>3</v>
      </c>
      <c r="L1824" s="6">
        <f t="shared" si="86"/>
        <v>176</v>
      </c>
    </row>
    <row r="1825" spans="1:12" ht="15.75" x14ac:dyDescent="0.25">
      <c r="A1825" s="6" t="s">
        <v>1043</v>
      </c>
      <c r="B1825" s="7">
        <v>45228.853472222218</v>
      </c>
      <c r="C1825" s="6">
        <v>42</v>
      </c>
      <c r="D1825" s="6" t="s">
        <v>794</v>
      </c>
      <c r="E1825" s="8" t="str">
        <f>IFERROR(VLOOKUP(LOG_RESEAU[[#This Row],[Cell_ID]],Registre_Maintenance!A:B,2,FALSE),"Non trouvé")</f>
        <v>Tanganyika</v>
      </c>
      <c r="F1825" s="8">
        <f>IFERROR(VLOOKUP(LOG_RESEAU[[#This Row],[Cell_ID]],Registre_Maintenance!A:C,3,FALSE),"Non trouvé")</f>
        <v>-10.776204</v>
      </c>
      <c r="G1825" s="8">
        <f>IFERROR(VLOOKUP(LOG_RESEAU[[#This Row],[Cell_ID]],Registre_Maintenance!A:D,4,FALSE),"Non trouvé")</f>
        <v>24.672934000000001</v>
      </c>
      <c r="H1825" s="6" t="str">
        <f>IFERROR(VLOOKUP(LOG_RESEAU[[#This Row],[Cell_ID]],Registre_Maintenance!A:E,5,FALSE),"Non trouvé")</f>
        <v>4G</v>
      </c>
      <c r="I1825" s="6" t="str">
        <f>IFERROR(VLOOKUP(LOG_RESEAU[[#This Row],[Cell_ID]],Registre_Maintenance!A:F,6,FALSE),"Non trouvé")</f>
        <v>Ericsson</v>
      </c>
      <c r="J1825" s="6" t="str">
        <f t="shared" si="84"/>
        <v>OK</v>
      </c>
      <c r="K1825" s="6">
        <f t="shared" si="85"/>
        <v>3</v>
      </c>
      <c r="L1825" s="6">
        <f t="shared" si="86"/>
        <v>176</v>
      </c>
    </row>
    <row r="1826" spans="1:12" ht="15.75" x14ac:dyDescent="0.25">
      <c r="A1826" s="6" t="s">
        <v>1043</v>
      </c>
      <c r="B1826" s="7">
        <v>45214.43472222222</v>
      </c>
      <c r="C1826" s="6">
        <v>61</v>
      </c>
      <c r="D1826" s="6" t="s">
        <v>792</v>
      </c>
      <c r="E1826" s="8" t="str">
        <f>IFERROR(VLOOKUP(LOG_RESEAU[[#This Row],[Cell_ID]],Registre_Maintenance!A:B,2,FALSE),"Non trouvé")</f>
        <v>Tanganyika</v>
      </c>
      <c r="F1826" s="8">
        <f>IFERROR(VLOOKUP(LOG_RESEAU[[#This Row],[Cell_ID]],Registre_Maintenance!A:C,3,FALSE),"Non trouvé")</f>
        <v>-10.776204</v>
      </c>
      <c r="G1826" s="8">
        <f>IFERROR(VLOOKUP(LOG_RESEAU[[#This Row],[Cell_ID]],Registre_Maintenance!A:D,4,FALSE),"Non trouvé")</f>
        <v>24.672934000000001</v>
      </c>
      <c r="H1826" s="6" t="str">
        <f>IFERROR(VLOOKUP(LOG_RESEAU[[#This Row],[Cell_ID]],Registre_Maintenance!A:E,5,FALSE),"Non trouvé")</f>
        <v>4G</v>
      </c>
      <c r="I1826" s="6" t="str">
        <f>IFERROR(VLOOKUP(LOG_RESEAU[[#This Row],[Cell_ID]],Registre_Maintenance!A:F,6,FALSE),"Non trouvé")</f>
        <v>Ericsson</v>
      </c>
      <c r="J1826" s="6" t="str">
        <f t="shared" si="84"/>
        <v>OK</v>
      </c>
      <c r="K1826" s="6">
        <f t="shared" si="85"/>
        <v>3</v>
      </c>
      <c r="L1826" s="6">
        <f t="shared" si="86"/>
        <v>176</v>
      </c>
    </row>
    <row r="1827" spans="1:12" ht="15.75" x14ac:dyDescent="0.25">
      <c r="A1827" s="6" t="s">
        <v>1307</v>
      </c>
      <c r="B1827" s="7">
        <v>45208.194444444453</v>
      </c>
      <c r="C1827" s="6">
        <v>98</v>
      </c>
      <c r="D1827" s="6" t="s">
        <v>800</v>
      </c>
      <c r="E1827" s="8" t="str">
        <f>IFERROR(VLOOKUP(LOG_RESEAU[[#This Row],[Cell_ID]],Registre_Maintenance!A:B,2,FALSE),"Non trouvé")</f>
        <v>Non trouvé</v>
      </c>
      <c r="F1827" s="8" t="str">
        <f>IFERROR(VLOOKUP(LOG_RESEAU[[#This Row],[Cell_ID]],Registre_Maintenance!A:C,3,FALSE),"Non trouvé")</f>
        <v>Non trouvé</v>
      </c>
      <c r="G1827" s="8" t="str">
        <f>IFERROR(VLOOKUP(LOG_RESEAU[[#This Row],[Cell_ID]],Registre_Maintenance!A:D,4,FALSE),"Non trouvé")</f>
        <v>Non trouvé</v>
      </c>
      <c r="H1827" s="6" t="str">
        <f>IFERROR(VLOOKUP(LOG_RESEAU[[#This Row],[Cell_ID]],Registre_Maintenance!A:E,5,FALSE),"Non trouvé")</f>
        <v>Non trouvé</v>
      </c>
      <c r="I1827" s="6" t="str">
        <f>IFERROR(VLOOKUP(LOG_RESEAU[[#This Row],[Cell_ID]],Registre_Maintenance!A:F,6,FALSE),"Non trouvé")</f>
        <v>Non trouvé</v>
      </c>
      <c r="J1827" s="6" t="str">
        <f t="shared" si="84"/>
        <v>Antenne inconnue</v>
      </c>
      <c r="K1827" s="6">
        <f t="shared" si="85"/>
        <v>1</v>
      </c>
      <c r="L1827" s="6">
        <f t="shared" si="86"/>
        <v>98</v>
      </c>
    </row>
    <row r="1828" spans="1:12" ht="15.75" x14ac:dyDescent="0.25">
      <c r="A1828" s="6" t="s">
        <v>1118</v>
      </c>
      <c r="B1828" s="7">
        <v>45221.910416666673</v>
      </c>
      <c r="C1828" s="6">
        <v>60</v>
      </c>
      <c r="D1828" s="6" t="s">
        <v>800</v>
      </c>
      <c r="E1828" s="8" t="str">
        <f>IFERROR(VLOOKUP(LOG_RESEAU[[#This Row],[Cell_ID]],Registre_Maintenance!A:B,2,FALSE),"Non trouvé")</f>
        <v>Kasai-Central</v>
      </c>
      <c r="F1828" s="8">
        <f>IFERROR(VLOOKUP(LOG_RESEAU[[#This Row],[Cell_ID]],Registre_Maintenance!A:C,3,FALSE),"Non trouvé")</f>
        <v>-10.414493</v>
      </c>
      <c r="G1828" s="8">
        <f>IFERROR(VLOOKUP(LOG_RESEAU[[#This Row],[Cell_ID]],Registre_Maintenance!A:D,4,FALSE),"Non trouvé")</f>
        <v>12.333356999999999</v>
      </c>
      <c r="H1828" s="6" t="str">
        <f>IFERROR(VLOOKUP(LOG_RESEAU[[#This Row],[Cell_ID]],Registre_Maintenance!A:E,5,FALSE),"Non trouvé")</f>
        <v>3G</v>
      </c>
      <c r="I1828" s="6" t="str">
        <f>IFERROR(VLOOKUP(LOG_RESEAU[[#This Row],[Cell_ID]],Registre_Maintenance!A:F,6,FALSE),"Non trouvé")</f>
        <v>Ericsson</v>
      </c>
      <c r="J1828" s="6" t="str">
        <f t="shared" si="84"/>
        <v>OK</v>
      </c>
      <c r="K1828" s="6">
        <f t="shared" si="85"/>
        <v>4</v>
      </c>
      <c r="L1828" s="6">
        <f t="shared" si="86"/>
        <v>273</v>
      </c>
    </row>
    <row r="1829" spans="1:12" ht="15.75" x14ac:dyDescent="0.25">
      <c r="A1829" s="6" t="s">
        <v>1118</v>
      </c>
      <c r="B1829" s="7">
        <v>45204.81527777778</v>
      </c>
      <c r="C1829" s="6">
        <v>71</v>
      </c>
      <c r="D1829" s="6" t="s">
        <v>792</v>
      </c>
      <c r="E1829" s="8" t="str">
        <f>IFERROR(VLOOKUP(LOG_RESEAU[[#This Row],[Cell_ID]],Registre_Maintenance!A:B,2,FALSE),"Non trouvé")</f>
        <v>Kasai-Central</v>
      </c>
      <c r="F1829" s="8">
        <f>IFERROR(VLOOKUP(LOG_RESEAU[[#This Row],[Cell_ID]],Registre_Maintenance!A:C,3,FALSE),"Non trouvé")</f>
        <v>-10.414493</v>
      </c>
      <c r="G1829" s="8">
        <f>IFERROR(VLOOKUP(LOG_RESEAU[[#This Row],[Cell_ID]],Registre_Maintenance!A:D,4,FALSE),"Non trouvé")</f>
        <v>12.333356999999999</v>
      </c>
      <c r="H1829" s="6" t="str">
        <f>IFERROR(VLOOKUP(LOG_RESEAU[[#This Row],[Cell_ID]],Registre_Maintenance!A:E,5,FALSE),"Non trouvé")</f>
        <v>3G</v>
      </c>
      <c r="I1829" s="6" t="str">
        <f>IFERROR(VLOOKUP(LOG_RESEAU[[#This Row],[Cell_ID]],Registre_Maintenance!A:F,6,FALSE),"Non trouvé")</f>
        <v>Ericsson</v>
      </c>
      <c r="J1829" s="6" t="str">
        <f t="shared" si="84"/>
        <v>OK</v>
      </c>
      <c r="K1829" s="6">
        <f t="shared" si="85"/>
        <v>4</v>
      </c>
      <c r="L1829" s="6">
        <f t="shared" si="86"/>
        <v>273</v>
      </c>
    </row>
    <row r="1830" spans="1:12" ht="15.75" x14ac:dyDescent="0.25">
      <c r="A1830" s="6" t="s">
        <v>1118</v>
      </c>
      <c r="B1830" s="7">
        <v>45209.824305555558</v>
      </c>
      <c r="C1830" s="6">
        <v>93</v>
      </c>
      <c r="D1830" s="6" t="s">
        <v>792</v>
      </c>
      <c r="E1830" s="8" t="str">
        <f>IFERROR(VLOOKUP(LOG_RESEAU[[#This Row],[Cell_ID]],Registre_Maintenance!A:B,2,FALSE),"Non trouvé")</f>
        <v>Kasai-Central</v>
      </c>
      <c r="F1830" s="8">
        <f>IFERROR(VLOOKUP(LOG_RESEAU[[#This Row],[Cell_ID]],Registre_Maintenance!A:C,3,FALSE),"Non trouvé")</f>
        <v>-10.414493</v>
      </c>
      <c r="G1830" s="8">
        <f>IFERROR(VLOOKUP(LOG_RESEAU[[#This Row],[Cell_ID]],Registre_Maintenance!A:D,4,FALSE),"Non trouvé")</f>
        <v>12.333356999999999</v>
      </c>
      <c r="H1830" s="6" t="str">
        <f>IFERROR(VLOOKUP(LOG_RESEAU[[#This Row],[Cell_ID]],Registre_Maintenance!A:E,5,FALSE),"Non trouvé")</f>
        <v>3G</v>
      </c>
      <c r="I1830" s="6" t="str">
        <f>IFERROR(VLOOKUP(LOG_RESEAU[[#This Row],[Cell_ID]],Registre_Maintenance!A:F,6,FALSE),"Non trouvé")</f>
        <v>Ericsson</v>
      </c>
      <c r="J1830" s="6" t="str">
        <f t="shared" si="84"/>
        <v>OK</v>
      </c>
      <c r="K1830" s="6">
        <f t="shared" si="85"/>
        <v>4</v>
      </c>
      <c r="L1830" s="6">
        <f t="shared" si="86"/>
        <v>273</v>
      </c>
    </row>
    <row r="1831" spans="1:12" ht="15.75" x14ac:dyDescent="0.25">
      <c r="A1831" s="6" t="s">
        <v>1118</v>
      </c>
      <c r="B1831" s="7">
        <v>45203.250694444447</v>
      </c>
      <c r="C1831" s="6">
        <v>49</v>
      </c>
      <c r="D1831" s="6" t="s">
        <v>800</v>
      </c>
      <c r="E1831" s="8" t="str">
        <f>IFERROR(VLOOKUP(LOG_RESEAU[[#This Row],[Cell_ID]],Registre_Maintenance!A:B,2,FALSE),"Non trouvé")</f>
        <v>Kasai-Central</v>
      </c>
      <c r="F1831" s="8">
        <f>IFERROR(VLOOKUP(LOG_RESEAU[[#This Row],[Cell_ID]],Registre_Maintenance!A:C,3,FALSE),"Non trouvé")</f>
        <v>-10.414493</v>
      </c>
      <c r="G1831" s="8">
        <f>IFERROR(VLOOKUP(LOG_RESEAU[[#This Row],[Cell_ID]],Registre_Maintenance!A:D,4,FALSE),"Non trouvé")</f>
        <v>12.333356999999999</v>
      </c>
      <c r="H1831" s="6" t="str">
        <f>IFERROR(VLOOKUP(LOG_RESEAU[[#This Row],[Cell_ID]],Registre_Maintenance!A:E,5,FALSE),"Non trouvé")</f>
        <v>3G</v>
      </c>
      <c r="I1831" s="6" t="str">
        <f>IFERROR(VLOOKUP(LOG_RESEAU[[#This Row],[Cell_ID]],Registre_Maintenance!A:F,6,FALSE),"Non trouvé")</f>
        <v>Ericsson</v>
      </c>
      <c r="J1831" s="6" t="str">
        <f t="shared" si="84"/>
        <v>OK</v>
      </c>
      <c r="K1831" s="6">
        <f t="shared" si="85"/>
        <v>4</v>
      </c>
      <c r="L1831" s="6">
        <f t="shared" si="86"/>
        <v>273</v>
      </c>
    </row>
    <row r="1832" spans="1:12" ht="15.75" x14ac:dyDescent="0.25">
      <c r="A1832" s="6" t="s">
        <v>1459</v>
      </c>
      <c r="B1832" s="7">
        <v>45211.290277777778</v>
      </c>
      <c r="C1832" s="6">
        <v>73</v>
      </c>
      <c r="D1832" s="6" t="s">
        <v>792</v>
      </c>
      <c r="E1832" s="8" t="str">
        <f>IFERROR(VLOOKUP(LOG_RESEAU[[#This Row],[Cell_ID]],Registre_Maintenance!A:B,2,FALSE),"Non trouvé")</f>
        <v>Non trouvé</v>
      </c>
      <c r="F1832" s="8" t="str">
        <f>IFERROR(VLOOKUP(LOG_RESEAU[[#This Row],[Cell_ID]],Registre_Maintenance!A:C,3,FALSE),"Non trouvé")</f>
        <v>Non trouvé</v>
      </c>
      <c r="G1832" s="8" t="str">
        <f>IFERROR(VLOOKUP(LOG_RESEAU[[#This Row],[Cell_ID]],Registre_Maintenance!A:D,4,FALSE),"Non trouvé")</f>
        <v>Non trouvé</v>
      </c>
      <c r="H1832" s="6" t="str">
        <f>IFERROR(VLOOKUP(LOG_RESEAU[[#This Row],[Cell_ID]],Registre_Maintenance!A:E,5,FALSE),"Non trouvé")</f>
        <v>Non trouvé</v>
      </c>
      <c r="I1832" s="6" t="str">
        <f>IFERROR(VLOOKUP(LOG_RESEAU[[#This Row],[Cell_ID]],Registre_Maintenance!A:F,6,FALSE),"Non trouvé")</f>
        <v>Non trouvé</v>
      </c>
      <c r="J1832" s="6" t="str">
        <f t="shared" si="84"/>
        <v>Antenne inconnue</v>
      </c>
      <c r="K1832" s="6">
        <f t="shared" si="85"/>
        <v>2</v>
      </c>
      <c r="L1832" s="6">
        <f t="shared" si="86"/>
        <v>147</v>
      </c>
    </row>
    <row r="1833" spans="1:12" ht="15.75" x14ac:dyDescent="0.25">
      <c r="A1833" s="6" t="s">
        <v>1459</v>
      </c>
      <c r="B1833" s="7">
        <v>45210.24722222222</v>
      </c>
      <c r="C1833" s="6">
        <v>74</v>
      </c>
      <c r="D1833" s="6" t="s">
        <v>794</v>
      </c>
      <c r="E1833" s="8" t="str">
        <f>IFERROR(VLOOKUP(LOG_RESEAU[[#This Row],[Cell_ID]],Registre_Maintenance!A:B,2,FALSE),"Non trouvé")</f>
        <v>Non trouvé</v>
      </c>
      <c r="F1833" s="8" t="str">
        <f>IFERROR(VLOOKUP(LOG_RESEAU[[#This Row],[Cell_ID]],Registre_Maintenance!A:C,3,FALSE),"Non trouvé")</f>
        <v>Non trouvé</v>
      </c>
      <c r="G1833" s="8" t="str">
        <f>IFERROR(VLOOKUP(LOG_RESEAU[[#This Row],[Cell_ID]],Registre_Maintenance!A:D,4,FALSE),"Non trouvé")</f>
        <v>Non trouvé</v>
      </c>
      <c r="H1833" s="6" t="str">
        <f>IFERROR(VLOOKUP(LOG_RESEAU[[#This Row],[Cell_ID]],Registre_Maintenance!A:E,5,FALSE),"Non trouvé")</f>
        <v>Non trouvé</v>
      </c>
      <c r="I1833" s="6" t="str">
        <f>IFERROR(VLOOKUP(LOG_RESEAU[[#This Row],[Cell_ID]],Registre_Maintenance!A:F,6,FALSE),"Non trouvé")</f>
        <v>Non trouvé</v>
      </c>
      <c r="J1833" s="6" t="str">
        <f t="shared" si="84"/>
        <v>Antenne inconnue</v>
      </c>
      <c r="K1833" s="6">
        <f t="shared" si="85"/>
        <v>2</v>
      </c>
      <c r="L1833" s="6">
        <f t="shared" si="86"/>
        <v>147</v>
      </c>
    </row>
    <row r="1834" spans="1:12" ht="15.75" x14ac:dyDescent="0.25">
      <c r="A1834" s="6" t="s">
        <v>1072</v>
      </c>
      <c r="B1834" s="7">
        <v>45227.211111111108</v>
      </c>
      <c r="C1834" s="6">
        <v>38</v>
      </c>
      <c r="D1834" s="6" t="s">
        <v>794</v>
      </c>
      <c r="E1834" s="8" t="str">
        <f>IFERROR(VLOOKUP(LOG_RESEAU[[#This Row],[Cell_ID]],Registre_Maintenance!A:B,2,FALSE),"Non trouvé")</f>
        <v>Non trouvé</v>
      </c>
      <c r="F1834" s="8" t="str">
        <f>IFERROR(VLOOKUP(LOG_RESEAU[[#This Row],[Cell_ID]],Registre_Maintenance!A:C,3,FALSE),"Non trouvé")</f>
        <v>Non trouvé</v>
      </c>
      <c r="G1834" s="8" t="str">
        <f>IFERROR(VLOOKUP(LOG_RESEAU[[#This Row],[Cell_ID]],Registre_Maintenance!A:D,4,FALSE),"Non trouvé")</f>
        <v>Non trouvé</v>
      </c>
      <c r="H1834" s="6" t="str">
        <f>IFERROR(VLOOKUP(LOG_RESEAU[[#This Row],[Cell_ID]],Registre_Maintenance!A:E,5,FALSE),"Non trouvé")</f>
        <v>Non trouvé</v>
      </c>
      <c r="I1834" s="6" t="str">
        <f>IFERROR(VLOOKUP(LOG_RESEAU[[#This Row],[Cell_ID]],Registre_Maintenance!A:F,6,FALSE),"Non trouvé")</f>
        <v>Non trouvé</v>
      </c>
      <c r="J1834" s="6" t="str">
        <f t="shared" si="84"/>
        <v>Antenne inconnue</v>
      </c>
      <c r="K1834" s="6">
        <f t="shared" si="85"/>
        <v>1</v>
      </c>
      <c r="L1834" s="6">
        <f t="shared" si="86"/>
        <v>38</v>
      </c>
    </row>
    <row r="1835" spans="1:12" ht="15.75" x14ac:dyDescent="0.25">
      <c r="A1835" s="6" t="s">
        <v>1426</v>
      </c>
      <c r="B1835" s="7">
        <v>45226.163194444453</v>
      </c>
      <c r="C1835" s="6">
        <v>36</v>
      </c>
      <c r="D1835" s="6" t="s">
        <v>800</v>
      </c>
      <c r="E1835" s="8" t="str">
        <f>IFERROR(VLOOKUP(LOG_RESEAU[[#This Row],[Cell_ID]],Registre_Maintenance!A:B,2,FALSE),"Non trouvé")</f>
        <v>Non trouvé</v>
      </c>
      <c r="F1835" s="8" t="str">
        <f>IFERROR(VLOOKUP(LOG_RESEAU[[#This Row],[Cell_ID]],Registre_Maintenance!A:C,3,FALSE),"Non trouvé")</f>
        <v>Non trouvé</v>
      </c>
      <c r="G1835" s="8" t="str">
        <f>IFERROR(VLOOKUP(LOG_RESEAU[[#This Row],[Cell_ID]],Registre_Maintenance!A:D,4,FALSE),"Non trouvé")</f>
        <v>Non trouvé</v>
      </c>
      <c r="H1835" s="6" t="str">
        <f>IFERROR(VLOOKUP(LOG_RESEAU[[#This Row],[Cell_ID]],Registre_Maintenance!A:E,5,FALSE),"Non trouvé")</f>
        <v>Non trouvé</v>
      </c>
      <c r="I1835" s="6" t="str">
        <f>IFERROR(VLOOKUP(LOG_RESEAU[[#This Row],[Cell_ID]],Registre_Maintenance!A:F,6,FALSE),"Non trouvé")</f>
        <v>Non trouvé</v>
      </c>
      <c r="J1835" s="6" t="str">
        <f t="shared" si="84"/>
        <v>Antenne inconnue</v>
      </c>
      <c r="K1835" s="6">
        <f t="shared" si="85"/>
        <v>1</v>
      </c>
      <c r="L1835" s="6">
        <f t="shared" si="86"/>
        <v>36</v>
      </c>
    </row>
    <row r="1836" spans="1:12" ht="15.75" x14ac:dyDescent="0.25">
      <c r="A1836" s="6" t="s">
        <v>1511</v>
      </c>
      <c r="B1836" s="7">
        <v>45225.779861111107</v>
      </c>
      <c r="C1836" s="6">
        <v>69</v>
      </c>
      <c r="D1836" s="6" t="s">
        <v>800</v>
      </c>
      <c r="E1836" s="8" t="str">
        <f>IFERROR(VLOOKUP(LOG_RESEAU[[#This Row],[Cell_ID]],Registre_Maintenance!A:B,2,FALSE),"Non trouvé")</f>
        <v>Non trouvé</v>
      </c>
      <c r="F1836" s="8" t="str">
        <f>IFERROR(VLOOKUP(LOG_RESEAU[[#This Row],[Cell_ID]],Registre_Maintenance!A:C,3,FALSE),"Non trouvé")</f>
        <v>Non trouvé</v>
      </c>
      <c r="G1836" s="8" t="str">
        <f>IFERROR(VLOOKUP(LOG_RESEAU[[#This Row],[Cell_ID]],Registre_Maintenance!A:D,4,FALSE),"Non trouvé")</f>
        <v>Non trouvé</v>
      </c>
      <c r="H1836" s="6" t="str">
        <f>IFERROR(VLOOKUP(LOG_RESEAU[[#This Row],[Cell_ID]],Registre_Maintenance!A:E,5,FALSE),"Non trouvé")</f>
        <v>Non trouvé</v>
      </c>
      <c r="I1836" s="6" t="str">
        <f>IFERROR(VLOOKUP(LOG_RESEAU[[#This Row],[Cell_ID]],Registre_Maintenance!A:F,6,FALSE),"Non trouvé")</f>
        <v>Non trouvé</v>
      </c>
      <c r="J1836" s="6" t="str">
        <f t="shared" si="84"/>
        <v>Antenne inconnue</v>
      </c>
      <c r="K1836" s="6">
        <f t="shared" si="85"/>
        <v>1</v>
      </c>
      <c r="L1836" s="6">
        <f t="shared" si="86"/>
        <v>69</v>
      </c>
    </row>
    <row r="1837" spans="1:12" ht="15.75" x14ac:dyDescent="0.25">
      <c r="A1837" s="6" t="s">
        <v>1087</v>
      </c>
      <c r="B1837" s="7">
        <v>45210.568055555559</v>
      </c>
      <c r="C1837" s="6">
        <v>96</v>
      </c>
      <c r="D1837" s="6" t="s">
        <v>794</v>
      </c>
      <c r="E1837" s="8" t="str">
        <f>IFERROR(VLOOKUP(LOG_RESEAU[[#This Row],[Cell_ID]],Registre_Maintenance!A:B,2,FALSE),"Non trouvé")</f>
        <v>Kinshasa</v>
      </c>
      <c r="F1837" s="8">
        <f>IFERROR(VLOOKUP(LOG_RESEAU[[#This Row],[Cell_ID]],Registre_Maintenance!A:C,3,FALSE),"Non trouvé")</f>
        <v>-5.4126279999999998</v>
      </c>
      <c r="G1837" s="8">
        <f>IFERROR(VLOOKUP(LOG_RESEAU[[#This Row],[Cell_ID]],Registre_Maintenance!A:D,4,FALSE),"Non trouvé")</f>
        <v>25.498235999999999</v>
      </c>
      <c r="H1837" s="6" t="str">
        <f>IFERROR(VLOOKUP(LOG_RESEAU[[#This Row],[Cell_ID]],Registre_Maintenance!A:E,5,FALSE),"Non trouvé")</f>
        <v>5G</v>
      </c>
      <c r="I1837" s="6" t="str">
        <f>IFERROR(VLOOKUP(LOG_RESEAU[[#This Row],[Cell_ID]],Registre_Maintenance!A:F,6,FALSE),"Non trouvé")</f>
        <v>ZTE</v>
      </c>
      <c r="J1837" s="6" t="str">
        <f t="shared" si="84"/>
        <v>OK</v>
      </c>
      <c r="K1837" s="6">
        <f t="shared" si="85"/>
        <v>1</v>
      </c>
      <c r="L1837" s="6">
        <f t="shared" si="86"/>
        <v>96</v>
      </c>
    </row>
    <row r="1838" spans="1:12" ht="15.75" x14ac:dyDescent="0.25">
      <c r="A1838" s="6" t="s">
        <v>1091</v>
      </c>
      <c r="B1838" s="7">
        <v>45229.738194444442</v>
      </c>
      <c r="C1838" s="6">
        <v>36</v>
      </c>
      <c r="D1838" s="6" t="s">
        <v>800</v>
      </c>
      <c r="E1838" s="8" t="str">
        <f>IFERROR(VLOOKUP(LOG_RESEAU[[#This Row],[Cell_ID]],Registre_Maintenance!A:B,2,FALSE),"Non trouvé")</f>
        <v>Lomami</v>
      </c>
      <c r="F1838" s="8">
        <f>IFERROR(VLOOKUP(LOG_RESEAU[[#This Row],[Cell_ID]],Registre_Maintenance!A:C,3,FALSE),"Non trouvé")</f>
        <v>-11.218453999999999</v>
      </c>
      <c r="G1838" s="8">
        <f>IFERROR(VLOOKUP(LOG_RESEAU[[#This Row],[Cell_ID]],Registre_Maintenance!A:D,4,FALSE),"Non trouvé")</f>
        <v>28.230025000000001</v>
      </c>
      <c r="H1838" s="6" t="str">
        <f>IFERROR(VLOOKUP(LOG_RESEAU[[#This Row],[Cell_ID]],Registre_Maintenance!A:E,5,FALSE),"Non trouvé")</f>
        <v>5G</v>
      </c>
      <c r="I1838" s="6" t="str">
        <f>IFERROR(VLOOKUP(LOG_RESEAU[[#This Row],[Cell_ID]],Registre_Maintenance!A:F,6,FALSE),"Non trouvé")</f>
        <v>ZTE</v>
      </c>
      <c r="J1838" s="6" t="str">
        <f t="shared" si="84"/>
        <v>OK</v>
      </c>
      <c r="K1838" s="6">
        <f t="shared" si="85"/>
        <v>2</v>
      </c>
      <c r="L1838" s="6">
        <f t="shared" si="86"/>
        <v>155</v>
      </c>
    </row>
    <row r="1839" spans="1:12" ht="15.75" x14ac:dyDescent="0.25">
      <c r="A1839" s="6" t="s">
        <v>1091</v>
      </c>
      <c r="B1839" s="7">
        <v>45214.684027777781</v>
      </c>
      <c r="C1839" s="6">
        <v>119</v>
      </c>
      <c r="D1839" s="6" t="s">
        <v>792</v>
      </c>
      <c r="E1839" s="8" t="str">
        <f>IFERROR(VLOOKUP(LOG_RESEAU[[#This Row],[Cell_ID]],Registre_Maintenance!A:B,2,FALSE),"Non trouvé")</f>
        <v>Lomami</v>
      </c>
      <c r="F1839" s="8">
        <f>IFERROR(VLOOKUP(LOG_RESEAU[[#This Row],[Cell_ID]],Registre_Maintenance!A:C,3,FALSE),"Non trouvé")</f>
        <v>-11.218453999999999</v>
      </c>
      <c r="G1839" s="8">
        <f>IFERROR(VLOOKUP(LOG_RESEAU[[#This Row],[Cell_ID]],Registre_Maintenance!A:D,4,FALSE),"Non trouvé")</f>
        <v>28.230025000000001</v>
      </c>
      <c r="H1839" s="6" t="str">
        <f>IFERROR(VLOOKUP(LOG_RESEAU[[#This Row],[Cell_ID]],Registre_Maintenance!A:E,5,FALSE),"Non trouvé")</f>
        <v>5G</v>
      </c>
      <c r="I1839" s="6" t="str">
        <f>IFERROR(VLOOKUP(LOG_RESEAU[[#This Row],[Cell_ID]],Registre_Maintenance!A:F,6,FALSE),"Non trouvé")</f>
        <v>ZTE</v>
      </c>
      <c r="J1839" s="6" t="str">
        <f t="shared" si="84"/>
        <v>OK</v>
      </c>
      <c r="K1839" s="6">
        <f t="shared" si="85"/>
        <v>2</v>
      </c>
      <c r="L1839" s="6">
        <f t="shared" si="86"/>
        <v>155</v>
      </c>
    </row>
    <row r="1840" spans="1:12" ht="15.75" x14ac:dyDescent="0.25">
      <c r="A1840" s="6" t="s">
        <v>1438</v>
      </c>
      <c r="B1840" s="7">
        <v>45216.460416666669</v>
      </c>
      <c r="C1840" s="6">
        <v>36</v>
      </c>
      <c r="D1840" s="6" t="s">
        <v>792</v>
      </c>
      <c r="E1840" s="8" t="str">
        <f>IFERROR(VLOOKUP(LOG_RESEAU[[#This Row],[Cell_ID]],Registre_Maintenance!A:B,2,FALSE),"Non trouvé")</f>
        <v>Nord-Kivu</v>
      </c>
      <c r="F1840" s="8">
        <f>IFERROR(VLOOKUP(LOG_RESEAU[[#This Row],[Cell_ID]],Registre_Maintenance!A:C,3,FALSE),"Non trouvé")</f>
        <v>-11.231472</v>
      </c>
      <c r="G1840" s="8">
        <f>IFERROR(VLOOKUP(LOG_RESEAU[[#This Row],[Cell_ID]],Registre_Maintenance!A:D,4,FALSE),"Non trouvé")</f>
        <v>25.388874000000001</v>
      </c>
      <c r="H1840" s="6" t="str">
        <f>IFERROR(VLOOKUP(LOG_RESEAU[[#This Row],[Cell_ID]],Registre_Maintenance!A:E,5,FALSE),"Non trouvé")</f>
        <v>4G</v>
      </c>
      <c r="I1840" s="6" t="str">
        <f>IFERROR(VLOOKUP(LOG_RESEAU[[#This Row],[Cell_ID]],Registre_Maintenance!A:F,6,FALSE),"Non trouvé")</f>
        <v>Huawei</v>
      </c>
      <c r="J1840" s="6" t="str">
        <f t="shared" si="84"/>
        <v>OK</v>
      </c>
      <c r="K1840" s="6">
        <f t="shared" si="85"/>
        <v>1</v>
      </c>
      <c r="L1840" s="6">
        <f t="shared" si="86"/>
        <v>36</v>
      </c>
    </row>
    <row r="1841" spans="1:12" ht="15.75" x14ac:dyDescent="0.25">
      <c r="A1841" s="6" t="s">
        <v>1098</v>
      </c>
      <c r="B1841" s="7">
        <v>45209.679861111108</v>
      </c>
      <c r="C1841" s="6">
        <v>115</v>
      </c>
      <c r="D1841" s="6" t="s">
        <v>792</v>
      </c>
      <c r="E1841" s="8" t="str">
        <f>IFERROR(VLOOKUP(LOG_RESEAU[[#This Row],[Cell_ID]],Registre_Maintenance!A:B,2,FALSE),"Non trouvé")</f>
        <v>Non trouvé</v>
      </c>
      <c r="F1841" s="8" t="str">
        <f>IFERROR(VLOOKUP(LOG_RESEAU[[#This Row],[Cell_ID]],Registre_Maintenance!A:C,3,FALSE),"Non trouvé")</f>
        <v>Non trouvé</v>
      </c>
      <c r="G1841" s="8" t="str">
        <f>IFERROR(VLOOKUP(LOG_RESEAU[[#This Row],[Cell_ID]],Registre_Maintenance!A:D,4,FALSE),"Non trouvé")</f>
        <v>Non trouvé</v>
      </c>
      <c r="H1841" s="6" t="str">
        <f>IFERROR(VLOOKUP(LOG_RESEAU[[#This Row],[Cell_ID]],Registre_Maintenance!A:E,5,FALSE),"Non trouvé")</f>
        <v>Non trouvé</v>
      </c>
      <c r="I1841" s="6" t="str">
        <f>IFERROR(VLOOKUP(LOG_RESEAU[[#This Row],[Cell_ID]],Registre_Maintenance!A:F,6,FALSE),"Non trouvé")</f>
        <v>Non trouvé</v>
      </c>
      <c r="J1841" s="6" t="str">
        <f t="shared" si="84"/>
        <v>Antenne inconnue</v>
      </c>
      <c r="K1841" s="6">
        <f t="shared" si="85"/>
        <v>2</v>
      </c>
      <c r="L1841" s="6">
        <f t="shared" si="86"/>
        <v>213</v>
      </c>
    </row>
    <row r="1842" spans="1:12" ht="15.75" x14ac:dyDescent="0.25">
      <c r="A1842" s="6" t="s">
        <v>1098</v>
      </c>
      <c r="B1842" s="7">
        <v>45228.01458333333</v>
      </c>
      <c r="C1842" s="6">
        <v>98</v>
      </c>
      <c r="D1842" s="6" t="s">
        <v>794</v>
      </c>
      <c r="E1842" s="8" t="str">
        <f>IFERROR(VLOOKUP(LOG_RESEAU[[#This Row],[Cell_ID]],Registre_Maintenance!A:B,2,FALSE),"Non trouvé")</f>
        <v>Non trouvé</v>
      </c>
      <c r="F1842" s="8" t="str">
        <f>IFERROR(VLOOKUP(LOG_RESEAU[[#This Row],[Cell_ID]],Registre_Maintenance!A:C,3,FALSE),"Non trouvé")</f>
        <v>Non trouvé</v>
      </c>
      <c r="G1842" s="8" t="str">
        <f>IFERROR(VLOOKUP(LOG_RESEAU[[#This Row],[Cell_ID]],Registre_Maintenance!A:D,4,FALSE),"Non trouvé")</f>
        <v>Non trouvé</v>
      </c>
      <c r="H1842" s="6" t="str">
        <f>IFERROR(VLOOKUP(LOG_RESEAU[[#This Row],[Cell_ID]],Registre_Maintenance!A:E,5,FALSE),"Non trouvé")</f>
        <v>Non trouvé</v>
      </c>
      <c r="I1842" s="6" t="str">
        <f>IFERROR(VLOOKUP(LOG_RESEAU[[#This Row],[Cell_ID]],Registre_Maintenance!A:F,6,FALSE),"Non trouvé")</f>
        <v>Non trouvé</v>
      </c>
      <c r="J1842" s="6" t="str">
        <f t="shared" si="84"/>
        <v>Antenne inconnue</v>
      </c>
      <c r="K1842" s="6">
        <f t="shared" si="85"/>
        <v>2</v>
      </c>
      <c r="L1842" s="6">
        <f t="shared" si="86"/>
        <v>213</v>
      </c>
    </row>
    <row r="1843" spans="1:12" ht="15.75" x14ac:dyDescent="0.25">
      <c r="A1843" s="6" t="s">
        <v>1421</v>
      </c>
      <c r="B1843" s="7">
        <v>45205.336805555547</v>
      </c>
      <c r="C1843" s="6">
        <v>119</v>
      </c>
      <c r="D1843" s="6" t="s">
        <v>792</v>
      </c>
      <c r="E1843" s="8" t="str">
        <f>IFERROR(VLOOKUP(LOG_RESEAU[[#This Row],[Cell_ID]],Registre_Maintenance!A:B,2,FALSE),"Non trouvé")</f>
        <v>Non trouvé</v>
      </c>
      <c r="F1843" s="8" t="str">
        <f>IFERROR(VLOOKUP(LOG_RESEAU[[#This Row],[Cell_ID]],Registre_Maintenance!A:C,3,FALSE),"Non trouvé")</f>
        <v>Non trouvé</v>
      </c>
      <c r="G1843" s="8" t="str">
        <f>IFERROR(VLOOKUP(LOG_RESEAU[[#This Row],[Cell_ID]],Registre_Maintenance!A:D,4,FALSE),"Non trouvé")</f>
        <v>Non trouvé</v>
      </c>
      <c r="H1843" s="6" t="str">
        <f>IFERROR(VLOOKUP(LOG_RESEAU[[#This Row],[Cell_ID]],Registre_Maintenance!A:E,5,FALSE),"Non trouvé")</f>
        <v>Non trouvé</v>
      </c>
      <c r="I1843" s="6" t="str">
        <f>IFERROR(VLOOKUP(LOG_RESEAU[[#This Row],[Cell_ID]],Registre_Maintenance!A:F,6,FALSE),"Non trouvé")</f>
        <v>Non trouvé</v>
      </c>
      <c r="J1843" s="6" t="str">
        <f t="shared" si="84"/>
        <v>Antenne inconnue</v>
      </c>
      <c r="K1843" s="6">
        <f t="shared" si="85"/>
        <v>1</v>
      </c>
      <c r="L1843" s="6">
        <f t="shared" si="86"/>
        <v>119</v>
      </c>
    </row>
    <row r="1844" spans="1:12" ht="15.75" x14ac:dyDescent="0.25">
      <c r="A1844" s="6" t="s">
        <v>1213</v>
      </c>
      <c r="B1844" s="7">
        <v>45203.652083333327</v>
      </c>
      <c r="C1844" s="6">
        <v>65</v>
      </c>
      <c r="D1844" s="6" t="s">
        <v>792</v>
      </c>
      <c r="E1844" s="8" t="str">
        <f>IFERROR(VLOOKUP(LOG_RESEAU[[#This Row],[Cell_ID]],Registre_Maintenance!A:B,2,FALSE),"Non trouvé")</f>
        <v>Haut-Katanga</v>
      </c>
      <c r="F1844" s="8">
        <f>IFERROR(VLOOKUP(LOG_RESEAU[[#This Row],[Cell_ID]],Registre_Maintenance!A:C,3,FALSE),"Non trouvé")</f>
        <v>2.016505</v>
      </c>
      <c r="G1844" s="8">
        <f>IFERROR(VLOOKUP(LOG_RESEAU[[#This Row],[Cell_ID]],Registre_Maintenance!A:D,4,FALSE),"Non trouvé")</f>
        <v>14.294164</v>
      </c>
      <c r="H1844" s="6" t="str">
        <f>IFERROR(VLOOKUP(LOG_RESEAU[[#This Row],[Cell_ID]],Registre_Maintenance!A:E,5,FALSE),"Non trouvé")</f>
        <v>5G</v>
      </c>
      <c r="I1844" s="6" t="str">
        <f>IFERROR(VLOOKUP(LOG_RESEAU[[#This Row],[Cell_ID]],Registre_Maintenance!A:F,6,FALSE),"Non trouvé")</f>
        <v>Huawei</v>
      </c>
      <c r="J1844" s="6" t="str">
        <f t="shared" si="84"/>
        <v>OK</v>
      </c>
      <c r="K1844" s="6">
        <f t="shared" si="85"/>
        <v>2</v>
      </c>
      <c r="L1844" s="6">
        <f t="shared" si="86"/>
        <v>138</v>
      </c>
    </row>
    <row r="1845" spans="1:12" ht="15.75" x14ac:dyDescent="0.25">
      <c r="A1845" s="6" t="s">
        <v>1213</v>
      </c>
      <c r="B1845" s="7">
        <v>45207.955555555563</v>
      </c>
      <c r="C1845" s="6">
        <v>73</v>
      </c>
      <c r="D1845" s="6" t="s">
        <v>800</v>
      </c>
      <c r="E1845" s="8" t="str">
        <f>IFERROR(VLOOKUP(LOG_RESEAU[[#This Row],[Cell_ID]],Registre_Maintenance!A:B,2,FALSE),"Non trouvé")</f>
        <v>Haut-Katanga</v>
      </c>
      <c r="F1845" s="8">
        <f>IFERROR(VLOOKUP(LOG_RESEAU[[#This Row],[Cell_ID]],Registre_Maintenance!A:C,3,FALSE),"Non trouvé")</f>
        <v>2.016505</v>
      </c>
      <c r="G1845" s="8">
        <f>IFERROR(VLOOKUP(LOG_RESEAU[[#This Row],[Cell_ID]],Registre_Maintenance!A:D,4,FALSE),"Non trouvé")</f>
        <v>14.294164</v>
      </c>
      <c r="H1845" s="6" t="str">
        <f>IFERROR(VLOOKUP(LOG_RESEAU[[#This Row],[Cell_ID]],Registre_Maintenance!A:E,5,FALSE),"Non trouvé")</f>
        <v>5G</v>
      </c>
      <c r="I1845" s="6" t="str">
        <f>IFERROR(VLOOKUP(LOG_RESEAU[[#This Row],[Cell_ID]],Registre_Maintenance!A:F,6,FALSE),"Non trouvé")</f>
        <v>Huawei</v>
      </c>
      <c r="J1845" s="6" t="str">
        <f t="shared" si="84"/>
        <v>OK</v>
      </c>
      <c r="K1845" s="6">
        <f t="shared" si="85"/>
        <v>2</v>
      </c>
      <c r="L1845" s="6">
        <f t="shared" si="86"/>
        <v>138</v>
      </c>
    </row>
    <row r="1846" spans="1:12" ht="15.75" x14ac:dyDescent="0.25">
      <c r="A1846" s="6" t="s">
        <v>1492</v>
      </c>
      <c r="B1846" s="7">
        <v>45209.01666666667</v>
      </c>
      <c r="C1846" s="6">
        <v>43</v>
      </c>
      <c r="D1846" s="6" t="s">
        <v>794</v>
      </c>
      <c r="E1846" s="8" t="str">
        <f>IFERROR(VLOOKUP(LOG_RESEAU[[#This Row],[Cell_ID]],Registre_Maintenance!A:B,2,FALSE),"Non trouvé")</f>
        <v>Non trouvé</v>
      </c>
      <c r="F1846" s="8" t="str">
        <f>IFERROR(VLOOKUP(LOG_RESEAU[[#This Row],[Cell_ID]],Registre_Maintenance!A:C,3,FALSE),"Non trouvé")</f>
        <v>Non trouvé</v>
      </c>
      <c r="G1846" s="8" t="str">
        <f>IFERROR(VLOOKUP(LOG_RESEAU[[#This Row],[Cell_ID]],Registre_Maintenance!A:D,4,FALSE),"Non trouvé")</f>
        <v>Non trouvé</v>
      </c>
      <c r="H1846" s="6" t="str">
        <f>IFERROR(VLOOKUP(LOG_RESEAU[[#This Row],[Cell_ID]],Registre_Maintenance!A:E,5,FALSE),"Non trouvé")</f>
        <v>Non trouvé</v>
      </c>
      <c r="I1846" s="6" t="str">
        <f>IFERROR(VLOOKUP(LOG_RESEAU[[#This Row],[Cell_ID]],Registre_Maintenance!A:F,6,FALSE),"Non trouvé")</f>
        <v>Non trouvé</v>
      </c>
      <c r="J1846" s="6" t="str">
        <f t="shared" si="84"/>
        <v>Antenne inconnue</v>
      </c>
      <c r="K1846" s="6">
        <f t="shared" si="85"/>
        <v>1</v>
      </c>
      <c r="L1846" s="6">
        <f t="shared" si="86"/>
        <v>43</v>
      </c>
    </row>
    <row r="1847" spans="1:12" ht="15.75" x14ac:dyDescent="0.25">
      <c r="A1847" s="6" t="s">
        <v>1480</v>
      </c>
      <c r="B1847" s="7">
        <v>45221.388194444437</v>
      </c>
      <c r="C1847" s="6">
        <v>64</v>
      </c>
      <c r="D1847" s="6" t="s">
        <v>800</v>
      </c>
      <c r="E1847" s="8" t="str">
        <f>IFERROR(VLOOKUP(LOG_RESEAU[[#This Row],[Cell_ID]],Registre_Maintenance!A:B,2,FALSE),"Non trouvé")</f>
        <v>Tshopo</v>
      </c>
      <c r="F1847" s="8">
        <f>IFERROR(VLOOKUP(LOG_RESEAU[[#This Row],[Cell_ID]],Registre_Maintenance!A:C,3,FALSE),"Non trouvé")</f>
        <v>-12.070842000000001</v>
      </c>
      <c r="G1847" s="8">
        <f>IFERROR(VLOOKUP(LOG_RESEAU[[#This Row],[Cell_ID]],Registre_Maintenance!A:D,4,FALSE),"Non trouvé")</f>
        <v>14.757847</v>
      </c>
      <c r="H1847" s="6" t="str">
        <f>IFERROR(VLOOKUP(LOG_RESEAU[[#This Row],[Cell_ID]],Registre_Maintenance!A:E,5,FALSE),"Non trouvé")</f>
        <v>4G</v>
      </c>
      <c r="I1847" s="6" t="str">
        <f>IFERROR(VLOOKUP(LOG_RESEAU[[#This Row],[Cell_ID]],Registre_Maintenance!A:F,6,FALSE),"Non trouvé")</f>
        <v>ZTE</v>
      </c>
      <c r="J1847" s="6" t="str">
        <f t="shared" si="84"/>
        <v>OK</v>
      </c>
      <c r="K1847" s="6">
        <f t="shared" si="85"/>
        <v>1</v>
      </c>
      <c r="L1847" s="6">
        <f t="shared" si="86"/>
        <v>64</v>
      </c>
    </row>
    <row r="1848" spans="1:12" ht="15.75" x14ac:dyDescent="0.25">
      <c r="A1848" s="6" t="s">
        <v>1299</v>
      </c>
      <c r="B1848" s="7">
        <v>45213.577777777777</v>
      </c>
      <c r="C1848" s="6">
        <v>93</v>
      </c>
      <c r="D1848" s="6" t="s">
        <v>800</v>
      </c>
      <c r="E1848" s="8" t="str">
        <f>IFERROR(VLOOKUP(LOG_RESEAU[[#This Row],[Cell_ID]],Registre_Maintenance!A:B,2,FALSE),"Non trouvé")</f>
        <v>Non trouvé</v>
      </c>
      <c r="F1848" s="8" t="str">
        <f>IFERROR(VLOOKUP(LOG_RESEAU[[#This Row],[Cell_ID]],Registre_Maintenance!A:C,3,FALSE),"Non trouvé")</f>
        <v>Non trouvé</v>
      </c>
      <c r="G1848" s="8" t="str">
        <f>IFERROR(VLOOKUP(LOG_RESEAU[[#This Row],[Cell_ID]],Registre_Maintenance!A:D,4,FALSE),"Non trouvé")</f>
        <v>Non trouvé</v>
      </c>
      <c r="H1848" s="6" t="str">
        <f>IFERROR(VLOOKUP(LOG_RESEAU[[#This Row],[Cell_ID]],Registre_Maintenance!A:E,5,FALSE),"Non trouvé")</f>
        <v>Non trouvé</v>
      </c>
      <c r="I1848" s="6" t="str">
        <f>IFERROR(VLOOKUP(LOG_RESEAU[[#This Row],[Cell_ID]],Registre_Maintenance!A:F,6,FALSE),"Non trouvé")</f>
        <v>Non trouvé</v>
      </c>
      <c r="J1848" s="6" t="str">
        <f t="shared" si="84"/>
        <v>Antenne inconnue</v>
      </c>
      <c r="K1848" s="6">
        <f t="shared" si="85"/>
        <v>1</v>
      </c>
      <c r="L1848" s="6">
        <f t="shared" si="86"/>
        <v>93</v>
      </c>
    </row>
    <row r="1849" spans="1:12" ht="15.75" x14ac:dyDescent="0.25">
      <c r="A1849" s="6" t="s">
        <v>1477</v>
      </c>
      <c r="B1849" s="7">
        <v>45205.830555555563</v>
      </c>
      <c r="C1849" s="6">
        <v>52</v>
      </c>
      <c r="D1849" s="6" t="s">
        <v>794</v>
      </c>
      <c r="E1849" s="8" t="str">
        <f>IFERROR(VLOOKUP(LOG_RESEAU[[#This Row],[Cell_ID]],Registre_Maintenance!A:B,2,FALSE),"Non trouvé")</f>
        <v>Haut-Uele</v>
      </c>
      <c r="F1849" s="8">
        <f>IFERROR(VLOOKUP(LOG_RESEAU[[#This Row],[Cell_ID]],Registre_Maintenance!A:C,3,FALSE),"Non trouvé")</f>
        <v>-2.2199559999999998</v>
      </c>
      <c r="G1849" s="8">
        <f>IFERROR(VLOOKUP(LOG_RESEAU[[#This Row],[Cell_ID]],Registre_Maintenance!A:D,4,FALSE),"Non trouvé")</f>
        <v>22.614449</v>
      </c>
      <c r="H1849" s="6" t="str">
        <f>IFERROR(VLOOKUP(LOG_RESEAU[[#This Row],[Cell_ID]],Registre_Maintenance!A:E,5,FALSE),"Non trouvé")</f>
        <v>3G</v>
      </c>
      <c r="I1849" s="6" t="str">
        <f>IFERROR(VLOOKUP(LOG_RESEAU[[#This Row],[Cell_ID]],Registre_Maintenance!A:F,6,FALSE),"Non trouvé")</f>
        <v>Nokia</v>
      </c>
      <c r="J1849" s="6" t="str">
        <f t="shared" si="84"/>
        <v>OK</v>
      </c>
      <c r="K1849" s="6">
        <f t="shared" si="85"/>
        <v>1</v>
      </c>
      <c r="L1849" s="6">
        <f t="shared" si="86"/>
        <v>52</v>
      </c>
    </row>
    <row r="1850" spans="1:12" ht="15.75" x14ac:dyDescent="0.25">
      <c r="A1850" s="6" t="s">
        <v>1074</v>
      </c>
      <c r="B1850" s="7">
        <v>45227.309027777781</v>
      </c>
      <c r="C1850" s="6">
        <v>118</v>
      </c>
      <c r="D1850" s="6" t="s">
        <v>792</v>
      </c>
      <c r="E1850" s="8" t="str">
        <f>IFERROR(VLOOKUP(LOG_RESEAU[[#This Row],[Cell_ID]],Registre_Maintenance!A:B,2,FALSE),"Non trouvé")</f>
        <v>Sud-Ubangi</v>
      </c>
      <c r="F1850" s="8">
        <f>IFERROR(VLOOKUP(LOG_RESEAU[[#This Row],[Cell_ID]],Registre_Maintenance!A:C,3,FALSE),"Non trouvé")</f>
        <v>-10.914952</v>
      </c>
      <c r="G1850" s="8">
        <f>IFERROR(VLOOKUP(LOG_RESEAU[[#This Row],[Cell_ID]],Registre_Maintenance!A:D,4,FALSE),"Non trouvé")</f>
        <v>26.409648000000001</v>
      </c>
      <c r="H1850" s="6" t="str">
        <f>IFERROR(VLOOKUP(LOG_RESEAU[[#This Row],[Cell_ID]],Registre_Maintenance!A:E,5,FALSE),"Non trouvé")</f>
        <v>4G</v>
      </c>
      <c r="I1850" s="6" t="str">
        <f>IFERROR(VLOOKUP(LOG_RESEAU[[#This Row],[Cell_ID]],Registre_Maintenance!A:F,6,FALSE),"Non trouvé")</f>
        <v>Huawei</v>
      </c>
      <c r="J1850" s="6" t="str">
        <f t="shared" si="84"/>
        <v>OK</v>
      </c>
      <c r="K1850" s="6">
        <f t="shared" si="85"/>
        <v>3</v>
      </c>
      <c r="L1850" s="6">
        <f t="shared" si="86"/>
        <v>289</v>
      </c>
    </row>
    <row r="1851" spans="1:12" ht="15.75" x14ac:dyDescent="0.25">
      <c r="A1851" s="6" t="s">
        <v>1074</v>
      </c>
      <c r="B1851" s="7">
        <v>45216.76458333333</v>
      </c>
      <c r="C1851" s="6">
        <v>53</v>
      </c>
      <c r="D1851" s="6" t="s">
        <v>800</v>
      </c>
      <c r="E1851" s="8" t="str">
        <f>IFERROR(VLOOKUP(LOG_RESEAU[[#This Row],[Cell_ID]],Registre_Maintenance!A:B,2,FALSE),"Non trouvé")</f>
        <v>Sud-Ubangi</v>
      </c>
      <c r="F1851" s="8">
        <f>IFERROR(VLOOKUP(LOG_RESEAU[[#This Row],[Cell_ID]],Registre_Maintenance!A:C,3,FALSE),"Non trouvé")</f>
        <v>-10.914952</v>
      </c>
      <c r="G1851" s="8">
        <f>IFERROR(VLOOKUP(LOG_RESEAU[[#This Row],[Cell_ID]],Registre_Maintenance!A:D,4,FALSE),"Non trouvé")</f>
        <v>26.409648000000001</v>
      </c>
      <c r="H1851" s="6" t="str">
        <f>IFERROR(VLOOKUP(LOG_RESEAU[[#This Row],[Cell_ID]],Registre_Maintenance!A:E,5,FALSE),"Non trouvé")</f>
        <v>4G</v>
      </c>
      <c r="I1851" s="6" t="str">
        <f>IFERROR(VLOOKUP(LOG_RESEAU[[#This Row],[Cell_ID]],Registre_Maintenance!A:F,6,FALSE),"Non trouvé")</f>
        <v>Huawei</v>
      </c>
      <c r="J1851" s="6" t="str">
        <f t="shared" si="84"/>
        <v>OK</v>
      </c>
      <c r="K1851" s="6">
        <f t="shared" si="85"/>
        <v>3</v>
      </c>
      <c r="L1851" s="6">
        <f t="shared" si="86"/>
        <v>289</v>
      </c>
    </row>
    <row r="1852" spans="1:12" ht="15.75" x14ac:dyDescent="0.25">
      <c r="A1852" s="6" t="s">
        <v>1074</v>
      </c>
      <c r="B1852" s="7">
        <v>45214.774305555547</v>
      </c>
      <c r="C1852" s="6">
        <v>118</v>
      </c>
      <c r="D1852" s="6" t="s">
        <v>794</v>
      </c>
      <c r="E1852" s="8" t="str">
        <f>IFERROR(VLOOKUP(LOG_RESEAU[[#This Row],[Cell_ID]],Registre_Maintenance!A:B,2,FALSE),"Non trouvé")</f>
        <v>Sud-Ubangi</v>
      </c>
      <c r="F1852" s="8">
        <f>IFERROR(VLOOKUP(LOG_RESEAU[[#This Row],[Cell_ID]],Registre_Maintenance!A:C,3,FALSE),"Non trouvé")</f>
        <v>-10.914952</v>
      </c>
      <c r="G1852" s="8">
        <f>IFERROR(VLOOKUP(LOG_RESEAU[[#This Row],[Cell_ID]],Registre_Maintenance!A:D,4,FALSE),"Non trouvé")</f>
        <v>26.409648000000001</v>
      </c>
      <c r="H1852" s="6" t="str">
        <f>IFERROR(VLOOKUP(LOG_RESEAU[[#This Row],[Cell_ID]],Registre_Maintenance!A:E,5,FALSE),"Non trouvé")</f>
        <v>4G</v>
      </c>
      <c r="I1852" s="6" t="str">
        <f>IFERROR(VLOOKUP(LOG_RESEAU[[#This Row],[Cell_ID]],Registre_Maintenance!A:F,6,FALSE),"Non trouvé")</f>
        <v>Huawei</v>
      </c>
      <c r="J1852" s="6" t="str">
        <f t="shared" si="84"/>
        <v>OK</v>
      </c>
      <c r="K1852" s="6">
        <f t="shared" si="85"/>
        <v>3</v>
      </c>
      <c r="L1852" s="6">
        <f t="shared" si="86"/>
        <v>289</v>
      </c>
    </row>
    <row r="1853" spans="1:12" ht="15.75" x14ac:dyDescent="0.25">
      <c r="A1853" s="6" t="s">
        <v>1315</v>
      </c>
      <c r="B1853" s="7">
        <v>45225.647916666669</v>
      </c>
      <c r="C1853" s="6">
        <v>49</v>
      </c>
      <c r="D1853" s="6" t="s">
        <v>794</v>
      </c>
      <c r="E1853" s="8" t="str">
        <f>IFERROR(VLOOKUP(LOG_RESEAU[[#This Row],[Cell_ID]],Registre_Maintenance!A:B,2,FALSE),"Non trouvé")</f>
        <v>Non trouvé</v>
      </c>
      <c r="F1853" s="8" t="str">
        <f>IFERROR(VLOOKUP(LOG_RESEAU[[#This Row],[Cell_ID]],Registre_Maintenance!A:C,3,FALSE),"Non trouvé")</f>
        <v>Non trouvé</v>
      </c>
      <c r="G1853" s="8" t="str">
        <f>IFERROR(VLOOKUP(LOG_RESEAU[[#This Row],[Cell_ID]],Registre_Maintenance!A:D,4,FALSE),"Non trouvé")</f>
        <v>Non trouvé</v>
      </c>
      <c r="H1853" s="6" t="str">
        <f>IFERROR(VLOOKUP(LOG_RESEAU[[#This Row],[Cell_ID]],Registre_Maintenance!A:E,5,FALSE),"Non trouvé")</f>
        <v>Non trouvé</v>
      </c>
      <c r="I1853" s="6" t="str">
        <f>IFERROR(VLOOKUP(LOG_RESEAU[[#This Row],[Cell_ID]],Registre_Maintenance!A:F,6,FALSE),"Non trouvé")</f>
        <v>Non trouvé</v>
      </c>
      <c r="J1853" s="6" t="str">
        <f t="shared" si="84"/>
        <v>Antenne inconnue</v>
      </c>
      <c r="K1853" s="6">
        <f t="shared" si="85"/>
        <v>1</v>
      </c>
      <c r="L1853" s="6">
        <f t="shared" si="86"/>
        <v>49</v>
      </c>
    </row>
    <row r="1854" spans="1:12" ht="15.75" x14ac:dyDescent="0.25">
      <c r="A1854" s="6" t="s">
        <v>1055</v>
      </c>
      <c r="B1854" s="7">
        <v>45221.861805555563</v>
      </c>
      <c r="C1854" s="6">
        <v>21</v>
      </c>
      <c r="D1854" s="6" t="s">
        <v>800</v>
      </c>
      <c r="E1854" s="8" t="str">
        <f>IFERROR(VLOOKUP(LOG_RESEAU[[#This Row],[Cell_ID]],Registre_Maintenance!A:B,2,FALSE),"Non trouvé")</f>
        <v>Tanganyika</v>
      </c>
      <c r="F1854" s="8">
        <f>IFERROR(VLOOKUP(LOG_RESEAU[[#This Row],[Cell_ID]],Registre_Maintenance!A:C,3,FALSE),"Non trouvé")</f>
        <v>-1.864393</v>
      </c>
      <c r="G1854" s="8">
        <f>IFERROR(VLOOKUP(LOG_RESEAU[[#This Row],[Cell_ID]],Registre_Maintenance!A:D,4,FALSE),"Non trouvé")</f>
        <v>21.453434000000001</v>
      </c>
      <c r="H1854" s="6" t="str">
        <f>IFERROR(VLOOKUP(LOG_RESEAU[[#This Row],[Cell_ID]],Registre_Maintenance!A:E,5,FALSE),"Non trouvé")</f>
        <v>5G</v>
      </c>
      <c r="I1854" s="6" t="str">
        <f>IFERROR(VLOOKUP(LOG_RESEAU[[#This Row],[Cell_ID]],Registre_Maintenance!A:F,6,FALSE),"Non trouvé")</f>
        <v>Ericsson</v>
      </c>
      <c r="J1854" s="6" t="str">
        <f t="shared" si="84"/>
        <v>OK</v>
      </c>
      <c r="K1854" s="6">
        <f t="shared" si="85"/>
        <v>1</v>
      </c>
      <c r="L1854" s="6">
        <f t="shared" si="86"/>
        <v>21</v>
      </c>
    </row>
    <row r="1855" spans="1:12" ht="15.75" x14ac:dyDescent="0.25">
      <c r="A1855" s="6" t="s">
        <v>1095</v>
      </c>
      <c r="B1855" s="7">
        <v>45229.443749999999</v>
      </c>
      <c r="C1855" s="6">
        <v>5</v>
      </c>
      <c r="D1855" s="6" t="s">
        <v>794</v>
      </c>
      <c r="E1855" s="8" t="str">
        <f>IFERROR(VLOOKUP(LOG_RESEAU[[#This Row],[Cell_ID]],Registre_Maintenance!A:B,2,FALSE),"Non trouvé")</f>
        <v>Kasai-Central</v>
      </c>
      <c r="F1855" s="8">
        <f>IFERROR(VLOOKUP(LOG_RESEAU[[#This Row],[Cell_ID]],Registre_Maintenance!A:C,3,FALSE),"Non trouvé")</f>
        <v>-6.6803710000000001</v>
      </c>
      <c r="G1855" s="8">
        <f>IFERROR(VLOOKUP(LOG_RESEAU[[#This Row],[Cell_ID]],Registre_Maintenance!A:D,4,FALSE),"Non trouvé")</f>
        <v>21.955673000000001</v>
      </c>
      <c r="H1855" s="6" t="str">
        <f>IFERROR(VLOOKUP(LOG_RESEAU[[#This Row],[Cell_ID]],Registre_Maintenance!A:E,5,FALSE),"Non trouvé")</f>
        <v>4G</v>
      </c>
      <c r="I1855" s="6" t="str">
        <f>IFERROR(VLOOKUP(LOG_RESEAU[[#This Row],[Cell_ID]],Registre_Maintenance!A:F,6,FALSE),"Non trouvé")</f>
        <v>Nokia</v>
      </c>
      <c r="J1855" s="6" t="str">
        <f t="shared" si="84"/>
        <v>OK</v>
      </c>
      <c r="K1855" s="6">
        <f t="shared" si="85"/>
        <v>1</v>
      </c>
      <c r="L1855" s="6">
        <f t="shared" si="86"/>
        <v>5</v>
      </c>
    </row>
    <row r="1856" spans="1:12" ht="15.75" x14ac:dyDescent="0.25">
      <c r="A1856" s="6" t="s">
        <v>1056</v>
      </c>
      <c r="B1856" s="7">
        <v>45203.059027777781</v>
      </c>
      <c r="C1856" s="6">
        <v>49</v>
      </c>
      <c r="D1856" s="6" t="s">
        <v>794</v>
      </c>
      <c r="E1856" s="8" t="str">
        <f>IFERROR(VLOOKUP(LOG_RESEAU[[#This Row],[Cell_ID]],Registre_Maintenance!A:B,2,FALSE),"Non trouvé")</f>
        <v>Non trouvé</v>
      </c>
      <c r="F1856" s="8" t="str">
        <f>IFERROR(VLOOKUP(LOG_RESEAU[[#This Row],[Cell_ID]],Registre_Maintenance!A:C,3,FALSE),"Non trouvé")</f>
        <v>Non trouvé</v>
      </c>
      <c r="G1856" s="8" t="str">
        <f>IFERROR(VLOOKUP(LOG_RESEAU[[#This Row],[Cell_ID]],Registre_Maintenance!A:D,4,FALSE),"Non trouvé")</f>
        <v>Non trouvé</v>
      </c>
      <c r="H1856" s="6" t="str">
        <f>IFERROR(VLOOKUP(LOG_RESEAU[[#This Row],[Cell_ID]],Registre_Maintenance!A:E,5,FALSE),"Non trouvé")</f>
        <v>Non trouvé</v>
      </c>
      <c r="I1856" s="6" t="str">
        <f>IFERROR(VLOOKUP(LOG_RESEAU[[#This Row],[Cell_ID]],Registre_Maintenance!A:F,6,FALSE),"Non trouvé")</f>
        <v>Non trouvé</v>
      </c>
      <c r="J1856" s="6" t="str">
        <f t="shared" si="84"/>
        <v>Antenne inconnue</v>
      </c>
      <c r="K1856" s="6">
        <f t="shared" si="85"/>
        <v>2</v>
      </c>
      <c r="L1856" s="6">
        <f t="shared" si="86"/>
        <v>88</v>
      </c>
    </row>
    <row r="1857" spans="1:12" ht="15.75" x14ac:dyDescent="0.25">
      <c r="A1857" s="6" t="s">
        <v>1056</v>
      </c>
      <c r="B1857" s="7">
        <v>45224.988194444442</v>
      </c>
      <c r="C1857" s="6">
        <v>39</v>
      </c>
      <c r="D1857" s="6" t="s">
        <v>794</v>
      </c>
      <c r="E1857" s="8" t="str">
        <f>IFERROR(VLOOKUP(LOG_RESEAU[[#This Row],[Cell_ID]],Registre_Maintenance!A:B,2,FALSE),"Non trouvé")</f>
        <v>Non trouvé</v>
      </c>
      <c r="F1857" s="8" t="str">
        <f>IFERROR(VLOOKUP(LOG_RESEAU[[#This Row],[Cell_ID]],Registre_Maintenance!A:C,3,FALSE),"Non trouvé")</f>
        <v>Non trouvé</v>
      </c>
      <c r="G1857" s="8" t="str">
        <f>IFERROR(VLOOKUP(LOG_RESEAU[[#This Row],[Cell_ID]],Registre_Maintenance!A:D,4,FALSE),"Non trouvé")</f>
        <v>Non trouvé</v>
      </c>
      <c r="H1857" s="6" t="str">
        <f>IFERROR(VLOOKUP(LOG_RESEAU[[#This Row],[Cell_ID]],Registre_Maintenance!A:E,5,FALSE),"Non trouvé")</f>
        <v>Non trouvé</v>
      </c>
      <c r="I1857" s="6" t="str">
        <f>IFERROR(VLOOKUP(LOG_RESEAU[[#This Row],[Cell_ID]],Registre_Maintenance!A:F,6,FALSE),"Non trouvé")</f>
        <v>Non trouvé</v>
      </c>
      <c r="J1857" s="6" t="str">
        <f t="shared" si="84"/>
        <v>Antenne inconnue</v>
      </c>
      <c r="K1857" s="6">
        <f t="shared" si="85"/>
        <v>2</v>
      </c>
      <c r="L1857" s="6">
        <f t="shared" si="86"/>
        <v>88</v>
      </c>
    </row>
    <row r="1858" spans="1:12" ht="15.75" x14ac:dyDescent="0.25">
      <c r="A1858" s="6" t="s">
        <v>1193</v>
      </c>
      <c r="B1858" s="7">
        <v>45217.068749999999</v>
      </c>
      <c r="C1858" s="6">
        <v>77</v>
      </c>
      <c r="D1858" s="6" t="s">
        <v>792</v>
      </c>
      <c r="E1858" s="8" t="str">
        <f>IFERROR(VLOOKUP(LOG_RESEAU[[#This Row],[Cell_ID]],Registre_Maintenance!A:B,2,FALSE),"Non trouvé")</f>
        <v>Non trouvé</v>
      </c>
      <c r="F1858" s="8" t="str">
        <f>IFERROR(VLOOKUP(LOG_RESEAU[[#This Row],[Cell_ID]],Registre_Maintenance!A:C,3,FALSE),"Non trouvé")</f>
        <v>Non trouvé</v>
      </c>
      <c r="G1858" s="8" t="str">
        <f>IFERROR(VLOOKUP(LOG_RESEAU[[#This Row],[Cell_ID]],Registre_Maintenance!A:D,4,FALSE),"Non trouvé")</f>
        <v>Non trouvé</v>
      </c>
      <c r="H1858" s="6" t="str">
        <f>IFERROR(VLOOKUP(LOG_RESEAU[[#This Row],[Cell_ID]],Registre_Maintenance!A:E,5,FALSE),"Non trouvé")</f>
        <v>Non trouvé</v>
      </c>
      <c r="I1858" s="6" t="str">
        <f>IFERROR(VLOOKUP(LOG_RESEAU[[#This Row],[Cell_ID]],Registre_Maintenance!A:F,6,FALSE),"Non trouvé")</f>
        <v>Non trouvé</v>
      </c>
      <c r="J1858" s="6" t="str">
        <f t="shared" ref="J1858:J1921" si="87">IF(ISERROR(SEARCH("Non trouvé",F1858)),"OK","Antenne inconnue")</f>
        <v>Antenne inconnue</v>
      </c>
      <c r="K1858" s="6">
        <f t="shared" ref="K1858:K1921" si="88">COUNTIF(A:A,A1858)</f>
        <v>3</v>
      </c>
      <c r="L1858" s="6">
        <f t="shared" ref="L1858:L1921" si="89">SUMIF(A:A,A1858,C:C)</f>
        <v>105</v>
      </c>
    </row>
    <row r="1859" spans="1:12" ht="15.75" x14ac:dyDescent="0.25">
      <c r="A1859" s="6" t="s">
        <v>1193</v>
      </c>
      <c r="B1859" s="7">
        <v>45230.726388888892</v>
      </c>
      <c r="C1859" s="6">
        <v>19</v>
      </c>
      <c r="D1859" s="6" t="s">
        <v>800</v>
      </c>
      <c r="E1859" s="8" t="str">
        <f>IFERROR(VLOOKUP(LOG_RESEAU[[#This Row],[Cell_ID]],Registre_Maintenance!A:B,2,FALSE),"Non trouvé")</f>
        <v>Non trouvé</v>
      </c>
      <c r="F1859" s="8" t="str">
        <f>IFERROR(VLOOKUP(LOG_RESEAU[[#This Row],[Cell_ID]],Registre_Maintenance!A:C,3,FALSE),"Non trouvé")</f>
        <v>Non trouvé</v>
      </c>
      <c r="G1859" s="8" t="str">
        <f>IFERROR(VLOOKUP(LOG_RESEAU[[#This Row],[Cell_ID]],Registre_Maintenance!A:D,4,FALSE),"Non trouvé")</f>
        <v>Non trouvé</v>
      </c>
      <c r="H1859" s="6" t="str">
        <f>IFERROR(VLOOKUP(LOG_RESEAU[[#This Row],[Cell_ID]],Registre_Maintenance!A:E,5,FALSE),"Non trouvé")</f>
        <v>Non trouvé</v>
      </c>
      <c r="I1859" s="6" t="str">
        <f>IFERROR(VLOOKUP(LOG_RESEAU[[#This Row],[Cell_ID]],Registre_Maintenance!A:F,6,FALSE),"Non trouvé")</f>
        <v>Non trouvé</v>
      </c>
      <c r="J1859" s="6" t="str">
        <f t="shared" si="87"/>
        <v>Antenne inconnue</v>
      </c>
      <c r="K1859" s="6">
        <f t="shared" si="88"/>
        <v>3</v>
      </c>
      <c r="L1859" s="6">
        <f t="shared" si="89"/>
        <v>105</v>
      </c>
    </row>
    <row r="1860" spans="1:12" ht="15.75" x14ac:dyDescent="0.25">
      <c r="A1860" s="6" t="s">
        <v>1193</v>
      </c>
      <c r="B1860" s="7">
        <v>45219.793055555558</v>
      </c>
      <c r="C1860" s="6">
        <v>9</v>
      </c>
      <c r="D1860" s="6" t="s">
        <v>800</v>
      </c>
      <c r="E1860" s="8" t="str">
        <f>IFERROR(VLOOKUP(LOG_RESEAU[[#This Row],[Cell_ID]],Registre_Maintenance!A:B,2,FALSE),"Non trouvé")</f>
        <v>Non trouvé</v>
      </c>
      <c r="F1860" s="8" t="str">
        <f>IFERROR(VLOOKUP(LOG_RESEAU[[#This Row],[Cell_ID]],Registre_Maintenance!A:C,3,FALSE),"Non trouvé")</f>
        <v>Non trouvé</v>
      </c>
      <c r="G1860" s="8" t="str">
        <f>IFERROR(VLOOKUP(LOG_RESEAU[[#This Row],[Cell_ID]],Registre_Maintenance!A:D,4,FALSE),"Non trouvé")</f>
        <v>Non trouvé</v>
      </c>
      <c r="H1860" s="6" t="str">
        <f>IFERROR(VLOOKUP(LOG_RESEAU[[#This Row],[Cell_ID]],Registre_Maintenance!A:E,5,FALSE),"Non trouvé")</f>
        <v>Non trouvé</v>
      </c>
      <c r="I1860" s="6" t="str">
        <f>IFERROR(VLOOKUP(LOG_RESEAU[[#This Row],[Cell_ID]],Registre_Maintenance!A:F,6,FALSE),"Non trouvé")</f>
        <v>Non trouvé</v>
      </c>
      <c r="J1860" s="6" t="str">
        <f t="shared" si="87"/>
        <v>Antenne inconnue</v>
      </c>
      <c r="K1860" s="6">
        <f t="shared" si="88"/>
        <v>3</v>
      </c>
      <c r="L1860" s="6">
        <f t="shared" si="89"/>
        <v>105</v>
      </c>
    </row>
    <row r="1861" spans="1:12" ht="15.75" x14ac:dyDescent="0.25">
      <c r="A1861" s="6" t="s">
        <v>1274</v>
      </c>
      <c r="B1861" s="7">
        <v>45216.760416666657</v>
      </c>
      <c r="C1861" s="6">
        <v>48</v>
      </c>
      <c r="D1861" s="6" t="s">
        <v>794</v>
      </c>
      <c r="E1861" s="8" t="str">
        <f>IFERROR(VLOOKUP(LOG_RESEAU[[#This Row],[Cell_ID]],Registre_Maintenance!A:B,2,FALSE),"Non trouvé")</f>
        <v>Ituri</v>
      </c>
      <c r="F1861" s="8">
        <f>IFERROR(VLOOKUP(LOG_RESEAU[[#This Row],[Cell_ID]],Registre_Maintenance!A:C,3,FALSE),"Non trouvé")</f>
        <v>-11.002602</v>
      </c>
      <c r="G1861" s="8">
        <f>IFERROR(VLOOKUP(LOG_RESEAU[[#This Row],[Cell_ID]],Registre_Maintenance!A:D,4,FALSE),"Non trouvé")</f>
        <v>23.918247999999998</v>
      </c>
      <c r="H1861" s="6" t="str">
        <f>IFERROR(VLOOKUP(LOG_RESEAU[[#This Row],[Cell_ID]],Registre_Maintenance!A:E,5,FALSE),"Non trouvé")</f>
        <v>5G</v>
      </c>
      <c r="I1861" s="6" t="str">
        <f>IFERROR(VLOOKUP(LOG_RESEAU[[#This Row],[Cell_ID]],Registre_Maintenance!A:F,6,FALSE),"Non trouvé")</f>
        <v>ZTE</v>
      </c>
      <c r="J1861" s="6" t="str">
        <f t="shared" si="87"/>
        <v>OK</v>
      </c>
      <c r="K1861" s="6">
        <f t="shared" si="88"/>
        <v>1</v>
      </c>
      <c r="L1861" s="6">
        <f t="shared" si="89"/>
        <v>48</v>
      </c>
    </row>
    <row r="1862" spans="1:12" ht="15.75" x14ac:dyDescent="0.25">
      <c r="A1862" s="6" t="s">
        <v>1024</v>
      </c>
      <c r="B1862" s="7">
        <v>45227.033333333333</v>
      </c>
      <c r="C1862" s="6">
        <v>68</v>
      </c>
      <c r="D1862" s="6" t="s">
        <v>792</v>
      </c>
      <c r="E1862" s="8" t="str">
        <f>IFERROR(VLOOKUP(LOG_RESEAU[[#This Row],[Cell_ID]],Registre_Maintenance!A:B,2,FALSE),"Non trouvé")</f>
        <v>Nord-Ubangi</v>
      </c>
      <c r="F1862" s="8">
        <f>IFERROR(VLOOKUP(LOG_RESEAU[[#This Row],[Cell_ID]],Registre_Maintenance!A:C,3,FALSE),"Non trouvé")</f>
        <v>-10.375266999999999</v>
      </c>
      <c r="G1862" s="8">
        <f>IFERROR(VLOOKUP(LOG_RESEAU[[#This Row],[Cell_ID]],Registre_Maintenance!A:D,4,FALSE),"Non trouvé")</f>
        <v>17.993663000000002</v>
      </c>
      <c r="H1862" s="6" t="str">
        <f>IFERROR(VLOOKUP(LOG_RESEAU[[#This Row],[Cell_ID]],Registre_Maintenance!A:E,5,FALSE),"Non trouvé")</f>
        <v>5G</v>
      </c>
      <c r="I1862" s="6" t="str">
        <f>IFERROR(VLOOKUP(LOG_RESEAU[[#This Row],[Cell_ID]],Registre_Maintenance!A:F,6,FALSE),"Non trouvé")</f>
        <v>ZTE</v>
      </c>
      <c r="J1862" s="6" t="str">
        <f t="shared" si="87"/>
        <v>OK</v>
      </c>
      <c r="K1862" s="6">
        <f t="shared" si="88"/>
        <v>1</v>
      </c>
      <c r="L1862" s="6">
        <f t="shared" si="89"/>
        <v>68</v>
      </c>
    </row>
    <row r="1863" spans="1:12" ht="15.75" x14ac:dyDescent="0.25">
      <c r="A1863" s="6" t="s">
        <v>1204</v>
      </c>
      <c r="B1863" s="7">
        <v>45221.313194444447</v>
      </c>
      <c r="C1863" s="6">
        <v>34</v>
      </c>
      <c r="D1863" s="6" t="s">
        <v>800</v>
      </c>
      <c r="E1863" s="8" t="str">
        <f>IFERROR(VLOOKUP(LOG_RESEAU[[#This Row],[Cell_ID]],Registre_Maintenance!A:B,2,FALSE),"Non trouvé")</f>
        <v>Kasai</v>
      </c>
      <c r="F1863" s="8">
        <f>IFERROR(VLOOKUP(LOG_RESEAU[[#This Row],[Cell_ID]],Registre_Maintenance!A:C,3,FALSE),"Non trouvé")</f>
        <v>-10.165072</v>
      </c>
      <c r="G1863" s="8">
        <f>IFERROR(VLOOKUP(LOG_RESEAU[[#This Row],[Cell_ID]],Registre_Maintenance!A:D,4,FALSE),"Non trouvé")</f>
        <v>29.428024000000001</v>
      </c>
      <c r="H1863" s="6" t="str">
        <f>IFERROR(VLOOKUP(LOG_RESEAU[[#This Row],[Cell_ID]],Registre_Maintenance!A:E,5,FALSE),"Non trouvé")</f>
        <v>5G</v>
      </c>
      <c r="I1863" s="6" t="str">
        <f>IFERROR(VLOOKUP(LOG_RESEAU[[#This Row],[Cell_ID]],Registre_Maintenance!A:F,6,FALSE),"Non trouvé")</f>
        <v>Huawei</v>
      </c>
      <c r="J1863" s="6" t="str">
        <f t="shared" si="87"/>
        <v>OK</v>
      </c>
      <c r="K1863" s="6">
        <f t="shared" si="88"/>
        <v>3</v>
      </c>
      <c r="L1863" s="6">
        <f t="shared" si="89"/>
        <v>160</v>
      </c>
    </row>
    <row r="1864" spans="1:12" ht="15.75" x14ac:dyDescent="0.25">
      <c r="A1864" s="6" t="s">
        <v>1204</v>
      </c>
      <c r="B1864" s="7">
        <v>45225.622916666667</v>
      </c>
      <c r="C1864" s="6">
        <v>86</v>
      </c>
      <c r="D1864" s="6" t="s">
        <v>794</v>
      </c>
      <c r="E1864" s="8" t="str">
        <f>IFERROR(VLOOKUP(LOG_RESEAU[[#This Row],[Cell_ID]],Registre_Maintenance!A:B,2,FALSE),"Non trouvé")</f>
        <v>Kasai</v>
      </c>
      <c r="F1864" s="8">
        <f>IFERROR(VLOOKUP(LOG_RESEAU[[#This Row],[Cell_ID]],Registre_Maintenance!A:C,3,FALSE),"Non trouvé")</f>
        <v>-10.165072</v>
      </c>
      <c r="G1864" s="8">
        <f>IFERROR(VLOOKUP(LOG_RESEAU[[#This Row],[Cell_ID]],Registre_Maintenance!A:D,4,FALSE),"Non trouvé")</f>
        <v>29.428024000000001</v>
      </c>
      <c r="H1864" s="6" t="str">
        <f>IFERROR(VLOOKUP(LOG_RESEAU[[#This Row],[Cell_ID]],Registre_Maintenance!A:E,5,FALSE),"Non trouvé")</f>
        <v>5G</v>
      </c>
      <c r="I1864" s="6" t="str">
        <f>IFERROR(VLOOKUP(LOG_RESEAU[[#This Row],[Cell_ID]],Registre_Maintenance!A:F,6,FALSE),"Non trouvé")</f>
        <v>Huawei</v>
      </c>
      <c r="J1864" s="6" t="str">
        <f t="shared" si="87"/>
        <v>OK</v>
      </c>
      <c r="K1864" s="6">
        <f t="shared" si="88"/>
        <v>3</v>
      </c>
      <c r="L1864" s="6">
        <f t="shared" si="89"/>
        <v>160</v>
      </c>
    </row>
    <row r="1865" spans="1:12" ht="15.75" x14ac:dyDescent="0.25">
      <c r="A1865" s="6" t="s">
        <v>1204</v>
      </c>
      <c r="B1865" s="7">
        <v>45200.078472222223</v>
      </c>
      <c r="C1865" s="6">
        <v>40</v>
      </c>
      <c r="D1865" s="6" t="s">
        <v>794</v>
      </c>
      <c r="E1865" s="8" t="str">
        <f>IFERROR(VLOOKUP(LOG_RESEAU[[#This Row],[Cell_ID]],Registre_Maintenance!A:B,2,FALSE),"Non trouvé")</f>
        <v>Kasai</v>
      </c>
      <c r="F1865" s="8">
        <f>IFERROR(VLOOKUP(LOG_RESEAU[[#This Row],[Cell_ID]],Registre_Maintenance!A:C,3,FALSE),"Non trouvé")</f>
        <v>-10.165072</v>
      </c>
      <c r="G1865" s="8">
        <f>IFERROR(VLOOKUP(LOG_RESEAU[[#This Row],[Cell_ID]],Registre_Maintenance!A:D,4,FALSE),"Non trouvé")</f>
        <v>29.428024000000001</v>
      </c>
      <c r="H1865" s="6" t="str">
        <f>IFERROR(VLOOKUP(LOG_RESEAU[[#This Row],[Cell_ID]],Registre_Maintenance!A:E,5,FALSE),"Non trouvé")</f>
        <v>5G</v>
      </c>
      <c r="I1865" s="6" t="str">
        <f>IFERROR(VLOOKUP(LOG_RESEAU[[#This Row],[Cell_ID]],Registre_Maintenance!A:F,6,FALSE),"Non trouvé")</f>
        <v>Huawei</v>
      </c>
      <c r="J1865" s="6" t="str">
        <f t="shared" si="87"/>
        <v>OK</v>
      </c>
      <c r="K1865" s="6">
        <f t="shared" si="88"/>
        <v>3</v>
      </c>
      <c r="L1865" s="6">
        <f t="shared" si="89"/>
        <v>160</v>
      </c>
    </row>
    <row r="1866" spans="1:12" ht="15.75" x14ac:dyDescent="0.25">
      <c r="A1866" s="6" t="s">
        <v>1037</v>
      </c>
      <c r="B1866" s="7">
        <v>45211.224305555559</v>
      </c>
      <c r="C1866" s="6">
        <v>37</v>
      </c>
      <c r="D1866" s="6" t="s">
        <v>794</v>
      </c>
      <c r="E1866" s="8" t="str">
        <f>IFERROR(VLOOKUP(LOG_RESEAU[[#This Row],[Cell_ID]],Registre_Maintenance!A:B,2,FALSE),"Non trouvé")</f>
        <v>Tanganyika</v>
      </c>
      <c r="F1866" s="8">
        <f>IFERROR(VLOOKUP(LOG_RESEAU[[#This Row],[Cell_ID]],Registre_Maintenance!A:C,3,FALSE),"Non trouvé")</f>
        <v>-2.4662510000000002</v>
      </c>
      <c r="G1866" s="8">
        <f>IFERROR(VLOOKUP(LOG_RESEAU[[#This Row],[Cell_ID]],Registre_Maintenance!A:D,4,FALSE),"Non trouvé")</f>
        <v>18.007998000000001</v>
      </c>
      <c r="H1866" s="6" t="str">
        <f>IFERROR(VLOOKUP(LOG_RESEAU[[#This Row],[Cell_ID]],Registre_Maintenance!A:E,5,FALSE),"Non trouvé")</f>
        <v>5G</v>
      </c>
      <c r="I1866" s="6" t="str">
        <f>IFERROR(VLOOKUP(LOG_RESEAU[[#This Row],[Cell_ID]],Registre_Maintenance!A:F,6,FALSE),"Non trouvé")</f>
        <v>Ericsson</v>
      </c>
      <c r="J1866" s="6" t="str">
        <f t="shared" si="87"/>
        <v>OK</v>
      </c>
      <c r="K1866" s="6">
        <f t="shared" si="88"/>
        <v>2</v>
      </c>
      <c r="L1866" s="6">
        <f t="shared" si="89"/>
        <v>51</v>
      </c>
    </row>
    <row r="1867" spans="1:12" ht="15.75" x14ac:dyDescent="0.25">
      <c r="A1867" s="6" t="s">
        <v>1037</v>
      </c>
      <c r="B1867" s="7">
        <v>45221.717361111107</v>
      </c>
      <c r="C1867" s="6">
        <v>14</v>
      </c>
      <c r="D1867" s="6" t="s">
        <v>794</v>
      </c>
      <c r="E1867" s="8" t="str">
        <f>IFERROR(VLOOKUP(LOG_RESEAU[[#This Row],[Cell_ID]],Registre_Maintenance!A:B,2,FALSE),"Non trouvé")</f>
        <v>Tanganyika</v>
      </c>
      <c r="F1867" s="8">
        <f>IFERROR(VLOOKUP(LOG_RESEAU[[#This Row],[Cell_ID]],Registre_Maintenance!A:C,3,FALSE),"Non trouvé")</f>
        <v>-2.4662510000000002</v>
      </c>
      <c r="G1867" s="8">
        <f>IFERROR(VLOOKUP(LOG_RESEAU[[#This Row],[Cell_ID]],Registre_Maintenance!A:D,4,FALSE),"Non trouvé")</f>
        <v>18.007998000000001</v>
      </c>
      <c r="H1867" s="6" t="str">
        <f>IFERROR(VLOOKUP(LOG_RESEAU[[#This Row],[Cell_ID]],Registre_Maintenance!A:E,5,FALSE),"Non trouvé")</f>
        <v>5G</v>
      </c>
      <c r="I1867" s="6" t="str">
        <f>IFERROR(VLOOKUP(LOG_RESEAU[[#This Row],[Cell_ID]],Registre_Maintenance!A:F,6,FALSE),"Non trouvé")</f>
        <v>Ericsson</v>
      </c>
      <c r="J1867" s="6" t="str">
        <f t="shared" si="87"/>
        <v>OK</v>
      </c>
      <c r="K1867" s="6">
        <f t="shared" si="88"/>
        <v>2</v>
      </c>
      <c r="L1867" s="6">
        <f t="shared" si="89"/>
        <v>51</v>
      </c>
    </row>
    <row r="1868" spans="1:12" ht="15.75" x14ac:dyDescent="0.25">
      <c r="A1868" s="6" t="s">
        <v>1231</v>
      </c>
      <c r="B1868" s="7">
        <v>45222.415277777778</v>
      </c>
      <c r="C1868" s="6">
        <v>73</v>
      </c>
      <c r="D1868" s="6" t="s">
        <v>794</v>
      </c>
      <c r="E1868" s="8" t="str">
        <f>IFERROR(VLOOKUP(LOG_RESEAU[[#This Row],[Cell_ID]],Registre_Maintenance!A:B,2,FALSE),"Non trouvé")</f>
        <v>Nord-Ubangi</v>
      </c>
      <c r="F1868" s="8">
        <f>IFERROR(VLOOKUP(LOG_RESEAU[[#This Row],[Cell_ID]],Registre_Maintenance!A:C,3,FALSE),"Non trouvé")</f>
        <v>-4.8128659999999996</v>
      </c>
      <c r="G1868" s="8">
        <f>IFERROR(VLOOKUP(LOG_RESEAU[[#This Row],[Cell_ID]],Registre_Maintenance!A:D,4,FALSE),"Non trouvé")</f>
        <v>18.559304999999998</v>
      </c>
      <c r="H1868" s="6" t="str">
        <f>IFERROR(VLOOKUP(LOG_RESEAU[[#This Row],[Cell_ID]],Registre_Maintenance!A:E,5,FALSE),"Non trouvé")</f>
        <v>5G</v>
      </c>
      <c r="I1868" s="6" t="str">
        <f>IFERROR(VLOOKUP(LOG_RESEAU[[#This Row],[Cell_ID]],Registre_Maintenance!A:F,6,FALSE),"Non trouvé")</f>
        <v>ZTE</v>
      </c>
      <c r="J1868" s="6" t="str">
        <f t="shared" si="87"/>
        <v>OK</v>
      </c>
      <c r="K1868" s="6">
        <f t="shared" si="88"/>
        <v>1</v>
      </c>
      <c r="L1868" s="6">
        <f t="shared" si="89"/>
        <v>73</v>
      </c>
    </row>
    <row r="1869" spans="1:12" ht="15.75" x14ac:dyDescent="0.25">
      <c r="A1869" s="6" t="s">
        <v>1433</v>
      </c>
      <c r="B1869" s="7">
        <v>45223.365277777782</v>
      </c>
      <c r="C1869" s="6">
        <v>104</v>
      </c>
      <c r="D1869" s="6" t="s">
        <v>800</v>
      </c>
      <c r="E1869" s="8" t="str">
        <f>IFERROR(VLOOKUP(LOG_RESEAU[[#This Row],[Cell_ID]],Registre_Maintenance!A:B,2,FALSE),"Non trouvé")</f>
        <v>Non trouvé</v>
      </c>
      <c r="F1869" s="8" t="str">
        <f>IFERROR(VLOOKUP(LOG_RESEAU[[#This Row],[Cell_ID]],Registre_Maintenance!A:C,3,FALSE),"Non trouvé")</f>
        <v>Non trouvé</v>
      </c>
      <c r="G1869" s="8" t="str">
        <f>IFERROR(VLOOKUP(LOG_RESEAU[[#This Row],[Cell_ID]],Registre_Maintenance!A:D,4,FALSE),"Non trouvé")</f>
        <v>Non trouvé</v>
      </c>
      <c r="H1869" s="6" t="str">
        <f>IFERROR(VLOOKUP(LOG_RESEAU[[#This Row],[Cell_ID]],Registre_Maintenance!A:E,5,FALSE),"Non trouvé")</f>
        <v>Non trouvé</v>
      </c>
      <c r="I1869" s="6" t="str">
        <f>IFERROR(VLOOKUP(LOG_RESEAU[[#This Row],[Cell_ID]],Registre_Maintenance!A:F,6,FALSE),"Non trouvé")</f>
        <v>Non trouvé</v>
      </c>
      <c r="J1869" s="6" t="str">
        <f t="shared" si="87"/>
        <v>Antenne inconnue</v>
      </c>
      <c r="K1869" s="6">
        <f t="shared" si="88"/>
        <v>1</v>
      </c>
      <c r="L1869" s="6">
        <f t="shared" si="89"/>
        <v>104</v>
      </c>
    </row>
    <row r="1870" spans="1:12" ht="15.75" x14ac:dyDescent="0.25">
      <c r="A1870" s="6" t="s">
        <v>1035</v>
      </c>
      <c r="B1870" s="7">
        <v>45203.511805555558</v>
      </c>
      <c r="C1870" s="6">
        <v>64</v>
      </c>
      <c r="D1870" s="6" t="s">
        <v>792</v>
      </c>
      <c r="E1870" s="8" t="str">
        <f>IFERROR(VLOOKUP(LOG_RESEAU[[#This Row],[Cell_ID]],Registre_Maintenance!A:B,2,FALSE),"Non trouvé")</f>
        <v>Tshopo</v>
      </c>
      <c r="F1870" s="8">
        <f>IFERROR(VLOOKUP(LOG_RESEAU[[#This Row],[Cell_ID]],Registre_Maintenance!A:C,3,FALSE),"Non trouvé")</f>
        <v>0.23583499999999999</v>
      </c>
      <c r="G1870" s="8">
        <f>IFERROR(VLOOKUP(LOG_RESEAU[[#This Row],[Cell_ID]],Registre_Maintenance!A:D,4,FALSE),"Non trouvé")</f>
        <v>24.889558999999998</v>
      </c>
      <c r="H1870" s="6" t="str">
        <f>IFERROR(VLOOKUP(LOG_RESEAU[[#This Row],[Cell_ID]],Registre_Maintenance!A:E,5,FALSE),"Non trouvé")</f>
        <v>3G</v>
      </c>
      <c r="I1870" s="6" t="str">
        <f>IFERROR(VLOOKUP(LOG_RESEAU[[#This Row],[Cell_ID]],Registre_Maintenance!A:F,6,FALSE),"Non trouvé")</f>
        <v>ZTE</v>
      </c>
      <c r="J1870" s="6" t="str">
        <f t="shared" si="87"/>
        <v>OK</v>
      </c>
      <c r="K1870" s="6">
        <f t="shared" si="88"/>
        <v>1</v>
      </c>
      <c r="L1870" s="6">
        <f t="shared" si="89"/>
        <v>64</v>
      </c>
    </row>
    <row r="1871" spans="1:12" ht="15.75" x14ac:dyDescent="0.25">
      <c r="A1871" s="6" t="s">
        <v>1173</v>
      </c>
      <c r="B1871" s="7">
        <v>45220.206944444442</v>
      </c>
      <c r="C1871" s="6">
        <v>25</v>
      </c>
      <c r="D1871" s="6" t="s">
        <v>794</v>
      </c>
      <c r="E1871" s="8" t="str">
        <f>IFERROR(VLOOKUP(LOG_RESEAU[[#This Row],[Cell_ID]],Registre_Maintenance!A:B,2,FALSE),"Non trouvé")</f>
        <v>Equateur</v>
      </c>
      <c r="F1871" s="8">
        <f>IFERROR(VLOOKUP(LOG_RESEAU[[#This Row],[Cell_ID]],Registre_Maintenance!A:C,3,FALSE),"Non trouvé")</f>
        <v>3.3289240000000002</v>
      </c>
      <c r="G1871" s="8">
        <f>IFERROR(VLOOKUP(LOG_RESEAU[[#This Row],[Cell_ID]],Registre_Maintenance!A:D,4,FALSE),"Non trouvé")</f>
        <v>24.412261000000001</v>
      </c>
      <c r="H1871" s="6" t="str">
        <f>IFERROR(VLOOKUP(LOG_RESEAU[[#This Row],[Cell_ID]],Registre_Maintenance!A:E,5,FALSE),"Non trouvé")</f>
        <v>5G</v>
      </c>
      <c r="I1871" s="6" t="str">
        <f>IFERROR(VLOOKUP(LOG_RESEAU[[#This Row],[Cell_ID]],Registre_Maintenance!A:F,6,FALSE),"Non trouvé")</f>
        <v>Nokia</v>
      </c>
      <c r="J1871" s="6" t="str">
        <f t="shared" si="87"/>
        <v>OK</v>
      </c>
      <c r="K1871" s="6">
        <f t="shared" si="88"/>
        <v>1</v>
      </c>
      <c r="L1871" s="6">
        <f t="shared" si="89"/>
        <v>25</v>
      </c>
    </row>
    <row r="1872" spans="1:12" ht="15.75" x14ac:dyDescent="0.25">
      <c r="A1872" s="6" t="s">
        <v>1530</v>
      </c>
      <c r="B1872" s="7">
        <v>45219.929166666669</v>
      </c>
      <c r="C1872" s="6">
        <v>115</v>
      </c>
      <c r="D1872" s="6" t="s">
        <v>794</v>
      </c>
      <c r="E1872" s="8" t="str">
        <f>IFERROR(VLOOKUP(LOG_RESEAU[[#This Row],[Cell_ID]],Registre_Maintenance!A:B,2,FALSE),"Non trouvé")</f>
        <v>Non trouvé</v>
      </c>
      <c r="F1872" s="8" t="str">
        <f>IFERROR(VLOOKUP(LOG_RESEAU[[#This Row],[Cell_ID]],Registre_Maintenance!A:C,3,FALSE),"Non trouvé")</f>
        <v>Non trouvé</v>
      </c>
      <c r="G1872" s="8" t="str">
        <f>IFERROR(VLOOKUP(LOG_RESEAU[[#This Row],[Cell_ID]],Registre_Maintenance!A:D,4,FALSE),"Non trouvé")</f>
        <v>Non trouvé</v>
      </c>
      <c r="H1872" s="6" t="str">
        <f>IFERROR(VLOOKUP(LOG_RESEAU[[#This Row],[Cell_ID]],Registre_Maintenance!A:E,5,FALSE),"Non trouvé")</f>
        <v>Non trouvé</v>
      </c>
      <c r="I1872" s="6" t="str">
        <f>IFERROR(VLOOKUP(LOG_RESEAU[[#This Row],[Cell_ID]],Registre_Maintenance!A:F,6,FALSE),"Non trouvé")</f>
        <v>Non trouvé</v>
      </c>
      <c r="J1872" s="6" t="str">
        <f t="shared" si="87"/>
        <v>Antenne inconnue</v>
      </c>
      <c r="K1872" s="6">
        <f t="shared" si="88"/>
        <v>1</v>
      </c>
      <c r="L1872" s="6">
        <f t="shared" si="89"/>
        <v>115</v>
      </c>
    </row>
    <row r="1873" spans="1:12" ht="15.75" x14ac:dyDescent="0.25">
      <c r="A1873" s="6" t="s">
        <v>1041</v>
      </c>
      <c r="B1873" s="7">
        <v>45208.863888888889</v>
      </c>
      <c r="C1873" s="6">
        <v>92</v>
      </c>
      <c r="D1873" s="6" t="s">
        <v>794</v>
      </c>
      <c r="E1873" s="8" t="str">
        <f>IFERROR(VLOOKUP(LOG_RESEAU[[#This Row],[Cell_ID]],Registre_Maintenance!A:B,2,FALSE),"Non trouvé")</f>
        <v>Kwilu</v>
      </c>
      <c r="F1873" s="8">
        <f>IFERROR(VLOOKUP(LOG_RESEAU[[#This Row],[Cell_ID]],Registre_Maintenance!A:C,3,FALSE),"Non trouvé")</f>
        <v>-0.77432100000000004</v>
      </c>
      <c r="G1873" s="8">
        <f>IFERROR(VLOOKUP(LOG_RESEAU[[#This Row],[Cell_ID]],Registre_Maintenance!A:D,4,FALSE),"Non trouvé")</f>
        <v>18.628658999999999</v>
      </c>
      <c r="H1873" s="6" t="str">
        <f>IFERROR(VLOOKUP(LOG_RESEAU[[#This Row],[Cell_ID]],Registre_Maintenance!A:E,5,FALSE),"Non trouvé")</f>
        <v>4G</v>
      </c>
      <c r="I1873" s="6" t="str">
        <f>IFERROR(VLOOKUP(LOG_RESEAU[[#This Row],[Cell_ID]],Registre_Maintenance!A:F,6,FALSE),"Non trouvé")</f>
        <v>Huawei</v>
      </c>
      <c r="J1873" s="6" t="str">
        <f t="shared" si="87"/>
        <v>OK</v>
      </c>
      <c r="K1873" s="6">
        <f t="shared" si="88"/>
        <v>2</v>
      </c>
      <c r="L1873" s="6">
        <f t="shared" si="89"/>
        <v>134</v>
      </c>
    </row>
    <row r="1874" spans="1:12" ht="15.75" x14ac:dyDescent="0.25">
      <c r="A1874" s="6" t="s">
        <v>1041</v>
      </c>
      <c r="B1874" s="7">
        <v>45218.631944444453</v>
      </c>
      <c r="C1874" s="6">
        <v>42</v>
      </c>
      <c r="D1874" s="6" t="s">
        <v>800</v>
      </c>
      <c r="E1874" s="8" t="str">
        <f>IFERROR(VLOOKUP(LOG_RESEAU[[#This Row],[Cell_ID]],Registre_Maintenance!A:B,2,FALSE),"Non trouvé")</f>
        <v>Kwilu</v>
      </c>
      <c r="F1874" s="8">
        <f>IFERROR(VLOOKUP(LOG_RESEAU[[#This Row],[Cell_ID]],Registre_Maintenance!A:C,3,FALSE),"Non trouvé")</f>
        <v>-0.77432100000000004</v>
      </c>
      <c r="G1874" s="8">
        <f>IFERROR(VLOOKUP(LOG_RESEAU[[#This Row],[Cell_ID]],Registre_Maintenance!A:D,4,FALSE),"Non trouvé")</f>
        <v>18.628658999999999</v>
      </c>
      <c r="H1874" s="6" t="str">
        <f>IFERROR(VLOOKUP(LOG_RESEAU[[#This Row],[Cell_ID]],Registre_Maintenance!A:E,5,FALSE),"Non trouvé")</f>
        <v>4G</v>
      </c>
      <c r="I1874" s="6" t="str">
        <f>IFERROR(VLOOKUP(LOG_RESEAU[[#This Row],[Cell_ID]],Registre_Maintenance!A:F,6,FALSE),"Non trouvé")</f>
        <v>Huawei</v>
      </c>
      <c r="J1874" s="6" t="str">
        <f t="shared" si="87"/>
        <v>OK</v>
      </c>
      <c r="K1874" s="6">
        <f t="shared" si="88"/>
        <v>2</v>
      </c>
      <c r="L1874" s="6">
        <f t="shared" si="89"/>
        <v>134</v>
      </c>
    </row>
    <row r="1875" spans="1:12" ht="15.75" x14ac:dyDescent="0.25">
      <c r="A1875" s="6" t="s">
        <v>1378</v>
      </c>
      <c r="B1875" s="7">
        <v>45220.368055555547</v>
      </c>
      <c r="C1875" s="6">
        <v>47</v>
      </c>
      <c r="D1875" s="6" t="s">
        <v>792</v>
      </c>
      <c r="E1875" s="8" t="str">
        <f>IFERROR(VLOOKUP(LOG_RESEAU[[#This Row],[Cell_ID]],Registre_Maintenance!A:B,2,FALSE),"Non trouvé")</f>
        <v>Non trouvé</v>
      </c>
      <c r="F1875" s="8" t="str">
        <f>IFERROR(VLOOKUP(LOG_RESEAU[[#This Row],[Cell_ID]],Registre_Maintenance!A:C,3,FALSE),"Non trouvé")</f>
        <v>Non trouvé</v>
      </c>
      <c r="G1875" s="8" t="str">
        <f>IFERROR(VLOOKUP(LOG_RESEAU[[#This Row],[Cell_ID]],Registre_Maintenance!A:D,4,FALSE),"Non trouvé")</f>
        <v>Non trouvé</v>
      </c>
      <c r="H1875" s="6" t="str">
        <f>IFERROR(VLOOKUP(LOG_RESEAU[[#This Row],[Cell_ID]],Registre_Maintenance!A:E,5,FALSE),"Non trouvé")</f>
        <v>Non trouvé</v>
      </c>
      <c r="I1875" s="6" t="str">
        <f>IFERROR(VLOOKUP(LOG_RESEAU[[#This Row],[Cell_ID]],Registre_Maintenance!A:F,6,FALSE),"Non trouvé")</f>
        <v>Non trouvé</v>
      </c>
      <c r="J1875" s="6" t="str">
        <f t="shared" si="87"/>
        <v>Antenne inconnue</v>
      </c>
      <c r="K1875" s="6">
        <f t="shared" si="88"/>
        <v>3</v>
      </c>
      <c r="L1875" s="6">
        <f t="shared" si="89"/>
        <v>214</v>
      </c>
    </row>
    <row r="1876" spans="1:12" ht="15.75" x14ac:dyDescent="0.25">
      <c r="A1876" s="6" t="s">
        <v>1378</v>
      </c>
      <c r="B1876" s="7">
        <v>45210.921527777777</v>
      </c>
      <c r="C1876" s="6">
        <v>86</v>
      </c>
      <c r="D1876" s="6" t="s">
        <v>800</v>
      </c>
      <c r="E1876" s="8" t="str">
        <f>IFERROR(VLOOKUP(LOG_RESEAU[[#This Row],[Cell_ID]],Registre_Maintenance!A:B,2,FALSE),"Non trouvé")</f>
        <v>Non trouvé</v>
      </c>
      <c r="F1876" s="8" t="str">
        <f>IFERROR(VLOOKUP(LOG_RESEAU[[#This Row],[Cell_ID]],Registre_Maintenance!A:C,3,FALSE),"Non trouvé")</f>
        <v>Non trouvé</v>
      </c>
      <c r="G1876" s="8" t="str">
        <f>IFERROR(VLOOKUP(LOG_RESEAU[[#This Row],[Cell_ID]],Registre_Maintenance!A:D,4,FALSE),"Non trouvé")</f>
        <v>Non trouvé</v>
      </c>
      <c r="H1876" s="6" t="str">
        <f>IFERROR(VLOOKUP(LOG_RESEAU[[#This Row],[Cell_ID]],Registre_Maintenance!A:E,5,FALSE),"Non trouvé")</f>
        <v>Non trouvé</v>
      </c>
      <c r="I1876" s="6" t="str">
        <f>IFERROR(VLOOKUP(LOG_RESEAU[[#This Row],[Cell_ID]],Registre_Maintenance!A:F,6,FALSE),"Non trouvé")</f>
        <v>Non trouvé</v>
      </c>
      <c r="J1876" s="6" t="str">
        <f t="shared" si="87"/>
        <v>Antenne inconnue</v>
      </c>
      <c r="K1876" s="6">
        <f t="shared" si="88"/>
        <v>3</v>
      </c>
      <c r="L1876" s="6">
        <f t="shared" si="89"/>
        <v>214</v>
      </c>
    </row>
    <row r="1877" spans="1:12" ht="15.75" x14ac:dyDescent="0.25">
      <c r="A1877" s="6" t="s">
        <v>1378</v>
      </c>
      <c r="B1877" s="7">
        <v>45214.931250000001</v>
      </c>
      <c r="C1877" s="6">
        <v>81</v>
      </c>
      <c r="D1877" s="6" t="s">
        <v>800</v>
      </c>
      <c r="E1877" s="8" t="str">
        <f>IFERROR(VLOOKUP(LOG_RESEAU[[#This Row],[Cell_ID]],Registre_Maintenance!A:B,2,FALSE),"Non trouvé")</f>
        <v>Non trouvé</v>
      </c>
      <c r="F1877" s="8" t="str">
        <f>IFERROR(VLOOKUP(LOG_RESEAU[[#This Row],[Cell_ID]],Registre_Maintenance!A:C,3,FALSE),"Non trouvé")</f>
        <v>Non trouvé</v>
      </c>
      <c r="G1877" s="8" t="str">
        <f>IFERROR(VLOOKUP(LOG_RESEAU[[#This Row],[Cell_ID]],Registre_Maintenance!A:D,4,FALSE),"Non trouvé")</f>
        <v>Non trouvé</v>
      </c>
      <c r="H1877" s="6" t="str">
        <f>IFERROR(VLOOKUP(LOG_RESEAU[[#This Row],[Cell_ID]],Registre_Maintenance!A:E,5,FALSE),"Non trouvé")</f>
        <v>Non trouvé</v>
      </c>
      <c r="I1877" s="6" t="str">
        <f>IFERROR(VLOOKUP(LOG_RESEAU[[#This Row],[Cell_ID]],Registre_Maintenance!A:F,6,FALSE),"Non trouvé")</f>
        <v>Non trouvé</v>
      </c>
      <c r="J1877" s="6" t="str">
        <f t="shared" si="87"/>
        <v>Antenne inconnue</v>
      </c>
      <c r="K1877" s="6">
        <f t="shared" si="88"/>
        <v>3</v>
      </c>
      <c r="L1877" s="6">
        <f t="shared" si="89"/>
        <v>214</v>
      </c>
    </row>
    <row r="1878" spans="1:12" ht="15.75" x14ac:dyDescent="0.25">
      <c r="A1878" s="6" t="s">
        <v>1267</v>
      </c>
      <c r="B1878" s="7">
        <v>45229.670138888891</v>
      </c>
      <c r="C1878" s="6">
        <v>41</v>
      </c>
      <c r="D1878" s="6" t="s">
        <v>792</v>
      </c>
      <c r="E1878" s="8" t="str">
        <f>IFERROR(VLOOKUP(LOG_RESEAU[[#This Row],[Cell_ID]],Registre_Maintenance!A:B,2,FALSE),"Non trouvé")</f>
        <v>Haut-Lomami</v>
      </c>
      <c r="F1878" s="8">
        <f>IFERROR(VLOOKUP(LOG_RESEAU[[#This Row],[Cell_ID]],Registre_Maintenance!A:C,3,FALSE),"Non trouvé")</f>
        <v>-7.1785899999999998</v>
      </c>
      <c r="G1878" s="8">
        <f>IFERROR(VLOOKUP(LOG_RESEAU[[#This Row],[Cell_ID]],Registre_Maintenance!A:D,4,FALSE),"Non trouvé")</f>
        <v>24.4404</v>
      </c>
      <c r="H1878" s="6" t="str">
        <f>IFERROR(VLOOKUP(LOG_RESEAU[[#This Row],[Cell_ID]],Registre_Maintenance!A:E,5,FALSE),"Non trouvé")</f>
        <v>4G</v>
      </c>
      <c r="I1878" s="6" t="str">
        <f>IFERROR(VLOOKUP(LOG_RESEAU[[#This Row],[Cell_ID]],Registre_Maintenance!A:F,6,FALSE),"Non trouvé")</f>
        <v>Nokia</v>
      </c>
      <c r="J1878" s="6" t="str">
        <f t="shared" si="87"/>
        <v>OK</v>
      </c>
      <c r="K1878" s="6">
        <f t="shared" si="88"/>
        <v>3</v>
      </c>
      <c r="L1878" s="6">
        <f t="shared" si="89"/>
        <v>114</v>
      </c>
    </row>
    <row r="1879" spans="1:12" ht="15.75" x14ac:dyDescent="0.25">
      <c r="A1879" s="6" t="s">
        <v>1267</v>
      </c>
      <c r="B1879" s="7">
        <v>45216.463888888888</v>
      </c>
      <c r="C1879" s="6">
        <v>58</v>
      </c>
      <c r="D1879" s="6" t="s">
        <v>794</v>
      </c>
      <c r="E1879" s="8" t="str">
        <f>IFERROR(VLOOKUP(LOG_RESEAU[[#This Row],[Cell_ID]],Registre_Maintenance!A:B,2,FALSE),"Non trouvé")</f>
        <v>Haut-Lomami</v>
      </c>
      <c r="F1879" s="8">
        <f>IFERROR(VLOOKUP(LOG_RESEAU[[#This Row],[Cell_ID]],Registre_Maintenance!A:C,3,FALSE),"Non trouvé")</f>
        <v>-7.1785899999999998</v>
      </c>
      <c r="G1879" s="8">
        <f>IFERROR(VLOOKUP(LOG_RESEAU[[#This Row],[Cell_ID]],Registre_Maintenance!A:D,4,FALSE),"Non trouvé")</f>
        <v>24.4404</v>
      </c>
      <c r="H1879" s="6" t="str">
        <f>IFERROR(VLOOKUP(LOG_RESEAU[[#This Row],[Cell_ID]],Registre_Maintenance!A:E,5,FALSE),"Non trouvé")</f>
        <v>4G</v>
      </c>
      <c r="I1879" s="6" t="str">
        <f>IFERROR(VLOOKUP(LOG_RESEAU[[#This Row],[Cell_ID]],Registre_Maintenance!A:F,6,FALSE),"Non trouvé")</f>
        <v>Nokia</v>
      </c>
      <c r="J1879" s="6" t="str">
        <f t="shared" si="87"/>
        <v>OK</v>
      </c>
      <c r="K1879" s="6">
        <f t="shared" si="88"/>
        <v>3</v>
      </c>
      <c r="L1879" s="6">
        <f t="shared" si="89"/>
        <v>114</v>
      </c>
    </row>
    <row r="1880" spans="1:12" ht="15.75" x14ac:dyDescent="0.25">
      <c r="A1880" s="6" t="s">
        <v>1267</v>
      </c>
      <c r="B1880" s="7">
        <v>45212.115277777782</v>
      </c>
      <c r="C1880" s="6">
        <v>15</v>
      </c>
      <c r="D1880" s="6" t="s">
        <v>800</v>
      </c>
      <c r="E1880" s="8" t="str">
        <f>IFERROR(VLOOKUP(LOG_RESEAU[[#This Row],[Cell_ID]],Registre_Maintenance!A:B,2,FALSE),"Non trouvé")</f>
        <v>Haut-Lomami</v>
      </c>
      <c r="F1880" s="8">
        <f>IFERROR(VLOOKUP(LOG_RESEAU[[#This Row],[Cell_ID]],Registre_Maintenance!A:C,3,FALSE),"Non trouvé")</f>
        <v>-7.1785899999999998</v>
      </c>
      <c r="G1880" s="8">
        <f>IFERROR(VLOOKUP(LOG_RESEAU[[#This Row],[Cell_ID]],Registre_Maintenance!A:D,4,FALSE),"Non trouvé")</f>
        <v>24.4404</v>
      </c>
      <c r="H1880" s="6" t="str">
        <f>IFERROR(VLOOKUP(LOG_RESEAU[[#This Row],[Cell_ID]],Registre_Maintenance!A:E,5,FALSE),"Non trouvé")</f>
        <v>4G</v>
      </c>
      <c r="I1880" s="6" t="str">
        <f>IFERROR(VLOOKUP(LOG_RESEAU[[#This Row],[Cell_ID]],Registre_Maintenance!A:F,6,FALSE),"Non trouvé")</f>
        <v>Nokia</v>
      </c>
      <c r="J1880" s="6" t="str">
        <f t="shared" si="87"/>
        <v>OK</v>
      </c>
      <c r="K1880" s="6">
        <f t="shared" si="88"/>
        <v>3</v>
      </c>
      <c r="L1880" s="6">
        <f t="shared" si="89"/>
        <v>114</v>
      </c>
    </row>
    <row r="1881" spans="1:12" ht="15.75" x14ac:dyDescent="0.25">
      <c r="A1881" s="6" t="s">
        <v>1323</v>
      </c>
      <c r="B1881" s="7">
        <v>45201.780555555553</v>
      </c>
      <c r="C1881" s="6">
        <v>15</v>
      </c>
      <c r="D1881" s="6" t="s">
        <v>794</v>
      </c>
      <c r="E1881" s="8" t="str">
        <f>IFERROR(VLOOKUP(LOG_RESEAU[[#This Row],[Cell_ID]],Registre_Maintenance!A:B,2,FALSE),"Non trouvé")</f>
        <v>Non trouvé</v>
      </c>
      <c r="F1881" s="8" t="str">
        <f>IFERROR(VLOOKUP(LOG_RESEAU[[#This Row],[Cell_ID]],Registre_Maintenance!A:C,3,FALSE),"Non trouvé")</f>
        <v>Non trouvé</v>
      </c>
      <c r="G1881" s="8" t="str">
        <f>IFERROR(VLOOKUP(LOG_RESEAU[[#This Row],[Cell_ID]],Registre_Maintenance!A:D,4,FALSE),"Non trouvé")</f>
        <v>Non trouvé</v>
      </c>
      <c r="H1881" s="6" t="str">
        <f>IFERROR(VLOOKUP(LOG_RESEAU[[#This Row],[Cell_ID]],Registre_Maintenance!A:E,5,FALSE),"Non trouvé")</f>
        <v>Non trouvé</v>
      </c>
      <c r="I1881" s="6" t="str">
        <f>IFERROR(VLOOKUP(LOG_RESEAU[[#This Row],[Cell_ID]],Registre_Maintenance!A:F,6,FALSE),"Non trouvé")</f>
        <v>Non trouvé</v>
      </c>
      <c r="J1881" s="6" t="str">
        <f t="shared" si="87"/>
        <v>Antenne inconnue</v>
      </c>
      <c r="K1881" s="6">
        <f t="shared" si="88"/>
        <v>1</v>
      </c>
      <c r="L1881" s="6">
        <f t="shared" si="89"/>
        <v>15</v>
      </c>
    </row>
    <row r="1882" spans="1:12" ht="15.75" x14ac:dyDescent="0.25">
      <c r="A1882" s="6" t="s">
        <v>1474</v>
      </c>
      <c r="B1882" s="7">
        <v>45225.054166666669</v>
      </c>
      <c r="C1882" s="6">
        <v>38</v>
      </c>
      <c r="D1882" s="6" t="s">
        <v>792</v>
      </c>
      <c r="E1882" s="8" t="str">
        <f>IFERROR(VLOOKUP(LOG_RESEAU[[#This Row],[Cell_ID]],Registre_Maintenance!A:B,2,FALSE),"Non trouvé")</f>
        <v>Lualaba</v>
      </c>
      <c r="F1882" s="8">
        <f>IFERROR(VLOOKUP(LOG_RESEAU[[#This Row],[Cell_ID]],Registre_Maintenance!A:C,3,FALSE),"Non trouvé")</f>
        <v>-4.2184999999999997</v>
      </c>
      <c r="G1882" s="8">
        <f>IFERROR(VLOOKUP(LOG_RESEAU[[#This Row],[Cell_ID]],Registre_Maintenance!A:D,4,FALSE),"Non trouvé")</f>
        <v>23.077093999999999</v>
      </c>
      <c r="H1882" s="6" t="str">
        <f>IFERROR(VLOOKUP(LOG_RESEAU[[#This Row],[Cell_ID]],Registre_Maintenance!A:E,5,FALSE),"Non trouvé")</f>
        <v>4G</v>
      </c>
      <c r="I1882" s="6" t="str">
        <f>IFERROR(VLOOKUP(LOG_RESEAU[[#This Row],[Cell_ID]],Registre_Maintenance!A:F,6,FALSE),"Non trouvé")</f>
        <v>Ericsson</v>
      </c>
      <c r="J1882" s="6" t="str">
        <f t="shared" si="87"/>
        <v>OK</v>
      </c>
      <c r="K1882" s="6">
        <f t="shared" si="88"/>
        <v>1</v>
      </c>
      <c r="L1882" s="6">
        <f t="shared" si="89"/>
        <v>38</v>
      </c>
    </row>
    <row r="1883" spans="1:12" ht="15.75" x14ac:dyDescent="0.25">
      <c r="A1883" s="6" t="s">
        <v>1348</v>
      </c>
      <c r="B1883" s="7">
        <v>45203.884027777778</v>
      </c>
      <c r="C1883" s="6">
        <v>116</v>
      </c>
      <c r="D1883" s="6" t="s">
        <v>800</v>
      </c>
      <c r="E1883" s="8" t="str">
        <f>IFERROR(VLOOKUP(LOG_RESEAU[[#This Row],[Cell_ID]],Registre_Maintenance!A:B,2,FALSE),"Non trouvé")</f>
        <v>Non trouvé</v>
      </c>
      <c r="F1883" s="8" t="str">
        <f>IFERROR(VLOOKUP(LOG_RESEAU[[#This Row],[Cell_ID]],Registre_Maintenance!A:C,3,FALSE),"Non trouvé")</f>
        <v>Non trouvé</v>
      </c>
      <c r="G1883" s="8" t="str">
        <f>IFERROR(VLOOKUP(LOG_RESEAU[[#This Row],[Cell_ID]],Registre_Maintenance!A:D,4,FALSE),"Non trouvé")</f>
        <v>Non trouvé</v>
      </c>
      <c r="H1883" s="6" t="str">
        <f>IFERROR(VLOOKUP(LOG_RESEAU[[#This Row],[Cell_ID]],Registre_Maintenance!A:E,5,FALSE),"Non trouvé")</f>
        <v>Non trouvé</v>
      </c>
      <c r="I1883" s="6" t="str">
        <f>IFERROR(VLOOKUP(LOG_RESEAU[[#This Row],[Cell_ID]],Registre_Maintenance!A:F,6,FALSE),"Non trouvé")</f>
        <v>Non trouvé</v>
      </c>
      <c r="J1883" s="6" t="str">
        <f t="shared" si="87"/>
        <v>Antenne inconnue</v>
      </c>
      <c r="K1883" s="6">
        <f t="shared" si="88"/>
        <v>2</v>
      </c>
      <c r="L1883" s="6">
        <f t="shared" si="89"/>
        <v>146</v>
      </c>
    </row>
    <row r="1884" spans="1:12" ht="15.75" x14ac:dyDescent="0.25">
      <c r="A1884" s="6" t="s">
        <v>1348</v>
      </c>
      <c r="B1884" s="7">
        <v>45209.940972222219</v>
      </c>
      <c r="C1884" s="6">
        <v>30</v>
      </c>
      <c r="D1884" s="6" t="s">
        <v>792</v>
      </c>
      <c r="E1884" s="8" t="str">
        <f>IFERROR(VLOOKUP(LOG_RESEAU[[#This Row],[Cell_ID]],Registre_Maintenance!A:B,2,FALSE),"Non trouvé")</f>
        <v>Non trouvé</v>
      </c>
      <c r="F1884" s="8" t="str">
        <f>IFERROR(VLOOKUP(LOG_RESEAU[[#This Row],[Cell_ID]],Registre_Maintenance!A:C,3,FALSE),"Non trouvé")</f>
        <v>Non trouvé</v>
      </c>
      <c r="G1884" s="8" t="str">
        <f>IFERROR(VLOOKUP(LOG_RESEAU[[#This Row],[Cell_ID]],Registre_Maintenance!A:D,4,FALSE),"Non trouvé")</f>
        <v>Non trouvé</v>
      </c>
      <c r="H1884" s="6" t="str">
        <f>IFERROR(VLOOKUP(LOG_RESEAU[[#This Row],[Cell_ID]],Registre_Maintenance!A:E,5,FALSE),"Non trouvé")</f>
        <v>Non trouvé</v>
      </c>
      <c r="I1884" s="6" t="str">
        <f>IFERROR(VLOOKUP(LOG_RESEAU[[#This Row],[Cell_ID]],Registre_Maintenance!A:F,6,FALSE),"Non trouvé")</f>
        <v>Non trouvé</v>
      </c>
      <c r="J1884" s="6" t="str">
        <f t="shared" si="87"/>
        <v>Antenne inconnue</v>
      </c>
      <c r="K1884" s="6">
        <f t="shared" si="88"/>
        <v>2</v>
      </c>
      <c r="L1884" s="6">
        <f t="shared" si="89"/>
        <v>146</v>
      </c>
    </row>
    <row r="1885" spans="1:12" ht="15.75" x14ac:dyDescent="0.25">
      <c r="A1885" s="6" t="s">
        <v>1360</v>
      </c>
      <c r="B1885" s="7">
        <v>45208.529861111107</v>
      </c>
      <c r="C1885" s="6">
        <v>72</v>
      </c>
      <c r="D1885" s="6" t="s">
        <v>792</v>
      </c>
      <c r="E1885" s="8" t="str">
        <f>IFERROR(VLOOKUP(LOG_RESEAU[[#This Row],[Cell_ID]],Registre_Maintenance!A:B,2,FALSE),"Non trouvé")</f>
        <v>Non trouvé</v>
      </c>
      <c r="F1885" s="8" t="str">
        <f>IFERROR(VLOOKUP(LOG_RESEAU[[#This Row],[Cell_ID]],Registre_Maintenance!A:C,3,FALSE),"Non trouvé")</f>
        <v>Non trouvé</v>
      </c>
      <c r="G1885" s="8" t="str">
        <f>IFERROR(VLOOKUP(LOG_RESEAU[[#This Row],[Cell_ID]],Registre_Maintenance!A:D,4,FALSE),"Non trouvé")</f>
        <v>Non trouvé</v>
      </c>
      <c r="H1885" s="6" t="str">
        <f>IFERROR(VLOOKUP(LOG_RESEAU[[#This Row],[Cell_ID]],Registre_Maintenance!A:E,5,FALSE),"Non trouvé")</f>
        <v>Non trouvé</v>
      </c>
      <c r="I1885" s="6" t="str">
        <f>IFERROR(VLOOKUP(LOG_RESEAU[[#This Row],[Cell_ID]],Registre_Maintenance!A:F,6,FALSE),"Non trouvé")</f>
        <v>Non trouvé</v>
      </c>
      <c r="J1885" s="6" t="str">
        <f t="shared" si="87"/>
        <v>Antenne inconnue</v>
      </c>
      <c r="K1885" s="6">
        <f t="shared" si="88"/>
        <v>1</v>
      </c>
      <c r="L1885" s="6">
        <f t="shared" si="89"/>
        <v>72</v>
      </c>
    </row>
    <row r="1886" spans="1:12" ht="15.75" x14ac:dyDescent="0.25">
      <c r="A1886" s="6" t="s">
        <v>1412</v>
      </c>
      <c r="B1886" s="7">
        <v>45230.638888888891</v>
      </c>
      <c r="C1886" s="6">
        <v>77</v>
      </c>
      <c r="D1886" s="6" t="s">
        <v>800</v>
      </c>
      <c r="E1886" s="8" t="str">
        <f>IFERROR(VLOOKUP(LOG_RESEAU[[#This Row],[Cell_ID]],Registre_Maintenance!A:B,2,FALSE),"Non trouvé")</f>
        <v>Kinshasa</v>
      </c>
      <c r="F1886" s="8">
        <f>IFERROR(VLOOKUP(LOG_RESEAU[[#This Row],[Cell_ID]],Registre_Maintenance!A:C,3,FALSE),"Non trouvé")</f>
        <v>-0.57104900000000003</v>
      </c>
      <c r="G1886" s="8">
        <f>IFERROR(VLOOKUP(LOG_RESEAU[[#This Row],[Cell_ID]],Registre_Maintenance!A:D,4,FALSE),"Non trouvé")</f>
        <v>15.317663</v>
      </c>
      <c r="H1886" s="6" t="str">
        <f>IFERROR(VLOOKUP(LOG_RESEAU[[#This Row],[Cell_ID]],Registre_Maintenance!A:E,5,FALSE),"Non trouvé")</f>
        <v>5G</v>
      </c>
      <c r="I1886" s="6" t="str">
        <f>IFERROR(VLOOKUP(LOG_RESEAU[[#This Row],[Cell_ID]],Registre_Maintenance!A:F,6,FALSE),"Non trouvé")</f>
        <v>Nokia</v>
      </c>
      <c r="J1886" s="6" t="str">
        <f t="shared" si="87"/>
        <v>OK</v>
      </c>
      <c r="K1886" s="6">
        <f t="shared" si="88"/>
        <v>1</v>
      </c>
      <c r="L1886" s="6">
        <f t="shared" si="89"/>
        <v>77</v>
      </c>
    </row>
    <row r="1887" spans="1:12" ht="15.75" x14ac:dyDescent="0.25">
      <c r="A1887" s="6" t="s">
        <v>1384</v>
      </c>
      <c r="B1887" s="7">
        <v>45211.337500000001</v>
      </c>
      <c r="C1887" s="6">
        <v>88</v>
      </c>
      <c r="D1887" s="6" t="s">
        <v>800</v>
      </c>
      <c r="E1887" s="8" t="str">
        <f>IFERROR(VLOOKUP(LOG_RESEAU[[#This Row],[Cell_ID]],Registre_Maintenance!A:B,2,FALSE),"Non trouvé")</f>
        <v>Ituri</v>
      </c>
      <c r="F1887" s="8">
        <f>IFERROR(VLOOKUP(LOG_RESEAU[[#This Row],[Cell_ID]],Registre_Maintenance!A:C,3,FALSE),"Non trouvé")</f>
        <v>-12.364127999999999</v>
      </c>
      <c r="G1887" s="8">
        <f>IFERROR(VLOOKUP(LOG_RESEAU[[#This Row],[Cell_ID]],Registre_Maintenance!A:D,4,FALSE),"Non trouvé")</f>
        <v>19.576150999999999</v>
      </c>
      <c r="H1887" s="6" t="str">
        <f>IFERROR(VLOOKUP(LOG_RESEAU[[#This Row],[Cell_ID]],Registre_Maintenance!A:E,5,FALSE),"Non trouvé")</f>
        <v>3G</v>
      </c>
      <c r="I1887" s="6" t="str">
        <f>IFERROR(VLOOKUP(LOG_RESEAU[[#This Row],[Cell_ID]],Registre_Maintenance!A:F,6,FALSE),"Non trouvé")</f>
        <v>Nokia</v>
      </c>
      <c r="J1887" s="6" t="str">
        <f t="shared" si="87"/>
        <v>OK</v>
      </c>
      <c r="K1887" s="6">
        <f t="shared" si="88"/>
        <v>1</v>
      </c>
      <c r="L1887" s="6">
        <f t="shared" si="89"/>
        <v>88</v>
      </c>
    </row>
    <row r="1888" spans="1:12" ht="15.75" x14ac:dyDescent="0.25">
      <c r="A1888" s="6" t="s">
        <v>1207</v>
      </c>
      <c r="B1888" s="7">
        <v>45205.102777777778</v>
      </c>
      <c r="C1888" s="6">
        <v>84</v>
      </c>
      <c r="D1888" s="6" t="s">
        <v>792</v>
      </c>
      <c r="E1888" s="8" t="str">
        <f>IFERROR(VLOOKUP(LOG_RESEAU[[#This Row],[Cell_ID]],Registre_Maintenance!A:B,2,FALSE),"Non trouvé")</f>
        <v>Non trouvé</v>
      </c>
      <c r="F1888" s="8" t="str">
        <f>IFERROR(VLOOKUP(LOG_RESEAU[[#This Row],[Cell_ID]],Registre_Maintenance!A:C,3,FALSE),"Non trouvé")</f>
        <v>Non trouvé</v>
      </c>
      <c r="G1888" s="8" t="str">
        <f>IFERROR(VLOOKUP(LOG_RESEAU[[#This Row],[Cell_ID]],Registre_Maintenance!A:D,4,FALSE),"Non trouvé")</f>
        <v>Non trouvé</v>
      </c>
      <c r="H1888" s="6" t="str">
        <f>IFERROR(VLOOKUP(LOG_RESEAU[[#This Row],[Cell_ID]],Registre_Maintenance!A:E,5,FALSE),"Non trouvé")</f>
        <v>Non trouvé</v>
      </c>
      <c r="I1888" s="6" t="str">
        <f>IFERROR(VLOOKUP(LOG_RESEAU[[#This Row],[Cell_ID]],Registre_Maintenance!A:F,6,FALSE),"Non trouvé")</f>
        <v>Non trouvé</v>
      </c>
      <c r="J1888" s="6" t="str">
        <f t="shared" si="87"/>
        <v>Antenne inconnue</v>
      </c>
      <c r="K1888" s="6">
        <f t="shared" si="88"/>
        <v>1</v>
      </c>
      <c r="L1888" s="6">
        <f t="shared" si="89"/>
        <v>84</v>
      </c>
    </row>
    <row r="1889" spans="1:12" ht="15.75" x14ac:dyDescent="0.25">
      <c r="A1889" s="6" t="s">
        <v>1071</v>
      </c>
      <c r="B1889" s="7">
        <v>45201.670138888891</v>
      </c>
      <c r="C1889" s="6">
        <v>22</v>
      </c>
      <c r="D1889" s="6" t="s">
        <v>792</v>
      </c>
      <c r="E1889" s="8" t="str">
        <f>IFERROR(VLOOKUP(LOG_RESEAU[[#This Row],[Cell_ID]],Registre_Maintenance!A:B,2,FALSE),"Non trouvé")</f>
        <v>Non trouvé</v>
      </c>
      <c r="F1889" s="8" t="str">
        <f>IFERROR(VLOOKUP(LOG_RESEAU[[#This Row],[Cell_ID]],Registre_Maintenance!A:C,3,FALSE),"Non trouvé")</f>
        <v>Non trouvé</v>
      </c>
      <c r="G1889" s="8" t="str">
        <f>IFERROR(VLOOKUP(LOG_RESEAU[[#This Row],[Cell_ID]],Registre_Maintenance!A:D,4,FALSE),"Non trouvé")</f>
        <v>Non trouvé</v>
      </c>
      <c r="H1889" s="6" t="str">
        <f>IFERROR(VLOOKUP(LOG_RESEAU[[#This Row],[Cell_ID]],Registre_Maintenance!A:E,5,FALSE),"Non trouvé")</f>
        <v>Non trouvé</v>
      </c>
      <c r="I1889" s="6" t="str">
        <f>IFERROR(VLOOKUP(LOG_RESEAU[[#This Row],[Cell_ID]],Registre_Maintenance!A:F,6,FALSE),"Non trouvé")</f>
        <v>Non trouvé</v>
      </c>
      <c r="J1889" s="6" t="str">
        <f t="shared" si="87"/>
        <v>Antenne inconnue</v>
      </c>
      <c r="K1889" s="6">
        <f t="shared" si="88"/>
        <v>2</v>
      </c>
      <c r="L1889" s="6">
        <f t="shared" si="89"/>
        <v>124</v>
      </c>
    </row>
    <row r="1890" spans="1:12" ht="15.75" x14ac:dyDescent="0.25">
      <c r="A1890" s="6" t="s">
        <v>1071</v>
      </c>
      <c r="B1890" s="7">
        <v>45219.997916666667</v>
      </c>
      <c r="C1890" s="6">
        <v>102</v>
      </c>
      <c r="D1890" s="6" t="s">
        <v>800</v>
      </c>
      <c r="E1890" s="8" t="str">
        <f>IFERROR(VLOOKUP(LOG_RESEAU[[#This Row],[Cell_ID]],Registre_Maintenance!A:B,2,FALSE),"Non trouvé")</f>
        <v>Non trouvé</v>
      </c>
      <c r="F1890" s="8" t="str">
        <f>IFERROR(VLOOKUP(LOG_RESEAU[[#This Row],[Cell_ID]],Registre_Maintenance!A:C,3,FALSE),"Non trouvé")</f>
        <v>Non trouvé</v>
      </c>
      <c r="G1890" s="8" t="str">
        <f>IFERROR(VLOOKUP(LOG_RESEAU[[#This Row],[Cell_ID]],Registre_Maintenance!A:D,4,FALSE),"Non trouvé")</f>
        <v>Non trouvé</v>
      </c>
      <c r="H1890" s="6" t="str">
        <f>IFERROR(VLOOKUP(LOG_RESEAU[[#This Row],[Cell_ID]],Registre_Maintenance!A:E,5,FALSE),"Non trouvé")</f>
        <v>Non trouvé</v>
      </c>
      <c r="I1890" s="6" t="str">
        <f>IFERROR(VLOOKUP(LOG_RESEAU[[#This Row],[Cell_ID]],Registre_Maintenance!A:F,6,FALSE),"Non trouvé")</f>
        <v>Non trouvé</v>
      </c>
      <c r="J1890" s="6" t="str">
        <f t="shared" si="87"/>
        <v>Antenne inconnue</v>
      </c>
      <c r="K1890" s="6">
        <f t="shared" si="88"/>
        <v>2</v>
      </c>
      <c r="L1890" s="6">
        <f t="shared" si="89"/>
        <v>124</v>
      </c>
    </row>
    <row r="1891" spans="1:12" ht="15.75" x14ac:dyDescent="0.25">
      <c r="A1891" s="6" t="s">
        <v>1292</v>
      </c>
      <c r="B1891" s="7">
        <v>45225.177083333343</v>
      </c>
      <c r="C1891" s="6">
        <v>36</v>
      </c>
      <c r="D1891" s="6" t="s">
        <v>792</v>
      </c>
      <c r="E1891" s="8" t="str">
        <f>IFERROR(VLOOKUP(LOG_RESEAU[[#This Row],[Cell_ID]],Registre_Maintenance!A:B,2,FALSE),"Non trouvé")</f>
        <v>Non trouvé</v>
      </c>
      <c r="F1891" s="8" t="str">
        <f>IFERROR(VLOOKUP(LOG_RESEAU[[#This Row],[Cell_ID]],Registre_Maintenance!A:C,3,FALSE),"Non trouvé")</f>
        <v>Non trouvé</v>
      </c>
      <c r="G1891" s="8" t="str">
        <f>IFERROR(VLOOKUP(LOG_RESEAU[[#This Row],[Cell_ID]],Registre_Maintenance!A:D,4,FALSE),"Non trouvé")</f>
        <v>Non trouvé</v>
      </c>
      <c r="H1891" s="6" t="str">
        <f>IFERROR(VLOOKUP(LOG_RESEAU[[#This Row],[Cell_ID]],Registre_Maintenance!A:E,5,FALSE),"Non trouvé")</f>
        <v>Non trouvé</v>
      </c>
      <c r="I1891" s="6" t="str">
        <f>IFERROR(VLOOKUP(LOG_RESEAU[[#This Row],[Cell_ID]],Registre_Maintenance!A:F,6,FALSE),"Non trouvé")</f>
        <v>Non trouvé</v>
      </c>
      <c r="J1891" s="6" t="str">
        <f t="shared" si="87"/>
        <v>Antenne inconnue</v>
      </c>
      <c r="K1891" s="6">
        <f t="shared" si="88"/>
        <v>1</v>
      </c>
      <c r="L1891" s="6">
        <f t="shared" si="89"/>
        <v>36</v>
      </c>
    </row>
    <row r="1892" spans="1:12" ht="15.75" x14ac:dyDescent="0.25">
      <c r="A1892" s="6" t="s">
        <v>1049</v>
      </c>
      <c r="B1892" s="7">
        <v>45207.982638888891</v>
      </c>
      <c r="C1892" s="6">
        <v>25</v>
      </c>
      <c r="D1892" s="6" t="s">
        <v>792</v>
      </c>
      <c r="E1892" s="8" t="str">
        <f>IFERROR(VLOOKUP(LOG_RESEAU[[#This Row],[Cell_ID]],Registre_Maintenance!A:B,2,FALSE),"Non trouvé")</f>
        <v>Nord-Kivu</v>
      </c>
      <c r="F1892" s="8">
        <f>IFERROR(VLOOKUP(LOG_RESEAU[[#This Row],[Cell_ID]],Registre_Maintenance!A:C,3,FALSE),"Non trouvé")</f>
        <v>-11.866133</v>
      </c>
      <c r="G1892" s="8">
        <f>IFERROR(VLOOKUP(LOG_RESEAU[[#This Row],[Cell_ID]],Registre_Maintenance!A:D,4,FALSE),"Non trouvé")</f>
        <v>27.068932</v>
      </c>
      <c r="H1892" s="6" t="str">
        <f>IFERROR(VLOOKUP(LOG_RESEAU[[#This Row],[Cell_ID]],Registre_Maintenance!A:E,5,FALSE),"Non trouvé")</f>
        <v>3G</v>
      </c>
      <c r="I1892" s="6" t="str">
        <f>IFERROR(VLOOKUP(LOG_RESEAU[[#This Row],[Cell_ID]],Registre_Maintenance!A:F,6,FALSE),"Non trouvé")</f>
        <v>Huawei</v>
      </c>
      <c r="J1892" s="6" t="str">
        <f t="shared" si="87"/>
        <v>OK</v>
      </c>
      <c r="K1892" s="6">
        <f t="shared" si="88"/>
        <v>2</v>
      </c>
      <c r="L1892" s="6">
        <f t="shared" si="89"/>
        <v>142</v>
      </c>
    </row>
    <row r="1893" spans="1:12" ht="15.75" x14ac:dyDescent="0.25">
      <c r="A1893" s="6" t="s">
        <v>1049</v>
      </c>
      <c r="B1893" s="7">
        <v>45215.67291666667</v>
      </c>
      <c r="C1893" s="6">
        <v>117</v>
      </c>
      <c r="D1893" s="6" t="s">
        <v>792</v>
      </c>
      <c r="E1893" s="8" t="str">
        <f>IFERROR(VLOOKUP(LOG_RESEAU[[#This Row],[Cell_ID]],Registre_Maintenance!A:B,2,FALSE),"Non trouvé")</f>
        <v>Nord-Kivu</v>
      </c>
      <c r="F1893" s="8">
        <f>IFERROR(VLOOKUP(LOG_RESEAU[[#This Row],[Cell_ID]],Registre_Maintenance!A:C,3,FALSE),"Non trouvé")</f>
        <v>-11.866133</v>
      </c>
      <c r="G1893" s="8">
        <f>IFERROR(VLOOKUP(LOG_RESEAU[[#This Row],[Cell_ID]],Registre_Maintenance!A:D,4,FALSE),"Non trouvé")</f>
        <v>27.068932</v>
      </c>
      <c r="H1893" s="6" t="str">
        <f>IFERROR(VLOOKUP(LOG_RESEAU[[#This Row],[Cell_ID]],Registre_Maintenance!A:E,5,FALSE),"Non trouvé")</f>
        <v>3G</v>
      </c>
      <c r="I1893" s="6" t="str">
        <f>IFERROR(VLOOKUP(LOG_RESEAU[[#This Row],[Cell_ID]],Registre_Maintenance!A:F,6,FALSE),"Non trouvé")</f>
        <v>Huawei</v>
      </c>
      <c r="J1893" s="6" t="str">
        <f t="shared" si="87"/>
        <v>OK</v>
      </c>
      <c r="K1893" s="6">
        <f t="shared" si="88"/>
        <v>2</v>
      </c>
      <c r="L1893" s="6">
        <f t="shared" si="89"/>
        <v>142</v>
      </c>
    </row>
    <row r="1894" spans="1:12" ht="15.75" x14ac:dyDescent="0.25">
      <c r="A1894" s="6" t="s">
        <v>1124</v>
      </c>
      <c r="B1894" s="7">
        <v>45201.35</v>
      </c>
      <c r="C1894" s="6">
        <v>73</v>
      </c>
      <c r="D1894" s="6" t="s">
        <v>794</v>
      </c>
      <c r="E1894" s="8" t="str">
        <f>IFERROR(VLOOKUP(LOG_RESEAU[[#This Row],[Cell_ID]],Registre_Maintenance!A:B,2,FALSE),"Non trouvé")</f>
        <v>Non trouvé</v>
      </c>
      <c r="F1894" s="8" t="str">
        <f>IFERROR(VLOOKUP(LOG_RESEAU[[#This Row],[Cell_ID]],Registre_Maintenance!A:C,3,FALSE),"Non trouvé")</f>
        <v>Non trouvé</v>
      </c>
      <c r="G1894" s="8" t="str">
        <f>IFERROR(VLOOKUP(LOG_RESEAU[[#This Row],[Cell_ID]],Registre_Maintenance!A:D,4,FALSE),"Non trouvé")</f>
        <v>Non trouvé</v>
      </c>
      <c r="H1894" s="6" t="str">
        <f>IFERROR(VLOOKUP(LOG_RESEAU[[#This Row],[Cell_ID]],Registre_Maintenance!A:E,5,FALSE),"Non trouvé")</f>
        <v>Non trouvé</v>
      </c>
      <c r="I1894" s="6" t="str">
        <f>IFERROR(VLOOKUP(LOG_RESEAU[[#This Row],[Cell_ID]],Registre_Maintenance!A:F,6,FALSE),"Non trouvé")</f>
        <v>Non trouvé</v>
      </c>
      <c r="J1894" s="6" t="str">
        <f t="shared" si="87"/>
        <v>Antenne inconnue</v>
      </c>
      <c r="K1894" s="6">
        <f t="shared" si="88"/>
        <v>4</v>
      </c>
      <c r="L1894" s="6">
        <f t="shared" si="89"/>
        <v>347</v>
      </c>
    </row>
    <row r="1895" spans="1:12" ht="15.75" x14ac:dyDescent="0.25">
      <c r="A1895" s="6" t="s">
        <v>1124</v>
      </c>
      <c r="B1895" s="7">
        <v>45217.818749999999</v>
      </c>
      <c r="C1895" s="6">
        <v>100</v>
      </c>
      <c r="D1895" s="6" t="s">
        <v>794</v>
      </c>
      <c r="E1895" s="8" t="str">
        <f>IFERROR(VLOOKUP(LOG_RESEAU[[#This Row],[Cell_ID]],Registre_Maintenance!A:B,2,FALSE),"Non trouvé")</f>
        <v>Non trouvé</v>
      </c>
      <c r="F1895" s="8" t="str">
        <f>IFERROR(VLOOKUP(LOG_RESEAU[[#This Row],[Cell_ID]],Registre_Maintenance!A:C,3,FALSE),"Non trouvé")</f>
        <v>Non trouvé</v>
      </c>
      <c r="G1895" s="8" t="str">
        <f>IFERROR(VLOOKUP(LOG_RESEAU[[#This Row],[Cell_ID]],Registre_Maintenance!A:D,4,FALSE),"Non trouvé")</f>
        <v>Non trouvé</v>
      </c>
      <c r="H1895" s="6" t="str">
        <f>IFERROR(VLOOKUP(LOG_RESEAU[[#This Row],[Cell_ID]],Registre_Maintenance!A:E,5,FALSE),"Non trouvé")</f>
        <v>Non trouvé</v>
      </c>
      <c r="I1895" s="6" t="str">
        <f>IFERROR(VLOOKUP(LOG_RESEAU[[#This Row],[Cell_ID]],Registre_Maintenance!A:F,6,FALSE),"Non trouvé")</f>
        <v>Non trouvé</v>
      </c>
      <c r="J1895" s="6" t="str">
        <f t="shared" si="87"/>
        <v>Antenne inconnue</v>
      </c>
      <c r="K1895" s="6">
        <f t="shared" si="88"/>
        <v>4</v>
      </c>
      <c r="L1895" s="6">
        <f t="shared" si="89"/>
        <v>347</v>
      </c>
    </row>
    <row r="1896" spans="1:12" ht="15.75" x14ac:dyDescent="0.25">
      <c r="A1896" s="6" t="s">
        <v>1124</v>
      </c>
      <c r="B1896" s="7">
        <v>45217.701388888891</v>
      </c>
      <c r="C1896" s="6">
        <v>71</v>
      </c>
      <c r="D1896" s="6" t="s">
        <v>800</v>
      </c>
      <c r="E1896" s="8" t="str">
        <f>IFERROR(VLOOKUP(LOG_RESEAU[[#This Row],[Cell_ID]],Registre_Maintenance!A:B,2,FALSE),"Non trouvé")</f>
        <v>Non trouvé</v>
      </c>
      <c r="F1896" s="8" t="str">
        <f>IFERROR(VLOOKUP(LOG_RESEAU[[#This Row],[Cell_ID]],Registre_Maintenance!A:C,3,FALSE),"Non trouvé")</f>
        <v>Non trouvé</v>
      </c>
      <c r="G1896" s="8" t="str">
        <f>IFERROR(VLOOKUP(LOG_RESEAU[[#This Row],[Cell_ID]],Registre_Maintenance!A:D,4,FALSE),"Non trouvé")</f>
        <v>Non trouvé</v>
      </c>
      <c r="H1896" s="6" t="str">
        <f>IFERROR(VLOOKUP(LOG_RESEAU[[#This Row],[Cell_ID]],Registre_Maintenance!A:E,5,FALSE),"Non trouvé")</f>
        <v>Non trouvé</v>
      </c>
      <c r="I1896" s="6" t="str">
        <f>IFERROR(VLOOKUP(LOG_RESEAU[[#This Row],[Cell_ID]],Registre_Maintenance!A:F,6,FALSE),"Non trouvé")</f>
        <v>Non trouvé</v>
      </c>
      <c r="J1896" s="6" t="str">
        <f t="shared" si="87"/>
        <v>Antenne inconnue</v>
      </c>
      <c r="K1896" s="6">
        <f t="shared" si="88"/>
        <v>4</v>
      </c>
      <c r="L1896" s="6">
        <f t="shared" si="89"/>
        <v>347</v>
      </c>
    </row>
    <row r="1897" spans="1:12" ht="15.75" x14ac:dyDescent="0.25">
      <c r="A1897" s="6" t="s">
        <v>1124</v>
      </c>
      <c r="B1897" s="7">
        <v>45202.289583333331</v>
      </c>
      <c r="C1897" s="6">
        <v>103</v>
      </c>
      <c r="D1897" s="6" t="s">
        <v>800</v>
      </c>
      <c r="E1897" s="8" t="str">
        <f>IFERROR(VLOOKUP(LOG_RESEAU[[#This Row],[Cell_ID]],Registre_Maintenance!A:B,2,FALSE),"Non trouvé")</f>
        <v>Non trouvé</v>
      </c>
      <c r="F1897" s="8" t="str">
        <f>IFERROR(VLOOKUP(LOG_RESEAU[[#This Row],[Cell_ID]],Registre_Maintenance!A:C,3,FALSE),"Non trouvé")</f>
        <v>Non trouvé</v>
      </c>
      <c r="G1897" s="8" t="str">
        <f>IFERROR(VLOOKUP(LOG_RESEAU[[#This Row],[Cell_ID]],Registre_Maintenance!A:D,4,FALSE),"Non trouvé")</f>
        <v>Non trouvé</v>
      </c>
      <c r="H1897" s="6" t="str">
        <f>IFERROR(VLOOKUP(LOG_RESEAU[[#This Row],[Cell_ID]],Registre_Maintenance!A:E,5,FALSE),"Non trouvé")</f>
        <v>Non trouvé</v>
      </c>
      <c r="I1897" s="6" t="str">
        <f>IFERROR(VLOOKUP(LOG_RESEAU[[#This Row],[Cell_ID]],Registre_Maintenance!A:F,6,FALSE),"Non trouvé")</f>
        <v>Non trouvé</v>
      </c>
      <c r="J1897" s="6" t="str">
        <f t="shared" si="87"/>
        <v>Antenne inconnue</v>
      </c>
      <c r="K1897" s="6">
        <f t="shared" si="88"/>
        <v>4</v>
      </c>
      <c r="L1897" s="6">
        <f t="shared" si="89"/>
        <v>347</v>
      </c>
    </row>
    <row r="1898" spans="1:12" ht="15.75" x14ac:dyDescent="0.25">
      <c r="A1898" s="6" t="s">
        <v>1456</v>
      </c>
      <c r="B1898" s="7">
        <v>45205.768750000003</v>
      </c>
      <c r="C1898" s="6">
        <v>36</v>
      </c>
      <c r="D1898" s="6" t="s">
        <v>794</v>
      </c>
      <c r="E1898" s="8" t="str">
        <f>IFERROR(VLOOKUP(LOG_RESEAU[[#This Row],[Cell_ID]],Registre_Maintenance!A:B,2,FALSE),"Non trouvé")</f>
        <v>Kongo-Central</v>
      </c>
      <c r="F1898" s="8">
        <f>IFERROR(VLOOKUP(LOG_RESEAU[[#This Row],[Cell_ID]],Registre_Maintenance!A:C,3,FALSE),"Non trouvé")</f>
        <v>-0.469945</v>
      </c>
      <c r="G1898" s="8">
        <f>IFERROR(VLOOKUP(LOG_RESEAU[[#This Row],[Cell_ID]],Registre_Maintenance!A:D,4,FALSE),"Non trouvé")</f>
        <v>21.038527999999999</v>
      </c>
      <c r="H1898" s="6" t="str">
        <f>IFERROR(VLOOKUP(LOG_RESEAU[[#This Row],[Cell_ID]],Registre_Maintenance!A:E,5,FALSE),"Non trouvé")</f>
        <v>3G</v>
      </c>
      <c r="I1898" s="6" t="str">
        <f>IFERROR(VLOOKUP(LOG_RESEAU[[#This Row],[Cell_ID]],Registre_Maintenance!A:F,6,FALSE),"Non trouvé")</f>
        <v>Ericsson</v>
      </c>
      <c r="J1898" s="6" t="str">
        <f t="shared" si="87"/>
        <v>OK</v>
      </c>
      <c r="K1898" s="6">
        <f t="shared" si="88"/>
        <v>1</v>
      </c>
      <c r="L1898" s="6">
        <f t="shared" si="89"/>
        <v>36</v>
      </c>
    </row>
    <row r="1899" spans="1:12" ht="15.75" x14ac:dyDescent="0.25">
      <c r="A1899" s="6" t="s">
        <v>1085</v>
      </c>
      <c r="B1899" s="7">
        <v>45203.810416666667</v>
      </c>
      <c r="C1899" s="6">
        <v>78</v>
      </c>
      <c r="D1899" s="6" t="s">
        <v>792</v>
      </c>
      <c r="E1899" s="8" t="str">
        <f>IFERROR(VLOOKUP(LOG_RESEAU[[#This Row],[Cell_ID]],Registre_Maintenance!A:B,2,FALSE),"Non trouvé")</f>
        <v>Non trouvé</v>
      </c>
      <c r="F1899" s="8" t="str">
        <f>IFERROR(VLOOKUP(LOG_RESEAU[[#This Row],[Cell_ID]],Registre_Maintenance!A:C,3,FALSE),"Non trouvé")</f>
        <v>Non trouvé</v>
      </c>
      <c r="G1899" s="8" t="str">
        <f>IFERROR(VLOOKUP(LOG_RESEAU[[#This Row],[Cell_ID]],Registre_Maintenance!A:D,4,FALSE),"Non trouvé")</f>
        <v>Non trouvé</v>
      </c>
      <c r="H1899" s="6" t="str">
        <f>IFERROR(VLOOKUP(LOG_RESEAU[[#This Row],[Cell_ID]],Registre_Maintenance!A:E,5,FALSE),"Non trouvé")</f>
        <v>Non trouvé</v>
      </c>
      <c r="I1899" s="6" t="str">
        <f>IFERROR(VLOOKUP(LOG_RESEAU[[#This Row],[Cell_ID]],Registre_Maintenance!A:F,6,FALSE),"Non trouvé")</f>
        <v>Non trouvé</v>
      </c>
      <c r="J1899" s="6" t="str">
        <f t="shared" si="87"/>
        <v>Antenne inconnue</v>
      </c>
      <c r="K1899" s="6">
        <f t="shared" si="88"/>
        <v>1</v>
      </c>
      <c r="L1899" s="6">
        <f t="shared" si="89"/>
        <v>78</v>
      </c>
    </row>
    <row r="1900" spans="1:12" ht="15.75" x14ac:dyDescent="0.25">
      <c r="A1900" s="6" t="s">
        <v>1517</v>
      </c>
      <c r="B1900" s="7">
        <v>45213.584722222222</v>
      </c>
      <c r="C1900" s="6">
        <v>35</v>
      </c>
      <c r="D1900" s="6" t="s">
        <v>800</v>
      </c>
      <c r="E1900" s="8" t="str">
        <f>IFERROR(VLOOKUP(LOG_RESEAU[[#This Row],[Cell_ID]],Registre_Maintenance!A:B,2,FALSE),"Non trouvé")</f>
        <v>Non trouvé</v>
      </c>
      <c r="F1900" s="8" t="str">
        <f>IFERROR(VLOOKUP(LOG_RESEAU[[#This Row],[Cell_ID]],Registre_Maintenance!A:C,3,FALSE),"Non trouvé")</f>
        <v>Non trouvé</v>
      </c>
      <c r="G1900" s="8" t="str">
        <f>IFERROR(VLOOKUP(LOG_RESEAU[[#This Row],[Cell_ID]],Registre_Maintenance!A:D,4,FALSE),"Non trouvé")</f>
        <v>Non trouvé</v>
      </c>
      <c r="H1900" s="6" t="str">
        <f>IFERROR(VLOOKUP(LOG_RESEAU[[#This Row],[Cell_ID]],Registre_Maintenance!A:E,5,FALSE),"Non trouvé")</f>
        <v>Non trouvé</v>
      </c>
      <c r="I1900" s="6" t="str">
        <f>IFERROR(VLOOKUP(LOG_RESEAU[[#This Row],[Cell_ID]],Registre_Maintenance!A:F,6,FALSE),"Non trouvé")</f>
        <v>Non trouvé</v>
      </c>
      <c r="J1900" s="6" t="str">
        <f t="shared" si="87"/>
        <v>Antenne inconnue</v>
      </c>
      <c r="K1900" s="6">
        <f t="shared" si="88"/>
        <v>1</v>
      </c>
      <c r="L1900" s="6">
        <f t="shared" si="89"/>
        <v>35</v>
      </c>
    </row>
    <row r="1901" spans="1:12" ht="15.75" x14ac:dyDescent="0.25">
      <c r="A1901" s="6" t="s">
        <v>1544</v>
      </c>
      <c r="B1901" s="7">
        <v>45225.888194444437</v>
      </c>
      <c r="C1901" s="6">
        <v>87</v>
      </c>
      <c r="D1901" s="6" t="s">
        <v>792</v>
      </c>
      <c r="E1901" s="8" t="str">
        <f>IFERROR(VLOOKUP(LOG_RESEAU[[#This Row],[Cell_ID]],Registre_Maintenance!A:B,2,FALSE),"Non trouvé")</f>
        <v>Haut-Lomami</v>
      </c>
      <c r="F1901" s="8">
        <f>IFERROR(VLOOKUP(LOG_RESEAU[[#This Row],[Cell_ID]],Registre_Maintenance!A:C,3,FALSE),"Non trouvé")</f>
        <v>-5.8145569999999998</v>
      </c>
      <c r="G1901" s="8">
        <f>IFERROR(VLOOKUP(LOG_RESEAU[[#This Row],[Cell_ID]],Registre_Maintenance!A:D,4,FALSE),"Non trouvé")</f>
        <v>21.942052</v>
      </c>
      <c r="H1901" s="6" t="str">
        <f>IFERROR(VLOOKUP(LOG_RESEAU[[#This Row],[Cell_ID]],Registre_Maintenance!A:E,5,FALSE),"Non trouvé")</f>
        <v>5G</v>
      </c>
      <c r="I1901" s="6" t="str">
        <f>IFERROR(VLOOKUP(LOG_RESEAU[[#This Row],[Cell_ID]],Registre_Maintenance!A:F,6,FALSE),"Non trouvé")</f>
        <v>Huawei</v>
      </c>
      <c r="J1901" s="6" t="str">
        <f t="shared" si="87"/>
        <v>OK</v>
      </c>
      <c r="K1901" s="6">
        <f t="shared" si="88"/>
        <v>1</v>
      </c>
      <c r="L1901" s="6">
        <f t="shared" si="89"/>
        <v>87</v>
      </c>
    </row>
    <row r="1902" spans="1:12" ht="15.75" x14ac:dyDescent="0.25">
      <c r="A1902" s="6" t="s">
        <v>1285</v>
      </c>
      <c r="B1902" s="7">
        <v>45226.895138888889</v>
      </c>
      <c r="C1902" s="6">
        <v>42</v>
      </c>
      <c r="D1902" s="6" t="s">
        <v>794</v>
      </c>
      <c r="E1902" s="8" t="str">
        <f>IFERROR(VLOOKUP(LOG_RESEAU[[#This Row],[Cell_ID]],Registre_Maintenance!A:B,2,FALSE),"Non trouvé")</f>
        <v>Non trouvé</v>
      </c>
      <c r="F1902" s="8" t="str">
        <f>IFERROR(VLOOKUP(LOG_RESEAU[[#This Row],[Cell_ID]],Registre_Maintenance!A:C,3,FALSE),"Non trouvé")</f>
        <v>Non trouvé</v>
      </c>
      <c r="G1902" s="8" t="str">
        <f>IFERROR(VLOOKUP(LOG_RESEAU[[#This Row],[Cell_ID]],Registre_Maintenance!A:D,4,FALSE),"Non trouvé")</f>
        <v>Non trouvé</v>
      </c>
      <c r="H1902" s="6" t="str">
        <f>IFERROR(VLOOKUP(LOG_RESEAU[[#This Row],[Cell_ID]],Registre_Maintenance!A:E,5,FALSE),"Non trouvé")</f>
        <v>Non trouvé</v>
      </c>
      <c r="I1902" s="6" t="str">
        <f>IFERROR(VLOOKUP(LOG_RESEAU[[#This Row],[Cell_ID]],Registre_Maintenance!A:F,6,FALSE),"Non trouvé")</f>
        <v>Non trouvé</v>
      </c>
      <c r="J1902" s="6" t="str">
        <f t="shared" si="87"/>
        <v>Antenne inconnue</v>
      </c>
      <c r="K1902" s="6">
        <f t="shared" si="88"/>
        <v>3</v>
      </c>
      <c r="L1902" s="6">
        <f t="shared" si="89"/>
        <v>210</v>
      </c>
    </row>
    <row r="1903" spans="1:12" ht="15.75" x14ac:dyDescent="0.25">
      <c r="A1903" s="6" t="s">
        <v>1285</v>
      </c>
      <c r="B1903" s="7">
        <v>45223.513888888891</v>
      </c>
      <c r="C1903" s="6">
        <v>109</v>
      </c>
      <c r="D1903" s="6" t="s">
        <v>800</v>
      </c>
      <c r="E1903" s="8" t="str">
        <f>IFERROR(VLOOKUP(LOG_RESEAU[[#This Row],[Cell_ID]],Registre_Maintenance!A:B,2,FALSE),"Non trouvé")</f>
        <v>Non trouvé</v>
      </c>
      <c r="F1903" s="8" t="str">
        <f>IFERROR(VLOOKUP(LOG_RESEAU[[#This Row],[Cell_ID]],Registre_Maintenance!A:C,3,FALSE),"Non trouvé")</f>
        <v>Non trouvé</v>
      </c>
      <c r="G1903" s="8" t="str">
        <f>IFERROR(VLOOKUP(LOG_RESEAU[[#This Row],[Cell_ID]],Registre_Maintenance!A:D,4,FALSE),"Non trouvé")</f>
        <v>Non trouvé</v>
      </c>
      <c r="H1903" s="6" t="str">
        <f>IFERROR(VLOOKUP(LOG_RESEAU[[#This Row],[Cell_ID]],Registre_Maintenance!A:E,5,FALSE),"Non trouvé")</f>
        <v>Non trouvé</v>
      </c>
      <c r="I1903" s="6" t="str">
        <f>IFERROR(VLOOKUP(LOG_RESEAU[[#This Row],[Cell_ID]],Registre_Maintenance!A:F,6,FALSE),"Non trouvé")</f>
        <v>Non trouvé</v>
      </c>
      <c r="J1903" s="6" t="str">
        <f t="shared" si="87"/>
        <v>Antenne inconnue</v>
      </c>
      <c r="K1903" s="6">
        <f t="shared" si="88"/>
        <v>3</v>
      </c>
      <c r="L1903" s="6">
        <f t="shared" si="89"/>
        <v>210</v>
      </c>
    </row>
    <row r="1904" spans="1:12" ht="15.75" x14ac:dyDescent="0.25">
      <c r="A1904" s="6" t="s">
        <v>1285</v>
      </c>
      <c r="B1904" s="7">
        <v>45208.494444444441</v>
      </c>
      <c r="C1904" s="6">
        <v>59</v>
      </c>
      <c r="D1904" s="6" t="s">
        <v>800</v>
      </c>
      <c r="E1904" s="8" t="str">
        <f>IFERROR(VLOOKUP(LOG_RESEAU[[#This Row],[Cell_ID]],Registre_Maintenance!A:B,2,FALSE),"Non trouvé")</f>
        <v>Non trouvé</v>
      </c>
      <c r="F1904" s="8" t="str">
        <f>IFERROR(VLOOKUP(LOG_RESEAU[[#This Row],[Cell_ID]],Registre_Maintenance!A:C,3,FALSE),"Non trouvé")</f>
        <v>Non trouvé</v>
      </c>
      <c r="G1904" s="8" t="str">
        <f>IFERROR(VLOOKUP(LOG_RESEAU[[#This Row],[Cell_ID]],Registre_Maintenance!A:D,4,FALSE),"Non trouvé")</f>
        <v>Non trouvé</v>
      </c>
      <c r="H1904" s="6" t="str">
        <f>IFERROR(VLOOKUP(LOG_RESEAU[[#This Row],[Cell_ID]],Registre_Maintenance!A:E,5,FALSE),"Non trouvé")</f>
        <v>Non trouvé</v>
      </c>
      <c r="I1904" s="6" t="str">
        <f>IFERROR(VLOOKUP(LOG_RESEAU[[#This Row],[Cell_ID]],Registre_Maintenance!A:F,6,FALSE),"Non trouvé")</f>
        <v>Non trouvé</v>
      </c>
      <c r="J1904" s="6" t="str">
        <f t="shared" si="87"/>
        <v>Antenne inconnue</v>
      </c>
      <c r="K1904" s="6">
        <f t="shared" si="88"/>
        <v>3</v>
      </c>
      <c r="L1904" s="6">
        <f t="shared" si="89"/>
        <v>210</v>
      </c>
    </row>
    <row r="1905" spans="1:12" ht="15.75" x14ac:dyDescent="0.25">
      <c r="A1905" s="6" t="s">
        <v>1015</v>
      </c>
      <c r="B1905" s="7">
        <v>45204.962500000001</v>
      </c>
      <c r="C1905" s="6">
        <v>100</v>
      </c>
      <c r="D1905" s="6" t="s">
        <v>800</v>
      </c>
      <c r="E1905" s="8" t="str">
        <f>IFERROR(VLOOKUP(LOG_RESEAU[[#This Row],[Cell_ID]],Registre_Maintenance!A:B,2,FALSE),"Non trouvé")</f>
        <v>Non trouvé</v>
      </c>
      <c r="F1905" s="8" t="str">
        <f>IFERROR(VLOOKUP(LOG_RESEAU[[#This Row],[Cell_ID]],Registre_Maintenance!A:C,3,FALSE),"Non trouvé")</f>
        <v>Non trouvé</v>
      </c>
      <c r="G1905" s="8" t="str">
        <f>IFERROR(VLOOKUP(LOG_RESEAU[[#This Row],[Cell_ID]],Registre_Maintenance!A:D,4,FALSE),"Non trouvé")</f>
        <v>Non trouvé</v>
      </c>
      <c r="H1905" s="6" t="str">
        <f>IFERROR(VLOOKUP(LOG_RESEAU[[#This Row],[Cell_ID]],Registre_Maintenance!A:E,5,FALSE),"Non trouvé")</f>
        <v>Non trouvé</v>
      </c>
      <c r="I1905" s="6" t="str">
        <f>IFERROR(VLOOKUP(LOG_RESEAU[[#This Row],[Cell_ID]],Registre_Maintenance!A:F,6,FALSE),"Non trouvé")</f>
        <v>Non trouvé</v>
      </c>
      <c r="J1905" s="6" t="str">
        <f t="shared" si="87"/>
        <v>Antenne inconnue</v>
      </c>
      <c r="K1905" s="6">
        <f t="shared" si="88"/>
        <v>2</v>
      </c>
      <c r="L1905" s="6">
        <f t="shared" si="89"/>
        <v>153</v>
      </c>
    </row>
    <row r="1906" spans="1:12" ht="15.75" x14ac:dyDescent="0.25">
      <c r="A1906" s="6" t="s">
        <v>1015</v>
      </c>
      <c r="B1906" s="7">
        <v>45224.378472222219</v>
      </c>
      <c r="C1906" s="6">
        <v>53</v>
      </c>
      <c r="D1906" s="6" t="s">
        <v>792</v>
      </c>
      <c r="E1906" s="8" t="str">
        <f>IFERROR(VLOOKUP(LOG_RESEAU[[#This Row],[Cell_ID]],Registre_Maintenance!A:B,2,FALSE),"Non trouvé")</f>
        <v>Non trouvé</v>
      </c>
      <c r="F1906" s="8" t="str">
        <f>IFERROR(VLOOKUP(LOG_RESEAU[[#This Row],[Cell_ID]],Registre_Maintenance!A:C,3,FALSE),"Non trouvé")</f>
        <v>Non trouvé</v>
      </c>
      <c r="G1906" s="8" t="str">
        <f>IFERROR(VLOOKUP(LOG_RESEAU[[#This Row],[Cell_ID]],Registre_Maintenance!A:D,4,FALSE),"Non trouvé")</f>
        <v>Non trouvé</v>
      </c>
      <c r="H1906" s="6" t="str">
        <f>IFERROR(VLOOKUP(LOG_RESEAU[[#This Row],[Cell_ID]],Registre_Maintenance!A:E,5,FALSE),"Non trouvé")</f>
        <v>Non trouvé</v>
      </c>
      <c r="I1906" s="6" t="str">
        <f>IFERROR(VLOOKUP(LOG_RESEAU[[#This Row],[Cell_ID]],Registre_Maintenance!A:F,6,FALSE),"Non trouvé")</f>
        <v>Non trouvé</v>
      </c>
      <c r="J1906" s="6" t="str">
        <f t="shared" si="87"/>
        <v>Antenne inconnue</v>
      </c>
      <c r="K1906" s="6">
        <f t="shared" si="88"/>
        <v>2</v>
      </c>
      <c r="L1906" s="6">
        <f t="shared" si="89"/>
        <v>153</v>
      </c>
    </row>
    <row r="1907" spans="1:12" ht="15.75" x14ac:dyDescent="0.25">
      <c r="A1907" s="6" t="s">
        <v>1422</v>
      </c>
      <c r="B1907" s="7">
        <v>45202.487500000003</v>
      </c>
      <c r="C1907" s="6">
        <v>22</v>
      </c>
      <c r="D1907" s="6" t="s">
        <v>792</v>
      </c>
      <c r="E1907" s="8" t="str">
        <f>IFERROR(VLOOKUP(LOG_RESEAU[[#This Row],[Cell_ID]],Registre_Maintenance!A:B,2,FALSE),"Non trouvé")</f>
        <v>Non trouvé</v>
      </c>
      <c r="F1907" s="8" t="str">
        <f>IFERROR(VLOOKUP(LOG_RESEAU[[#This Row],[Cell_ID]],Registre_Maintenance!A:C,3,FALSE),"Non trouvé")</f>
        <v>Non trouvé</v>
      </c>
      <c r="G1907" s="8" t="str">
        <f>IFERROR(VLOOKUP(LOG_RESEAU[[#This Row],[Cell_ID]],Registre_Maintenance!A:D,4,FALSE),"Non trouvé")</f>
        <v>Non trouvé</v>
      </c>
      <c r="H1907" s="6" t="str">
        <f>IFERROR(VLOOKUP(LOG_RESEAU[[#This Row],[Cell_ID]],Registre_Maintenance!A:E,5,FALSE),"Non trouvé")</f>
        <v>Non trouvé</v>
      </c>
      <c r="I1907" s="6" t="str">
        <f>IFERROR(VLOOKUP(LOG_RESEAU[[#This Row],[Cell_ID]],Registre_Maintenance!A:F,6,FALSE),"Non trouvé")</f>
        <v>Non trouvé</v>
      </c>
      <c r="J1907" s="6" t="str">
        <f t="shared" si="87"/>
        <v>Antenne inconnue</v>
      </c>
      <c r="K1907" s="6">
        <f t="shared" si="88"/>
        <v>1</v>
      </c>
      <c r="L1907" s="6">
        <f t="shared" si="89"/>
        <v>22</v>
      </c>
    </row>
    <row r="1908" spans="1:12" ht="15.75" x14ac:dyDescent="0.25">
      <c r="A1908" s="6" t="s">
        <v>1539</v>
      </c>
      <c r="B1908" s="7">
        <v>45219.907638888893</v>
      </c>
      <c r="C1908" s="6">
        <v>92</v>
      </c>
      <c r="D1908" s="6" t="s">
        <v>800</v>
      </c>
      <c r="E1908" s="8" t="str">
        <f>IFERROR(VLOOKUP(LOG_RESEAU[[#This Row],[Cell_ID]],Registre_Maintenance!A:B,2,FALSE),"Non trouvé")</f>
        <v>Non trouvé</v>
      </c>
      <c r="F1908" s="8" t="str">
        <f>IFERROR(VLOOKUP(LOG_RESEAU[[#This Row],[Cell_ID]],Registre_Maintenance!A:C,3,FALSE),"Non trouvé")</f>
        <v>Non trouvé</v>
      </c>
      <c r="G1908" s="8" t="str">
        <f>IFERROR(VLOOKUP(LOG_RESEAU[[#This Row],[Cell_ID]],Registre_Maintenance!A:D,4,FALSE),"Non trouvé")</f>
        <v>Non trouvé</v>
      </c>
      <c r="H1908" s="6" t="str">
        <f>IFERROR(VLOOKUP(LOG_RESEAU[[#This Row],[Cell_ID]],Registre_Maintenance!A:E,5,FALSE),"Non trouvé")</f>
        <v>Non trouvé</v>
      </c>
      <c r="I1908" s="6" t="str">
        <f>IFERROR(VLOOKUP(LOG_RESEAU[[#This Row],[Cell_ID]],Registre_Maintenance!A:F,6,FALSE),"Non trouvé")</f>
        <v>Non trouvé</v>
      </c>
      <c r="J1908" s="6" t="str">
        <f t="shared" si="87"/>
        <v>Antenne inconnue</v>
      </c>
      <c r="K1908" s="6">
        <f t="shared" si="88"/>
        <v>1</v>
      </c>
      <c r="L1908" s="6">
        <f t="shared" si="89"/>
        <v>92</v>
      </c>
    </row>
    <row r="1909" spans="1:12" ht="15.75" x14ac:dyDescent="0.25">
      <c r="A1909" s="6" t="s">
        <v>1366</v>
      </c>
      <c r="B1909" s="7">
        <v>45206.472222222219</v>
      </c>
      <c r="C1909" s="6">
        <v>69</v>
      </c>
      <c r="D1909" s="6" t="s">
        <v>792</v>
      </c>
      <c r="E1909" s="8" t="str">
        <f>IFERROR(VLOOKUP(LOG_RESEAU[[#This Row],[Cell_ID]],Registre_Maintenance!A:B,2,FALSE),"Non trouvé")</f>
        <v>Non trouvé</v>
      </c>
      <c r="F1909" s="8" t="str">
        <f>IFERROR(VLOOKUP(LOG_RESEAU[[#This Row],[Cell_ID]],Registre_Maintenance!A:C,3,FALSE),"Non trouvé")</f>
        <v>Non trouvé</v>
      </c>
      <c r="G1909" s="8" t="str">
        <f>IFERROR(VLOOKUP(LOG_RESEAU[[#This Row],[Cell_ID]],Registre_Maintenance!A:D,4,FALSE),"Non trouvé")</f>
        <v>Non trouvé</v>
      </c>
      <c r="H1909" s="6" t="str">
        <f>IFERROR(VLOOKUP(LOG_RESEAU[[#This Row],[Cell_ID]],Registre_Maintenance!A:E,5,FALSE),"Non trouvé")</f>
        <v>Non trouvé</v>
      </c>
      <c r="I1909" s="6" t="str">
        <f>IFERROR(VLOOKUP(LOG_RESEAU[[#This Row],[Cell_ID]],Registre_Maintenance!A:F,6,FALSE),"Non trouvé")</f>
        <v>Non trouvé</v>
      </c>
      <c r="J1909" s="6" t="str">
        <f t="shared" si="87"/>
        <v>Antenne inconnue</v>
      </c>
      <c r="K1909" s="6">
        <f t="shared" si="88"/>
        <v>1</v>
      </c>
      <c r="L1909" s="6">
        <f t="shared" si="89"/>
        <v>69</v>
      </c>
    </row>
    <row r="1910" spans="1:12" ht="15.75" x14ac:dyDescent="0.25">
      <c r="A1910" s="6" t="s">
        <v>1432</v>
      </c>
      <c r="B1910" s="7">
        <v>45209.907638888893</v>
      </c>
      <c r="C1910" s="6">
        <v>99</v>
      </c>
      <c r="D1910" s="6" t="s">
        <v>792</v>
      </c>
      <c r="E1910" s="8" t="str">
        <f>IFERROR(VLOOKUP(LOG_RESEAU[[#This Row],[Cell_ID]],Registre_Maintenance!A:B,2,FALSE),"Non trouvé")</f>
        <v>Kasai</v>
      </c>
      <c r="F1910" s="8">
        <f>IFERROR(VLOOKUP(LOG_RESEAU[[#This Row],[Cell_ID]],Registre_Maintenance!A:C,3,FALSE),"Non trouvé")</f>
        <v>-7.6757720000000003</v>
      </c>
      <c r="G1910" s="8">
        <f>IFERROR(VLOOKUP(LOG_RESEAU[[#This Row],[Cell_ID]],Registre_Maintenance!A:D,4,FALSE),"Non trouvé")</f>
        <v>30.222971000000001</v>
      </c>
      <c r="H1910" s="6" t="str">
        <f>IFERROR(VLOOKUP(LOG_RESEAU[[#This Row],[Cell_ID]],Registre_Maintenance!A:E,5,FALSE),"Non trouvé")</f>
        <v>5G</v>
      </c>
      <c r="I1910" s="6" t="str">
        <f>IFERROR(VLOOKUP(LOG_RESEAU[[#This Row],[Cell_ID]],Registre_Maintenance!A:F,6,FALSE),"Non trouvé")</f>
        <v>Ericsson</v>
      </c>
      <c r="J1910" s="6" t="str">
        <f t="shared" si="87"/>
        <v>OK</v>
      </c>
      <c r="K1910" s="6">
        <f t="shared" si="88"/>
        <v>1</v>
      </c>
      <c r="L1910" s="6">
        <f t="shared" si="89"/>
        <v>99</v>
      </c>
    </row>
    <row r="1911" spans="1:12" ht="15.75" x14ac:dyDescent="0.25">
      <c r="A1911" s="6" t="s">
        <v>1297</v>
      </c>
      <c r="B1911" s="7">
        <v>45209.53125</v>
      </c>
      <c r="C1911" s="6">
        <v>63</v>
      </c>
      <c r="D1911" s="6" t="s">
        <v>794</v>
      </c>
      <c r="E1911" s="8" t="str">
        <f>IFERROR(VLOOKUP(LOG_RESEAU[[#This Row],[Cell_ID]],Registre_Maintenance!A:B,2,FALSE),"Non trouvé")</f>
        <v>Maniema</v>
      </c>
      <c r="F1911" s="8">
        <f>IFERROR(VLOOKUP(LOG_RESEAU[[#This Row],[Cell_ID]],Registre_Maintenance!A:C,3,FALSE),"Non trouvé")</f>
        <v>1.727095</v>
      </c>
      <c r="G1911" s="8">
        <f>IFERROR(VLOOKUP(LOG_RESEAU[[#This Row],[Cell_ID]],Registre_Maintenance!A:D,4,FALSE),"Non trouvé")</f>
        <v>22.099651999999999</v>
      </c>
      <c r="H1911" s="6" t="str">
        <f>IFERROR(VLOOKUP(LOG_RESEAU[[#This Row],[Cell_ID]],Registre_Maintenance!A:E,5,FALSE),"Non trouvé")</f>
        <v>4G</v>
      </c>
      <c r="I1911" s="6" t="str">
        <f>IFERROR(VLOOKUP(LOG_RESEAU[[#This Row],[Cell_ID]],Registre_Maintenance!A:F,6,FALSE),"Non trouvé")</f>
        <v>Huawei</v>
      </c>
      <c r="J1911" s="6" t="str">
        <f t="shared" si="87"/>
        <v>OK</v>
      </c>
      <c r="K1911" s="6">
        <f t="shared" si="88"/>
        <v>1</v>
      </c>
      <c r="L1911" s="6">
        <f t="shared" si="89"/>
        <v>63</v>
      </c>
    </row>
    <row r="1912" spans="1:12" ht="15.75" x14ac:dyDescent="0.25">
      <c r="A1912" s="6" t="s">
        <v>1508</v>
      </c>
      <c r="B1912" s="7">
        <v>45225.213194444441</v>
      </c>
      <c r="C1912" s="6">
        <v>35</v>
      </c>
      <c r="D1912" s="6" t="s">
        <v>792</v>
      </c>
      <c r="E1912" s="8" t="str">
        <f>IFERROR(VLOOKUP(LOG_RESEAU[[#This Row],[Cell_ID]],Registre_Maintenance!A:B,2,FALSE),"Non trouvé")</f>
        <v>Non trouvé</v>
      </c>
      <c r="F1912" s="8" t="str">
        <f>IFERROR(VLOOKUP(LOG_RESEAU[[#This Row],[Cell_ID]],Registre_Maintenance!A:C,3,FALSE),"Non trouvé")</f>
        <v>Non trouvé</v>
      </c>
      <c r="G1912" s="8" t="str">
        <f>IFERROR(VLOOKUP(LOG_RESEAU[[#This Row],[Cell_ID]],Registre_Maintenance!A:D,4,FALSE),"Non trouvé")</f>
        <v>Non trouvé</v>
      </c>
      <c r="H1912" s="6" t="str">
        <f>IFERROR(VLOOKUP(LOG_RESEAU[[#This Row],[Cell_ID]],Registre_Maintenance!A:E,5,FALSE),"Non trouvé")</f>
        <v>Non trouvé</v>
      </c>
      <c r="I1912" s="6" t="str">
        <f>IFERROR(VLOOKUP(LOG_RESEAU[[#This Row],[Cell_ID]],Registre_Maintenance!A:F,6,FALSE),"Non trouvé")</f>
        <v>Non trouvé</v>
      </c>
      <c r="J1912" s="6" t="str">
        <f t="shared" si="87"/>
        <v>Antenne inconnue</v>
      </c>
      <c r="K1912" s="6">
        <f t="shared" si="88"/>
        <v>1</v>
      </c>
      <c r="L1912" s="6">
        <f t="shared" si="89"/>
        <v>35</v>
      </c>
    </row>
    <row r="1913" spans="1:12" ht="15.75" x14ac:dyDescent="0.25">
      <c r="A1913" s="6" t="s">
        <v>1321</v>
      </c>
      <c r="B1913" s="7">
        <v>45224.775000000001</v>
      </c>
      <c r="C1913" s="6">
        <v>107</v>
      </c>
      <c r="D1913" s="6" t="s">
        <v>792</v>
      </c>
      <c r="E1913" s="8" t="str">
        <f>IFERROR(VLOOKUP(LOG_RESEAU[[#This Row],[Cell_ID]],Registre_Maintenance!A:B,2,FALSE),"Non trouvé")</f>
        <v>Equateur</v>
      </c>
      <c r="F1913" s="8">
        <f>IFERROR(VLOOKUP(LOG_RESEAU[[#This Row],[Cell_ID]],Registre_Maintenance!A:C,3,FALSE),"Non trouvé")</f>
        <v>-5.7200150000000001</v>
      </c>
      <c r="G1913" s="8">
        <f>IFERROR(VLOOKUP(LOG_RESEAU[[#This Row],[Cell_ID]],Registre_Maintenance!A:D,4,FALSE),"Non trouvé")</f>
        <v>25.022109</v>
      </c>
      <c r="H1913" s="6" t="str">
        <f>IFERROR(VLOOKUP(LOG_RESEAU[[#This Row],[Cell_ID]],Registre_Maintenance!A:E,5,FALSE),"Non trouvé")</f>
        <v>5G</v>
      </c>
      <c r="I1913" s="6" t="str">
        <f>IFERROR(VLOOKUP(LOG_RESEAU[[#This Row],[Cell_ID]],Registre_Maintenance!A:F,6,FALSE),"Non trouvé")</f>
        <v>ZTE</v>
      </c>
      <c r="J1913" s="6" t="str">
        <f t="shared" si="87"/>
        <v>OK</v>
      </c>
      <c r="K1913" s="6">
        <f t="shared" si="88"/>
        <v>3</v>
      </c>
      <c r="L1913" s="6">
        <f t="shared" si="89"/>
        <v>236</v>
      </c>
    </row>
    <row r="1914" spans="1:12" ht="15.75" x14ac:dyDescent="0.25">
      <c r="A1914" s="6" t="s">
        <v>1321</v>
      </c>
      <c r="B1914" s="7">
        <v>45216.274305555547</v>
      </c>
      <c r="C1914" s="6">
        <v>30</v>
      </c>
      <c r="D1914" s="6" t="s">
        <v>800</v>
      </c>
      <c r="E1914" s="8" t="str">
        <f>IFERROR(VLOOKUP(LOG_RESEAU[[#This Row],[Cell_ID]],Registre_Maintenance!A:B,2,FALSE),"Non trouvé")</f>
        <v>Equateur</v>
      </c>
      <c r="F1914" s="8">
        <f>IFERROR(VLOOKUP(LOG_RESEAU[[#This Row],[Cell_ID]],Registre_Maintenance!A:C,3,FALSE),"Non trouvé")</f>
        <v>-5.7200150000000001</v>
      </c>
      <c r="G1914" s="8">
        <f>IFERROR(VLOOKUP(LOG_RESEAU[[#This Row],[Cell_ID]],Registre_Maintenance!A:D,4,FALSE),"Non trouvé")</f>
        <v>25.022109</v>
      </c>
      <c r="H1914" s="6" t="str">
        <f>IFERROR(VLOOKUP(LOG_RESEAU[[#This Row],[Cell_ID]],Registre_Maintenance!A:E,5,FALSE),"Non trouvé")</f>
        <v>5G</v>
      </c>
      <c r="I1914" s="6" t="str">
        <f>IFERROR(VLOOKUP(LOG_RESEAU[[#This Row],[Cell_ID]],Registre_Maintenance!A:F,6,FALSE),"Non trouvé")</f>
        <v>ZTE</v>
      </c>
      <c r="J1914" s="6" t="str">
        <f t="shared" si="87"/>
        <v>OK</v>
      </c>
      <c r="K1914" s="6">
        <f t="shared" si="88"/>
        <v>3</v>
      </c>
      <c r="L1914" s="6">
        <f t="shared" si="89"/>
        <v>236</v>
      </c>
    </row>
    <row r="1915" spans="1:12" ht="15.75" x14ac:dyDescent="0.25">
      <c r="A1915" s="6" t="s">
        <v>1321</v>
      </c>
      <c r="B1915" s="7">
        <v>45230.50277777778</v>
      </c>
      <c r="C1915" s="6">
        <v>99</v>
      </c>
      <c r="D1915" s="6" t="s">
        <v>794</v>
      </c>
      <c r="E1915" s="8" t="str">
        <f>IFERROR(VLOOKUP(LOG_RESEAU[[#This Row],[Cell_ID]],Registre_Maintenance!A:B,2,FALSE),"Non trouvé")</f>
        <v>Equateur</v>
      </c>
      <c r="F1915" s="8">
        <f>IFERROR(VLOOKUP(LOG_RESEAU[[#This Row],[Cell_ID]],Registre_Maintenance!A:C,3,FALSE),"Non trouvé")</f>
        <v>-5.7200150000000001</v>
      </c>
      <c r="G1915" s="8">
        <f>IFERROR(VLOOKUP(LOG_RESEAU[[#This Row],[Cell_ID]],Registre_Maintenance!A:D,4,FALSE),"Non trouvé")</f>
        <v>25.022109</v>
      </c>
      <c r="H1915" s="6" t="str">
        <f>IFERROR(VLOOKUP(LOG_RESEAU[[#This Row],[Cell_ID]],Registre_Maintenance!A:E,5,FALSE),"Non trouvé")</f>
        <v>5G</v>
      </c>
      <c r="I1915" s="6" t="str">
        <f>IFERROR(VLOOKUP(LOG_RESEAU[[#This Row],[Cell_ID]],Registre_Maintenance!A:F,6,FALSE),"Non trouvé")</f>
        <v>ZTE</v>
      </c>
      <c r="J1915" s="6" t="str">
        <f t="shared" si="87"/>
        <v>OK</v>
      </c>
      <c r="K1915" s="6">
        <f t="shared" si="88"/>
        <v>3</v>
      </c>
      <c r="L1915" s="6">
        <f t="shared" si="89"/>
        <v>236</v>
      </c>
    </row>
    <row r="1916" spans="1:12" ht="15.75" x14ac:dyDescent="0.25">
      <c r="A1916" s="6" t="s">
        <v>1243</v>
      </c>
      <c r="B1916" s="7">
        <v>45201.057638888888</v>
      </c>
      <c r="C1916" s="6">
        <v>103</v>
      </c>
      <c r="D1916" s="6" t="s">
        <v>794</v>
      </c>
      <c r="E1916" s="8" t="str">
        <f>IFERROR(VLOOKUP(LOG_RESEAU[[#This Row],[Cell_ID]],Registre_Maintenance!A:B,2,FALSE),"Non trouvé")</f>
        <v>Haut-Katanga</v>
      </c>
      <c r="F1916" s="8">
        <f>IFERROR(VLOOKUP(LOG_RESEAU[[#This Row],[Cell_ID]],Registre_Maintenance!A:C,3,FALSE),"Non trouvé")</f>
        <v>-11.594525000000001</v>
      </c>
      <c r="G1916" s="8">
        <f>IFERROR(VLOOKUP(LOG_RESEAU[[#This Row],[Cell_ID]],Registre_Maintenance!A:D,4,FALSE),"Non trouvé")</f>
        <v>29.744895</v>
      </c>
      <c r="H1916" s="6" t="str">
        <f>IFERROR(VLOOKUP(LOG_RESEAU[[#This Row],[Cell_ID]],Registre_Maintenance!A:E,5,FALSE),"Non trouvé")</f>
        <v>3G</v>
      </c>
      <c r="I1916" s="6" t="str">
        <f>IFERROR(VLOOKUP(LOG_RESEAU[[#This Row],[Cell_ID]],Registre_Maintenance!A:F,6,FALSE),"Non trouvé")</f>
        <v>ZTE</v>
      </c>
      <c r="J1916" s="6" t="str">
        <f t="shared" si="87"/>
        <v>OK</v>
      </c>
      <c r="K1916" s="6">
        <f t="shared" si="88"/>
        <v>2</v>
      </c>
      <c r="L1916" s="6">
        <f t="shared" si="89"/>
        <v>168</v>
      </c>
    </row>
    <row r="1917" spans="1:12" ht="15.75" x14ac:dyDescent="0.25">
      <c r="A1917" s="6" t="s">
        <v>1243</v>
      </c>
      <c r="B1917" s="7">
        <v>45226.659722222219</v>
      </c>
      <c r="C1917" s="6">
        <v>65</v>
      </c>
      <c r="D1917" s="6" t="s">
        <v>800</v>
      </c>
      <c r="E1917" s="8" t="str">
        <f>IFERROR(VLOOKUP(LOG_RESEAU[[#This Row],[Cell_ID]],Registre_Maintenance!A:B,2,FALSE),"Non trouvé")</f>
        <v>Haut-Katanga</v>
      </c>
      <c r="F1917" s="8">
        <f>IFERROR(VLOOKUP(LOG_RESEAU[[#This Row],[Cell_ID]],Registre_Maintenance!A:C,3,FALSE),"Non trouvé")</f>
        <v>-11.594525000000001</v>
      </c>
      <c r="G1917" s="8">
        <f>IFERROR(VLOOKUP(LOG_RESEAU[[#This Row],[Cell_ID]],Registre_Maintenance!A:D,4,FALSE),"Non trouvé")</f>
        <v>29.744895</v>
      </c>
      <c r="H1917" s="6" t="str">
        <f>IFERROR(VLOOKUP(LOG_RESEAU[[#This Row],[Cell_ID]],Registre_Maintenance!A:E,5,FALSE),"Non trouvé")</f>
        <v>3G</v>
      </c>
      <c r="I1917" s="6" t="str">
        <f>IFERROR(VLOOKUP(LOG_RESEAU[[#This Row],[Cell_ID]],Registre_Maintenance!A:F,6,FALSE),"Non trouvé")</f>
        <v>ZTE</v>
      </c>
      <c r="J1917" s="6" t="str">
        <f t="shared" si="87"/>
        <v>OK</v>
      </c>
      <c r="K1917" s="6">
        <f t="shared" si="88"/>
        <v>2</v>
      </c>
      <c r="L1917" s="6">
        <f t="shared" si="89"/>
        <v>168</v>
      </c>
    </row>
    <row r="1918" spans="1:12" ht="15.75" x14ac:dyDescent="0.25">
      <c r="A1918" s="6" t="s">
        <v>1226</v>
      </c>
      <c r="B1918" s="7">
        <v>45207.140277777777</v>
      </c>
      <c r="C1918" s="6">
        <v>46</v>
      </c>
      <c r="D1918" s="6" t="s">
        <v>800</v>
      </c>
      <c r="E1918" s="8" t="str">
        <f>IFERROR(VLOOKUP(LOG_RESEAU[[#This Row],[Cell_ID]],Registre_Maintenance!A:B,2,FALSE),"Non trouvé")</f>
        <v>Kongo-Central</v>
      </c>
      <c r="F1918" s="8">
        <f>IFERROR(VLOOKUP(LOG_RESEAU[[#This Row],[Cell_ID]],Registre_Maintenance!A:C,3,FALSE),"Non trouvé")</f>
        <v>-12.112399999999999</v>
      </c>
      <c r="G1918" s="8">
        <f>IFERROR(VLOOKUP(LOG_RESEAU[[#This Row],[Cell_ID]],Registre_Maintenance!A:D,4,FALSE),"Non trouvé")</f>
        <v>15.872226</v>
      </c>
      <c r="H1918" s="6" t="str">
        <f>IFERROR(VLOOKUP(LOG_RESEAU[[#This Row],[Cell_ID]],Registre_Maintenance!A:E,5,FALSE),"Non trouvé")</f>
        <v>4G</v>
      </c>
      <c r="I1918" s="6" t="str">
        <f>IFERROR(VLOOKUP(LOG_RESEAU[[#This Row],[Cell_ID]],Registre_Maintenance!A:F,6,FALSE),"Non trouvé")</f>
        <v>Nokia</v>
      </c>
      <c r="J1918" s="6" t="str">
        <f t="shared" si="87"/>
        <v>OK</v>
      </c>
      <c r="K1918" s="6">
        <f t="shared" si="88"/>
        <v>4</v>
      </c>
      <c r="L1918" s="6">
        <f t="shared" si="89"/>
        <v>237</v>
      </c>
    </row>
    <row r="1919" spans="1:12" ht="15.75" x14ac:dyDescent="0.25">
      <c r="A1919" s="6" t="s">
        <v>1226</v>
      </c>
      <c r="B1919" s="7">
        <v>45220.847916666673</v>
      </c>
      <c r="C1919" s="6">
        <v>103</v>
      </c>
      <c r="D1919" s="6" t="s">
        <v>794</v>
      </c>
      <c r="E1919" s="8" t="str">
        <f>IFERROR(VLOOKUP(LOG_RESEAU[[#This Row],[Cell_ID]],Registre_Maintenance!A:B,2,FALSE),"Non trouvé")</f>
        <v>Kongo-Central</v>
      </c>
      <c r="F1919" s="8">
        <f>IFERROR(VLOOKUP(LOG_RESEAU[[#This Row],[Cell_ID]],Registre_Maintenance!A:C,3,FALSE),"Non trouvé")</f>
        <v>-12.112399999999999</v>
      </c>
      <c r="G1919" s="8">
        <f>IFERROR(VLOOKUP(LOG_RESEAU[[#This Row],[Cell_ID]],Registre_Maintenance!A:D,4,FALSE),"Non trouvé")</f>
        <v>15.872226</v>
      </c>
      <c r="H1919" s="6" t="str">
        <f>IFERROR(VLOOKUP(LOG_RESEAU[[#This Row],[Cell_ID]],Registre_Maintenance!A:E,5,FALSE),"Non trouvé")</f>
        <v>4G</v>
      </c>
      <c r="I1919" s="6" t="str">
        <f>IFERROR(VLOOKUP(LOG_RESEAU[[#This Row],[Cell_ID]],Registre_Maintenance!A:F,6,FALSE),"Non trouvé")</f>
        <v>Nokia</v>
      </c>
      <c r="J1919" s="6" t="str">
        <f t="shared" si="87"/>
        <v>OK</v>
      </c>
      <c r="K1919" s="6">
        <f t="shared" si="88"/>
        <v>4</v>
      </c>
      <c r="L1919" s="6">
        <f t="shared" si="89"/>
        <v>237</v>
      </c>
    </row>
    <row r="1920" spans="1:12" ht="15.75" x14ac:dyDescent="0.25">
      <c r="A1920" s="6" t="s">
        <v>1226</v>
      </c>
      <c r="B1920" s="7">
        <v>45201.867361111108</v>
      </c>
      <c r="C1920" s="6">
        <v>18</v>
      </c>
      <c r="D1920" s="6" t="s">
        <v>794</v>
      </c>
      <c r="E1920" s="8" t="str">
        <f>IFERROR(VLOOKUP(LOG_RESEAU[[#This Row],[Cell_ID]],Registre_Maintenance!A:B,2,FALSE),"Non trouvé")</f>
        <v>Kongo-Central</v>
      </c>
      <c r="F1920" s="8">
        <f>IFERROR(VLOOKUP(LOG_RESEAU[[#This Row],[Cell_ID]],Registre_Maintenance!A:C,3,FALSE),"Non trouvé")</f>
        <v>-12.112399999999999</v>
      </c>
      <c r="G1920" s="8">
        <f>IFERROR(VLOOKUP(LOG_RESEAU[[#This Row],[Cell_ID]],Registre_Maintenance!A:D,4,FALSE),"Non trouvé")</f>
        <v>15.872226</v>
      </c>
      <c r="H1920" s="6" t="str">
        <f>IFERROR(VLOOKUP(LOG_RESEAU[[#This Row],[Cell_ID]],Registre_Maintenance!A:E,5,FALSE),"Non trouvé")</f>
        <v>4G</v>
      </c>
      <c r="I1920" s="6" t="str">
        <f>IFERROR(VLOOKUP(LOG_RESEAU[[#This Row],[Cell_ID]],Registre_Maintenance!A:F,6,FALSE),"Non trouvé")</f>
        <v>Nokia</v>
      </c>
      <c r="J1920" s="6" t="str">
        <f t="shared" si="87"/>
        <v>OK</v>
      </c>
      <c r="K1920" s="6">
        <f t="shared" si="88"/>
        <v>4</v>
      </c>
      <c r="L1920" s="6">
        <f t="shared" si="89"/>
        <v>237</v>
      </c>
    </row>
    <row r="1921" spans="1:12" ht="15.75" x14ac:dyDescent="0.25">
      <c r="A1921" s="6" t="s">
        <v>1226</v>
      </c>
      <c r="B1921" s="7">
        <v>45215.372916666667</v>
      </c>
      <c r="C1921" s="6">
        <v>70</v>
      </c>
      <c r="D1921" s="6" t="s">
        <v>800</v>
      </c>
      <c r="E1921" s="8" t="str">
        <f>IFERROR(VLOOKUP(LOG_RESEAU[[#This Row],[Cell_ID]],Registre_Maintenance!A:B,2,FALSE),"Non trouvé")</f>
        <v>Kongo-Central</v>
      </c>
      <c r="F1921" s="8">
        <f>IFERROR(VLOOKUP(LOG_RESEAU[[#This Row],[Cell_ID]],Registre_Maintenance!A:C,3,FALSE),"Non trouvé")</f>
        <v>-12.112399999999999</v>
      </c>
      <c r="G1921" s="8">
        <f>IFERROR(VLOOKUP(LOG_RESEAU[[#This Row],[Cell_ID]],Registre_Maintenance!A:D,4,FALSE),"Non trouvé")</f>
        <v>15.872226</v>
      </c>
      <c r="H1921" s="6" t="str">
        <f>IFERROR(VLOOKUP(LOG_RESEAU[[#This Row],[Cell_ID]],Registre_Maintenance!A:E,5,FALSE),"Non trouvé")</f>
        <v>4G</v>
      </c>
      <c r="I1921" s="6" t="str">
        <f>IFERROR(VLOOKUP(LOG_RESEAU[[#This Row],[Cell_ID]],Registre_Maintenance!A:F,6,FALSE),"Non trouvé")</f>
        <v>Nokia</v>
      </c>
      <c r="J1921" s="6" t="str">
        <f t="shared" si="87"/>
        <v>OK</v>
      </c>
      <c r="K1921" s="6">
        <f t="shared" si="88"/>
        <v>4</v>
      </c>
      <c r="L1921" s="6">
        <f t="shared" si="89"/>
        <v>237</v>
      </c>
    </row>
    <row r="1922" spans="1:12" ht="15.75" x14ac:dyDescent="0.25">
      <c r="A1922" s="6" t="s">
        <v>1209</v>
      </c>
      <c r="B1922" s="7">
        <v>45209.852083333331</v>
      </c>
      <c r="C1922" s="6">
        <v>91</v>
      </c>
      <c r="D1922" s="6" t="s">
        <v>792</v>
      </c>
      <c r="E1922" s="8" t="str">
        <f>IFERROR(VLOOKUP(LOG_RESEAU[[#This Row],[Cell_ID]],Registre_Maintenance!A:B,2,FALSE),"Non trouvé")</f>
        <v>Kwango</v>
      </c>
      <c r="F1922" s="8">
        <f>IFERROR(VLOOKUP(LOG_RESEAU[[#This Row],[Cell_ID]],Registre_Maintenance!A:C,3,FALSE),"Non trouvé")</f>
        <v>-12.431227</v>
      </c>
      <c r="G1922" s="8">
        <f>IFERROR(VLOOKUP(LOG_RESEAU[[#This Row],[Cell_ID]],Registre_Maintenance!A:D,4,FALSE),"Non trouvé")</f>
        <v>18.414290999999999</v>
      </c>
      <c r="H1922" s="6" t="str">
        <f>IFERROR(VLOOKUP(LOG_RESEAU[[#This Row],[Cell_ID]],Registre_Maintenance!A:E,5,FALSE),"Non trouvé")</f>
        <v>5G</v>
      </c>
      <c r="I1922" s="6" t="str">
        <f>IFERROR(VLOOKUP(LOG_RESEAU[[#This Row],[Cell_ID]],Registre_Maintenance!A:F,6,FALSE),"Non trouvé")</f>
        <v>Huawei</v>
      </c>
      <c r="J1922" s="6" t="str">
        <f t="shared" ref="J1922:J1930" si="90">IF(ISERROR(SEARCH("Non trouvé",F1922)),"OK","Antenne inconnue")</f>
        <v>OK</v>
      </c>
      <c r="K1922" s="6">
        <f t="shared" ref="K1922:K1930" si="91">COUNTIF(A:A,A1922)</f>
        <v>1</v>
      </c>
      <c r="L1922" s="6">
        <f t="shared" ref="L1922:L1930" si="92">SUMIF(A:A,A1922,C:C)</f>
        <v>91</v>
      </c>
    </row>
    <row r="1923" spans="1:12" ht="15.75" x14ac:dyDescent="0.25">
      <c r="A1923" s="6" t="s">
        <v>1153</v>
      </c>
      <c r="B1923" s="7">
        <v>45226.100694444453</v>
      </c>
      <c r="C1923" s="6">
        <v>110</v>
      </c>
      <c r="D1923" s="6" t="s">
        <v>800</v>
      </c>
      <c r="E1923" s="8" t="str">
        <f>IFERROR(VLOOKUP(LOG_RESEAU[[#This Row],[Cell_ID]],Registre_Maintenance!A:B,2,FALSE),"Non trouvé")</f>
        <v>Lomami</v>
      </c>
      <c r="F1923" s="8">
        <f>IFERROR(VLOOKUP(LOG_RESEAU[[#This Row],[Cell_ID]],Registre_Maintenance!A:C,3,FALSE),"Non trouvé")</f>
        <v>-2.2681789999999999</v>
      </c>
      <c r="G1923" s="8">
        <f>IFERROR(VLOOKUP(LOG_RESEAU[[#This Row],[Cell_ID]],Registre_Maintenance!A:D,4,FALSE),"Non trouvé")</f>
        <v>25.699068</v>
      </c>
      <c r="H1923" s="6" t="str">
        <f>IFERROR(VLOOKUP(LOG_RESEAU[[#This Row],[Cell_ID]],Registre_Maintenance!A:E,5,FALSE),"Non trouvé")</f>
        <v>3G</v>
      </c>
      <c r="I1923" s="6" t="str">
        <f>IFERROR(VLOOKUP(LOG_RESEAU[[#This Row],[Cell_ID]],Registre_Maintenance!A:F,6,FALSE),"Non trouvé")</f>
        <v>ZTE</v>
      </c>
      <c r="J1923" s="6" t="str">
        <f t="shared" si="90"/>
        <v>OK</v>
      </c>
      <c r="K1923" s="6">
        <f t="shared" si="91"/>
        <v>2</v>
      </c>
      <c r="L1923" s="6">
        <f t="shared" si="92"/>
        <v>219</v>
      </c>
    </row>
    <row r="1924" spans="1:12" ht="15.75" x14ac:dyDescent="0.25">
      <c r="A1924" s="6" t="s">
        <v>1153</v>
      </c>
      <c r="B1924" s="7">
        <v>45205.345138888893</v>
      </c>
      <c r="C1924" s="6">
        <v>109</v>
      </c>
      <c r="D1924" s="6" t="s">
        <v>800</v>
      </c>
      <c r="E1924" s="8" t="str">
        <f>IFERROR(VLOOKUP(LOG_RESEAU[[#This Row],[Cell_ID]],Registre_Maintenance!A:B,2,FALSE),"Non trouvé")</f>
        <v>Lomami</v>
      </c>
      <c r="F1924" s="8">
        <f>IFERROR(VLOOKUP(LOG_RESEAU[[#This Row],[Cell_ID]],Registre_Maintenance!A:C,3,FALSE),"Non trouvé")</f>
        <v>-2.2681789999999999</v>
      </c>
      <c r="G1924" s="8">
        <f>IFERROR(VLOOKUP(LOG_RESEAU[[#This Row],[Cell_ID]],Registre_Maintenance!A:D,4,FALSE),"Non trouvé")</f>
        <v>25.699068</v>
      </c>
      <c r="H1924" s="6" t="str">
        <f>IFERROR(VLOOKUP(LOG_RESEAU[[#This Row],[Cell_ID]],Registre_Maintenance!A:E,5,FALSE),"Non trouvé")</f>
        <v>3G</v>
      </c>
      <c r="I1924" s="6" t="str">
        <f>IFERROR(VLOOKUP(LOG_RESEAU[[#This Row],[Cell_ID]],Registre_Maintenance!A:F,6,FALSE),"Non trouvé")</f>
        <v>ZTE</v>
      </c>
      <c r="J1924" s="6" t="str">
        <f t="shared" si="90"/>
        <v>OK</v>
      </c>
      <c r="K1924" s="6">
        <f t="shared" si="91"/>
        <v>2</v>
      </c>
      <c r="L1924" s="6">
        <f t="shared" si="92"/>
        <v>219</v>
      </c>
    </row>
    <row r="1925" spans="1:12" ht="15.75" x14ac:dyDescent="0.25">
      <c r="A1925" s="6" t="s">
        <v>1201</v>
      </c>
      <c r="B1925" s="7">
        <v>45213.779861111107</v>
      </c>
      <c r="C1925" s="6">
        <v>120</v>
      </c>
      <c r="D1925" s="6" t="s">
        <v>794</v>
      </c>
      <c r="E1925" s="8" t="str">
        <f>IFERROR(VLOOKUP(LOG_RESEAU[[#This Row],[Cell_ID]],Registre_Maintenance!A:B,2,FALSE),"Non trouvé")</f>
        <v>Sankuru</v>
      </c>
      <c r="F1925" s="8">
        <f>IFERROR(VLOOKUP(LOG_RESEAU[[#This Row],[Cell_ID]],Registre_Maintenance!A:C,3,FALSE),"Non trouvé")</f>
        <v>-7.5969509999999998</v>
      </c>
      <c r="G1925" s="8">
        <f>IFERROR(VLOOKUP(LOG_RESEAU[[#This Row],[Cell_ID]],Registre_Maintenance!A:D,4,FALSE),"Non trouvé")</f>
        <v>22.153986</v>
      </c>
      <c r="H1925" s="6" t="str">
        <f>IFERROR(VLOOKUP(LOG_RESEAU[[#This Row],[Cell_ID]],Registre_Maintenance!A:E,5,FALSE),"Non trouvé")</f>
        <v>3G</v>
      </c>
      <c r="I1925" s="6" t="str">
        <f>IFERROR(VLOOKUP(LOG_RESEAU[[#This Row],[Cell_ID]],Registre_Maintenance!A:F,6,FALSE),"Non trouvé")</f>
        <v>Ericsson</v>
      </c>
      <c r="J1925" s="6" t="str">
        <f t="shared" si="90"/>
        <v>OK</v>
      </c>
      <c r="K1925" s="6">
        <f t="shared" si="91"/>
        <v>2</v>
      </c>
      <c r="L1925" s="6">
        <f t="shared" si="92"/>
        <v>151</v>
      </c>
    </row>
    <row r="1926" spans="1:12" ht="15.75" x14ac:dyDescent="0.25">
      <c r="A1926" s="6" t="s">
        <v>1201</v>
      </c>
      <c r="B1926" s="7">
        <v>45222.902777777781</v>
      </c>
      <c r="C1926" s="6">
        <v>31</v>
      </c>
      <c r="D1926" s="6" t="s">
        <v>792</v>
      </c>
      <c r="E1926" s="8" t="str">
        <f>IFERROR(VLOOKUP(LOG_RESEAU[[#This Row],[Cell_ID]],Registre_Maintenance!A:B,2,FALSE),"Non trouvé")</f>
        <v>Sankuru</v>
      </c>
      <c r="F1926" s="8">
        <f>IFERROR(VLOOKUP(LOG_RESEAU[[#This Row],[Cell_ID]],Registre_Maintenance!A:C,3,FALSE),"Non trouvé")</f>
        <v>-7.5969509999999998</v>
      </c>
      <c r="G1926" s="8">
        <f>IFERROR(VLOOKUP(LOG_RESEAU[[#This Row],[Cell_ID]],Registre_Maintenance!A:D,4,FALSE),"Non trouvé")</f>
        <v>22.153986</v>
      </c>
      <c r="H1926" s="6" t="str">
        <f>IFERROR(VLOOKUP(LOG_RESEAU[[#This Row],[Cell_ID]],Registre_Maintenance!A:E,5,FALSE),"Non trouvé")</f>
        <v>3G</v>
      </c>
      <c r="I1926" s="6" t="str">
        <f>IFERROR(VLOOKUP(LOG_RESEAU[[#This Row],[Cell_ID]],Registre_Maintenance!A:F,6,FALSE),"Non trouvé")</f>
        <v>Ericsson</v>
      </c>
      <c r="J1926" s="6" t="str">
        <f t="shared" si="90"/>
        <v>OK</v>
      </c>
      <c r="K1926" s="6">
        <f t="shared" si="91"/>
        <v>2</v>
      </c>
      <c r="L1926" s="6">
        <f t="shared" si="92"/>
        <v>151</v>
      </c>
    </row>
    <row r="1927" spans="1:12" ht="15.75" x14ac:dyDescent="0.25">
      <c r="A1927" s="6" t="s">
        <v>1020</v>
      </c>
      <c r="B1927" s="7">
        <v>45216.792361111111</v>
      </c>
      <c r="C1927" s="6">
        <v>56</v>
      </c>
      <c r="D1927" s="6" t="s">
        <v>794</v>
      </c>
      <c r="E1927" s="8" t="str">
        <f>IFERROR(VLOOKUP(LOG_RESEAU[[#This Row],[Cell_ID]],Registre_Maintenance!A:B,2,FALSE),"Non trouvé")</f>
        <v>Non trouvé</v>
      </c>
      <c r="F1927" s="8" t="str">
        <f>IFERROR(VLOOKUP(LOG_RESEAU[[#This Row],[Cell_ID]],Registre_Maintenance!A:C,3,FALSE),"Non trouvé")</f>
        <v>Non trouvé</v>
      </c>
      <c r="G1927" s="8" t="str">
        <f>IFERROR(VLOOKUP(LOG_RESEAU[[#This Row],[Cell_ID]],Registre_Maintenance!A:D,4,FALSE),"Non trouvé")</f>
        <v>Non trouvé</v>
      </c>
      <c r="H1927" s="6" t="str">
        <f>IFERROR(VLOOKUP(LOG_RESEAU[[#This Row],[Cell_ID]],Registre_Maintenance!A:E,5,FALSE),"Non trouvé")</f>
        <v>Non trouvé</v>
      </c>
      <c r="I1927" s="6" t="str">
        <f>IFERROR(VLOOKUP(LOG_RESEAU[[#This Row],[Cell_ID]],Registre_Maintenance!A:F,6,FALSE),"Non trouvé")</f>
        <v>Non trouvé</v>
      </c>
      <c r="J1927" s="6" t="str">
        <f t="shared" si="90"/>
        <v>Antenne inconnue</v>
      </c>
      <c r="K1927" s="6">
        <f t="shared" si="91"/>
        <v>2</v>
      </c>
      <c r="L1927" s="6">
        <f t="shared" si="92"/>
        <v>92</v>
      </c>
    </row>
    <row r="1928" spans="1:12" ht="15.75" x14ac:dyDescent="0.25">
      <c r="A1928" s="6" t="s">
        <v>1020</v>
      </c>
      <c r="B1928" s="7">
        <v>45203.03125</v>
      </c>
      <c r="C1928" s="6">
        <v>36</v>
      </c>
      <c r="D1928" s="6" t="s">
        <v>792</v>
      </c>
      <c r="E1928" s="8" t="str">
        <f>IFERROR(VLOOKUP(LOG_RESEAU[[#This Row],[Cell_ID]],Registre_Maintenance!A:B,2,FALSE),"Non trouvé")</f>
        <v>Non trouvé</v>
      </c>
      <c r="F1928" s="8" t="str">
        <f>IFERROR(VLOOKUP(LOG_RESEAU[[#This Row],[Cell_ID]],Registre_Maintenance!A:C,3,FALSE),"Non trouvé")</f>
        <v>Non trouvé</v>
      </c>
      <c r="G1928" s="8" t="str">
        <f>IFERROR(VLOOKUP(LOG_RESEAU[[#This Row],[Cell_ID]],Registre_Maintenance!A:D,4,FALSE),"Non trouvé")</f>
        <v>Non trouvé</v>
      </c>
      <c r="H1928" s="6" t="str">
        <f>IFERROR(VLOOKUP(LOG_RESEAU[[#This Row],[Cell_ID]],Registre_Maintenance!A:E,5,FALSE),"Non trouvé")</f>
        <v>Non trouvé</v>
      </c>
      <c r="I1928" s="6" t="str">
        <f>IFERROR(VLOOKUP(LOG_RESEAU[[#This Row],[Cell_ID]],Registre_Maintenance!A:F,6,FALSE),"Non trouvé")</f>
        <v>Non trouvé</v>
      </c>
      <c r="J1928" s="6" t="str">
        <f t="shared" si="90"/>
        <v>Antenne inconnue</v>
      </c>
      <c r="K1928" s="6">
        <f t="shared" si="91"/>
        <v>2</v>
      </c>
      <c r="L1928" s="6">
        <f t="shared" si="92"/>
        <v>92</v>
      </c>
    </row>
    <row r="1929" spans="1:12" ht="15.75" x14ac:dyDescent="0.25">
      <c r="A1929" s="6" t="s">
        <v>1177</v>
      </c>
      <c r="B1929" s="7">
        <v>45216.729861111111</v>
      </c>
      <c r="C1929" s="6">
        <v>109</v>
      </c>
      <c r="D1929" s="6" t="s">
        <v>792</v>
      </c>
      <c r="E1929" s="8" t="str">
        <f>IFERROR(VLOOKUP(LOG_RESEAU[[#This Row],[Cell_ID]],Registre_Maintenance!A:B,2,FALSE),"Non trouvé")</f>
        <v>Kasai-Oriental</v>
      </c>
      <c r="F1929" s="8">
        <f>IFERROR(VLOOKUP(LOG_RESEAU[[#This Row],[Cell_ID]],Registre_Maintenance!A:C,3,FALSE),"Non trouvé")</f>
        <v>0.639208</v>
      </c>
      <c r="G1929" s="8">
        <f>IFERROR(VLOOKUP(LOG_RESEAU[[#This Row],[Cell_ID]],Registre_Maintenance!A:D,4,FALSE),"Non trouvé")</f>
        <v>20.701739</v>
      </c>
      <c r="H1929" s="6" t="str">
        <f>IFERROR(VLOOKUP(LOG_RESEAU[[#This Row],[Cell_ID]],Registre_Maintenance!A:E,5,FALSE),"Non trouvé")</f>
        <v>4G</v>
      </c>
      <c r="I1929" s="6" t="str">
        <f>IFERROR(VLOOKUP(LOG_RESEAU[[#This Row],[Cell_ID]],Registre_Maintenance!A:F,6,FALSE),"Non trouvé")</f>
        <v>Huawei</v>
      </c>
      <c r="J1929" s="6" t="str">
        <f t="shared" si="90"/>
        <v>OK</v>
      </c>
      <c r="K1929" s="6">
        <f t="shared" si="91"/>
        <v>1</v>
      </c>
      <c r="L1929" s="6">
        <f t="shared" si="92"/>
        <v>109</v>
      </c>
    </row>
    <row r="1930" spans="1:12" ht="15.75" x14ac:dyDescent="0.25">
      <c r="A1930" s="6" t="s">
        <v>1441</v>
      </c>
      <c r="B1930" s="7">
        <v>45224.164583333331</v>
      </c>
      <c r="C1930" s="6">
        <v>57</v>
      </c>
      <c r="D1930" s="6" t="s">
        <v>800</v>
      </c>
      <c r="E1930" s="8" t="str">
        <f>IFERROR(VLOOKUP(LOG_RESEAU[[#This Row],[Cell_ID]],Registre_Maintenance!A:B,2,FALSE),"Non trouvé")</f>
        <v>Non trouvé</v>
      </c>
      <c r="F1930" s="8" t="str">
        <f>IFERROR(VLOOKUP(LOG_RESEAU[[#This Row],[Cell_ID]],Registre_Maintenance!A:C,3,FALSE),"Non trouvé")</f>
        <v>Non trouvé</v>
      </c>
      <c r="G1930" s="8" t="str">
        <f>IFERROR(VLOOKUP(LOG_RESEAU[[#This Row],[Cell_ID]],Registre_Maintenance!A:D,4,FALSE),"Non trouvé")</f>
        <v>Non trouvé</v>
      </c>
      <c r="H1930" s="6" t="str">
        <f>IFERROR(VLOOKUP(LOG_RESEAU[[#This Row],[Cell_ID]],Registre_Maintenance!A:E,5,FALSE),"Non trouvé")</f>
        <v>Non trouvé</v>
      </c>
      <c r="I1930" s="6" t="str">
        <f>IFERROR(VLOOKUP(LOG_RESEAU[[#This Row],[Cell_ID]],Registre_Maintenance!A:F,6,FALSE),"Non trouvé")</f>
        <v>Non trouvé</v>
      </c>
      <c r="J1930" s="6" t="str">
        <f t="shared" si="90"/>
        <v>Antenne inconnue</v>
      </c>
      <c r="K1930" s="6">
        <f t="shared" si="91"/>
        <v>1</v>
      </c>
      <c r="L1930" s="6">
        <f t="shared" si="92"/>
        <v>57</v>
      </c>
    </row>
    <row r="1931" spans="1:12" x14ac:dyDescent="0.25">
      <c r="A1931" s="3"/>
      <c r="B1931" s="4"/>
      <c r="C1931" s="3"/>
      <c r="D1931" s="3"/>
      <c r="E1931" s="3"/>
      <c r="F1931" s="3"/>
      <c r="G1931" s="3"/>
      <c r="H1931" s="3"/>
      <c r="I1931" s="3"/>
      <c r="J1931" s="3"/>
      <c r="K1931" s="3"/>
    </row>
    <row r="1932" spans="1:12" x14ac:dyDescent="0.25">
      <c r="A1932" s="3"/>
      <c r="B1932" s="4"/>
      <c r="C1932" s="3"/>
      <c r="D1932" s="3"/>
      <c r="E1932" s="3"/>
      <c r="F1932" s="3"/>
      <c r="G1932" s="3"/>
      <c r="H1932" s="3"/>
      <c r="I1932" s="3"/>
      <c r="J1932" s="3"/>
      <c r="K1932" s="3"/>
    </row>
    <row r="1933" spans="1:12" x14ac:dyDescent="0.25">
      <c r="A1933" s="3"/>
      <c r="B1933" s="4"/>
      <c r="C1933" s="3"/>
      <c r="D1933" s="3"/>
      <c r="E1933" s="3"/>
      <c r="F1933" s="3"/>
      <c r="G1933" s="3"/>
      <c r="H1933" s="3"/>
      <c r="I1933" s="3"/>
      <c r="J1933" s="3"/>
      <c r="K1933" s="3"/>
    </row>
    <row r="1934" spans="1:12" x14ac:dyDescent="0.25">
      <c r="A1934" s="3"/>
      <c r="B1934" s="4"/>
      <c r="C1934" s="3"/>
      <c r="D1934" s="3"/>
      <c r="E1934" s="3"/>
      <c r="F1934" s="3"/>
      <c r="G1934" s="3"/>
      <c r="H1934" s="3"/>
      <c r="I1934" s="3"/>
      <c r="J1934" s="3"/>
      <c r="K1934" s="3"/>
    </row>
    <row r="1935" spans="1:12" x14ac:dyDescent="0.25">
      <c r="A1935" s="3"/>
      <c r="B1935" s="4"/>
      <c r="C1935" s="3"/>
      <c r="D1935" s="3"/>
      <c r="E1935" s="3"/>
      <c r="F1935" s="3"/>
      <c r="G1935" s="3"/>
      <c r="H1935" s="3"/>
      <c r="I1935" s="3"/>
      <c r="J1935" s="3"/>
      <c r="K1935" s="3"/>
    </row>
    <row r="1936" spans="1:12" x14ac:dyDescent="0.25">
      <c r="A1936" s="3"/>
      <c r="B1936" s="4"/>
      <c r="C1936" s="3"/>
      <c r="D1936" s="3"/>
      <c r="E1936" s="3"/>
      <c r="F1936" s="3"/>
      <c r="G1936" s="3"/>
      <c r="H1936" s="3"/>
      <c r="I1936" s="3"/>
      <c r="J1936" s="3"/>
      <c r="K1936" s="3"/>
    </row>
    <row r="1937" spans="1:11" x14ac:dyDescent="0.25">
      <c r="A1937" s="3"/>
      <c r="B1937" s="4"/>
      <c r="C1937" s="3"/>
      <c r="D1937" s="3"/>
      <c r="E1937" s="3"/>
      <c r="F1937" s="3"/>
      <c r="G1937" s="3"/>
      <c r="H1937" s="3"/>
      <c r="I1937" s="3"/>
      <c r="J1937" s="3"/>
      <c r="K1937" s="3"/>
    </row>
    <row r="1938" spans="1:11" x14ac:dyDescent="0.25">
      <c r="A1938" s="3"/>
      <c r="B1938" s="4"/>
      <c r="C1938" s="3"/>
      <c r="D1938" s="3"/>
      <c r="E1938" s="3"/>
      <c r="F1938" s="3"/>
      <c r="G1938" s="3"/>
      <c r="H1938" s="3"/>
      <c r="I1938" s="3"/>
      <c r="J1938" s="3"/>
      <c r="K1938" s="3"/>
    </row>
    <row r="1939" spans="1:11" x14ac:dyDescent="0.25">
      <c r="A1939" s="3"/>
      <c r="B1939" s="4"/>
      <c r="C1939" s="3"/>
      <c r="D1939" s="3"/>
      <c r="E1939" s="3"/>
      <c r="F1939" s="3"/>
      <c r="G1939" s="3"/>
      <c r="H1939" s="3"/>
      <c r="I1939" s="3"/>
      <c r="J1939" s="3"/>
      <c r="K1939" s="3"/>
    </row>
    <row r="1940" spans="1:11" x14ac:dyDescent="0.25">
      <c r="A1940" s="3"/>
      <c r="B1940" s="4"/>
      <c r="C1940" s="3"/>
      <c r="D1940" s="3"/>
      <c r="E1940" s="3"/>
      <c r="F1940" s="3"/>
      <c r="G1940" s="3"/>
      <c r="H1940" s="3"/>
      <c r="I1940" s="3"/>
      <c r="J1940" s="3"/>
      <c r="K1940" s="3"/>
    </row>
    <row r="1941" spans="1:11" x14ac:dyDescent="0.25">
      <c r="A1941" s="3"/>
      <c r="B1941" s="4"/>
      <c r="C1941" s="3"/>
      <c r="D1941" s="3"/>
      <c r="E1941" s="3"/>
      <c r="F1941" s="3"/>
      <c r="G1941" s="3"/>
      <c r="H1941" s="3"/>
      <c r="I1941" s="3"/>
      <c r="J1941" s="3"/>
      <c r="K1941" s="3"/>
    </row>
    <row r="1942" spans="1:11" x14ac:dyDescent="0.25">
      <c r="A1942" s="3"/>
      <c r="B1942" s="4"/>
      <c r="C1942" s="3"/>
      <c r="D1942" s="3"/>
      <c r="E1942" s="3"/>
      <c r="F1942" s="3"/>
      <c r="G1942" s="3"/>
      <c r="H1942" s="3"/>
      <c r="I1942" s="3"/>
      <c r="J1942" s="3"/>
      <c r="K1942" s="3"/>
    </row>
    <row r="1943" spans="1:11" x14ac:dyDescent="0.25">
      <c r="A1943" s="3"/>
      <c r="B1943" s="4"/>
      <c r="C1943" s="3"/>
      <c r="D1943" s="3"/>
      <c r="E1943" s="3"/>
      <c r="F1943" s="3"/>
      <c r="G1943" s="3"/>
      <c r="H1943" s="3"/>
      <c r="I1943" s="3"/>
      <c r="J1943" s="3"/>
      <c r="K1943" s="3"/>
    </row>
    <row r="1944" spans="1:11" x14ac:dyDescent="0.25">
      <c r="A1944" s="3"/>
      <c r="B1944" s="4"/>
      <c r="C1944" s="3"/>
      <c r="D1944" s="3"/>
      <c r="E1944" s="3"/>
      <c r="F1944" s="3"/>
      <c r="G1944" s="3"/>
      <c r="H1944" s="3"/>
      <c r="I1944" s="3"/>
      <c r="J1944" s="3"/>
      <c r="K1944" s="3"/>
    </row>
    <row r="1945" spans="1:11" x14ac:dyDescent="0.25">
      <c r="A1945" s="3"/>
      <c r="B1945" s="4"/>
      <c r="C1945" s="3"/>
      <c r="D1945" s="3"/>
      <c r="E1945" s="3"/>
      <c r="F1945" s="3"/>
      <c r="G1945" s="3"/>
      <c r="H1945" s="3"/>
      <c r="I1945" s="3"/>
      <c r="J1945" s="3"/>
      <c r="K1945" s="3"/>
    </row>
    <row r="1946" spans="1:11" x14ac:dyDescent="0.25">
      <c r="A1946" s="3"/>
      <c r="B1946" s="4"/>
      <c r="C1946" s="3"/>
      <c r="D1946" s="3"/>
      <c r="E1946" s="3"/>
      <c r="F1946" s="3"/>
      <c r="G1946" s="3"/>
      <c r="H1946" s="3"/>
      <c r="I1946" s="3"/>
      <c r="J1946" s="3"/>
      <c r="K1946" s="3"/>
    </row>
    <row r="1947" spans="1:11" x14ac:dyDescent="0.25">
      <c r="A1947" s="3"/>
      <c r="B1947" s="4"/>
      <c r="C1947" s="3"/>
      <c r="D1947" s="3"/>
      <c r="E1947" s="3"/>
      <c r="F1947" s="3"/>
      <c r="G1947" s="3"/>
      <c r="H1947" s="3"/>
      <c r="I1947" s="3"/>
      <c r="J1947" s="3"/>
      <c r="K1947" s="3"/>
    </row>
    <row r="1948" spans="1:11" x14ac:dyDescent="0.25">
      <c r="A1948" s="3"/>
      <c r="B1948" s="4"/>
      <c r="C1948" s="3"/>
      <c r="D1948" s="3"/>
      <c r="E1948" s="3"/>
      <c r="F1948" s="3"/>
      <c r="G1948" s="3"/>
      <c r="H1948" s="3"/>
      <c r="I1948" s="3"/>
      <c r="J1948" s="3"/>
      <c r="K1948" s="3"/>
    </row>
    <row r="1949" spans="1:11" x14ac:dyDescent="0.25">
      <c r="A1949" s="3"/>
      <c r="B1949" s="4"/>
      <c r="C1949" s="3"/>
      <c r="D1949" s="3"/>
      <c r="E1949" s="3"/>
      <c r="F1949" s="3"/>
      <c r="G1949" s="3"/>
      <c r="H1949" s="3"/>
      <c r="I1949" s="3"/>
      <c r="J1949" s="3"/>
      <c r="K1949" s="3"/>
    </row>
    <row r="1950" spans="1:11" x14ac:dyDescent="0.25">
      <c r="A1950" s="3"/>
      <c r="B1950" s="4"/>
      <c r="C1950" s="3"/>
      <c r="D1950" s="3"/>
      <c r="E1950" s="3"/>
      <c r="F1950" s="3"/>
      <c r="G1950" s="3"/>
      <c r="H1950" s="3"/>
      <c r="I1950" s="3"/>
      <c r="J1950" s="3"/>
      <c r="K1950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selection activeCell="F1" sqref="F1"/>
    </sheetView>
  </sheetViews>
  <sheetFormatPr baseColWidth="10" defaultRowHeight="15" x14ac:dyDescent="0.25"/>
  <cols>
    <col min="1" max="1" width="13.85546875" bestFit="1" customWidth="1"/>
    <col min="2" max="2" width="15.5703125" bestFit="1" customWidth="1"/>
    <col min="3" max="3" width="10.7109375" bestFit="1" customWidth="1"/>
    <col min="4" max="4" width="12.140625" bestFit="1" customWidth="1"/>
    <col min="5" max="5" width="14.140625" bestFit="1" customWidth="1"/>
    <col min="6" max="6" width="16.5703125" bestFit="1" customWidth="1"/>
  </cols>
  <sheetData>
    <row r="1" spans="1:6" x14ac:dyDescent="0.25">
      <c r="A1" s="1" t="s">
        <v>1547</v>
      </c>
      <c r="B1" s="1" t="s">
        <v>1548</v>
      </c>
      <c r="C1" s="1" t="s">
        <v>1549</v>
      </c>
      <c r="D1" s="1" t="s">
        <v>1550</v>
      </c>
      <c r="E1" s="1" t="s">
        <v>1551</v>
      </c>
      <c r="F1" s="1" t="s">
        <v>1552</v>
      </c>
    </row>
    <row r="2" spans="1:6" x14ac:dyDescent="0.25">
      <c r="A2" s="1" t="s">
        <v>1417</v>
      </c>
      <c r="B2" s="1" t="s">
        <v>124</v>
      </c>
      <c r="C2" s="1">
        <v>-3.003879</v>
      </c>
      <c r="D2" s="1">
        <v>23.633893</v>
      </c>
      <c r="E2" s="1" t="s">
        <v>1553</v>
      </c>
      <c r="F2" s="1" t="s">
        <v>1554</v>
      </c>
    </row>
    <row r="3" spans="1:6" x14ac:dyDescent="0.25">
      <c r="A3" s="1" t="s">
        <v>980</v>
      </c>
      <c r="B3" s="1" t="s">
        <v>49</v>
      </c>
      <c r="C3" s="1">
        <v>2.413557</v>
      </c>
      <c r="D3" s="1">
        <v>19.690681999999999</v>
      </c>
      <c r="E3" s="1" t="s">
        <v>1555</v>
      </c>
      <c r="F3" s="1" t="s">
        <v>1556</v>
      </c>
    </row>
    <row r="4" spans="1:6" x14ac:dyDescent="0.25">
      <c r="A4" s="1" t="s">
        <v>1028</v>
      </c>
      <c r="B4" s="1" t="s">
        <v>35</v>
      </c>
      <c r="C4" s="1">
        <v>-9.4708620000000003</v>
      </c>
      <c r="D4" s="1">
        <v>29.234387999999999</v>
      </c>
      <c r="E4" s="1" t="s">
        <v>1557</v>
      </c>
      <c r="F4" s="1" t="s">
        <v>1558</v>
      </c>
    </row>
    <row r="5" spans="1:6" x14ac:dyDescent="0.25">
      <c r="A5" s="1" t="s">
        <v>1376</v>
      </c>
      <c r="B5" s="1" t="s">
        <v>71</v>
      </c>
      <c r="C5" s="1">
        <v>1.400674</v>
      </c>
      <c r="D5" s="1">
        <v>13.503126999999999</v>
      </c>
      <c r="E5" s="1" t="s">
        <v>1553</v>
      </c>
      <c r="F5" s="1" t="s">
        <v>1558</v>
      </c>
    </row>
    <row r="6" spans="1:6" x14ac:dyDescent="0.25">
      <c r="A6" s="1" t="s">
        <v>1559</v>
      </c>
      <c r="B6" s="1" t="s">
        <v>124</v>
      </c>
      <c r="C6" s="1">
        <v>0.29375600000000002</v>
      </c>
      <c r="D6" s="1">
        <v>18.528884000000001</v>
      </c>
      <c r="E6" s="1" t="s">
        <v>1553</v>
      </c>
      <c r="F6" s="1" t="s">
        <v>1558</v>
      </c>
    </row>
    <row r="7" spans="1:6" x14ac:dyDescent="0.25">
      <c r="A7" s="1" t="s">
        <v>1560</v>
      </c>
      <c r="B7" s="1" t="s">
        <v>76</v>
      </c>
      <c r="C7" s="1">
        <v>-4.4862339999999996</v>
      </c>
      <c r="D7" s="1">
        <v>17.956159</v>
      </c>
      <c r="E7" s="1" t="s">
        <v>1557</v>
      </c>
      <c r="F7" s="1" t="s">
        <v>1556</v>
      </c>
    </row>
    <row r="8" spans="1:6" x14ac:dyDescent="0.25">
      <c r="A8" s="1" t="s">
        <v>897</v>
      </c>
      <c r="B8" s="1" t="s">
        <v>35</v>
      </c>
      <c r="C8" s="1">
        <v>-12.824638999999999</v>
      </c>
      <c r="D8" s="1">
        <v>24.407249</v>
      </c>
      <c r="E8" s="1" t="s">
        <v>1553</v>
      </c>
      <c r="F8" s="1" t="s">
        <v>1556</v>
      </c>
    </row>
    <row r="9" spans="1:6" x14ac:dyDescent="0.25">
      <c r="A9" s="1" t="s">
        <v>1087</v>
      </c>
      <c r="B9" s="1" t="s">
        <v>62</v>
      </c>
      <c r="C9" s="1">
        <v>-5.4126279999999998</v>
      </c>
      <c r="D9" s="1">
        <v>25.498235999999999</v>
      </c>
      <c r="E9" s="1" t="s">
        <v>1553</v>
      </c>
      <c r="F9" s="1" t="s">
        <v>1558</v>
      </c>
    </row>
    <row r="10" spans="1:6" x14ac:dyDescent="0.25">
      <c r="A10" s="1" t="s">
        <v>1561</v>
      </c>
      <c r="B10" s="1" t="s">
        <v>62</v>
      </c>
      <c r="C10" s="1">
        <v>-10.579510000000001</v>
      </c>
      <c r="D10" s="1">
        <v>23.502313999999998</v>
      </c>
      <c r="E10" s="1" t="s">
        <v>1555</v>
      </c>
      <c r="F10" s="1" t="s">
        <v>1558</v>
      </c>
    </row>
    <row r="11" spans="1:6" x14ac:dyDescent="0.25">
      <c r="A11" s="1" t="s">
        <v>1562</v>
      </c>
      <c r="B11" s="1" t="s">
        <v>11</v>
      </c>
      <c r="C11" s="1">
        <v>3.0788669999999998</v>
      </c>
      <c r="D11" s="1">
        <v>19.513650999999999</v>
      </c>
      <c r="E11" s="1" t="s">
        <v>1553</v>
      </c>
      <c r="F11" s="1" t="s">
        <v>1556</v>
      </c>
    </row>
    <row r="12" spans="1:6" x14ac:dyDescent="0.25">
      <c r="A12" s="1" t="s">
        <v>1019</v>
      </c>
      <c r="B12" s="1" t="s">
        <v>31</v>
      </c>
      <c r="C12" s="1">
        <v>-1.648264</v>
      </c>
      <c r="D12" s="1">
        <v>28.866143999999998</v>
      </c>
      <c r="E12" s="1" t="s">
        <v>1553</v>
      </c>
      <c r="F12" s="1" t="s">
        <v>1554</v>
      </c>
    </row>
    <row r="13" spans="1:6" x14ac:dyDescent="0.25">
      <c r="A13" s="1" t="s">
        <v>1563</v>
      </c>
      <c r="B13" s="1" t="s">
        <v>128</v>
      </c>
      <c r="C13" s="1">
        <v>-3.3883130000000001</v>
      </c>
      <c r="D13" s="1">
        <v>26.838507</v>
      </c>
      <c r="E13" s="1" t="s">
        <v>1553</v>
      </c>
      <c r="F13" s="1" t="s">
        <v>1564</v>
      </c>
    </row>
    <row r="14" spans="1:6" x14ac:dyDescent="0.25">
      <c r="A14" s="1" t="s">
        <v>1565</v>
      </c>
      <c r="B14" s="1" t="s">
        <v>86</v>
      </c>
      <c r="C14" s="1">
        <v>-7.31691</v>
      </c>
      <c r="D14" s="1">
        <v>29.836627</v>
      </c>
      <c r="E14" s="1" t="s">
        <v>1553</v>
      </c>
      <c r="F14" s="1" t="s">
        <v>1558</v>
      </c>
    </row>
    <row r="15" spans="1:6" x14ac:dyDescent="0.25">
      <c r="A15" s="1" t="s">
        <v>1111</v>
      </c>
      <c r="B15" s="1" t="s">
        <v>49</v>
      </c>
      <c r="C15" s="1">
        <v>-4.2408359999999998</v>
      </c>
      <c r="D15" s="1">
        <v>26.210014000000001</v>
      </c>
      <c r="E15" s="1" t="s">
        <v>1555</v>
      </c>
      <c r="F15" s="1" t="s">
        <v>1556</v>
      </c>
    </row>
    <row r="16" spans="1:6" x14ac:dyDescent="0.25">
      <c r="A16" s="1" t="s">
        <v>924</v>
      </c>
      <c r="B16" s="1" t="s">
        <v>76</v>
      </c>
      <c r="C16" s="1">
        <v>-8.4824669999999998</v>
      </c>
      <c r="D16" s="1">
        <v>21.897777999999999</v>
      </c>
      <c r="E16" s="1" t="s">
        <v>1553</v>
      </c>
      <c r="F16" s="1" t="s">
        <v>1554</v>
      </c>
    </row>
    <row r="17" spans="1:6" x14ac:dyDescent="0.25">
      <c r="A17" s="1" t="s">
        <v>1383</v>
      </c>
      <c r="B17" s="1" t="s">
        <v>19</v>
      </c>
      <c r="C17" s="1">
        <v>2.453036</v>
      </c>
      <c r="D17" s="1">
        <v>20.555484</v>
      </c>
      <c r="E17" s="1" t="s">
        <v>1553</v>
      </c>
      <c r="F17" s="1" t="s">
        <v>1554</v>
      </c>
    </row>
    <row r="18" spans="1:6" x14ac:dyDescent="0.25">
      <c r="A18" s="1" t="s">
        <v>875</v>
      </c>
      <c r="B18" s="1" t="s">
        <v>29</v>
      </c>
      <c r="C18" s="1">
        <v>-12.141233</v>
      </c>
      <c r="D18" s="1">
        <v>15.179043999999999</v>
      </c>
      <c r="E18" s="1" t="s">
        <v>1553</v>
      </c>
      <c r="F18" s="1" t="s">
        <v>1554</v>
      </c>
    </row>
    <row r="19" spans="1:6" x14ac:dyDescent="0.25">
      <c r="A19" s="1" t="s">
        <v>1091</v>
      </c>
      <c r="B19" s="1" t="s">
        <v>65</v>
      </c>
      <c r="C19" s="1">
        <v>-11.218453999999999</v>
      </c>
      <c r="D19" s="1">
        <v>28.230025000000001</v>
      </c>
      <c r="E19" s="1" t="s">
        <v>1553</v>
      </c>
      <c r="F19" s="1" t="s">
        <v>1558</v>
      </c>
    </row>
    <row r="20" spans="1:6" x14ac:dyDescent="0.25">
      <c r="A20" s="1" t="s">
        <v>944</v>
      </c>
      <c r="B20" s="1" t="s">
        <v>27</v>
      </c>
      <c r="C20" s="1">
        <v>-10.059846</v>
      </c>
      <c r="D20" s="1">
        <v>14.375757999999999</v>
      </c>
      <c r="E20" s="1" t="s">
        <v>1555</v>
      </c>
      <c r="F20" s="1" t="s">
        <v>1556</v>
      </c>
    </row>
    <row r="21" spans="1:6" x14ac:dyDescent="0.25">
      <c r="A21" s="1" t="s">
        <v>1287</v>
      </c>
      <c r="B21" s="1" t="s">
        <v>58</v>
      </c>
      <c r="C21" s="1">
        <v>-9.1215879999999991</v>
      </c>
      <c r="D21" s="1">
        <v>16.457916999999998</v>
      </c>
      <c r="E21" s="1" t="s">
        <v>1555</v>
      </c>
      <c r="F21" s="1" t="s">
        <v>1564</v>
      </c>
    </row>
    <row r="22" spans="1:6" x14ac:dyDescent="0.25">
      <c r="A22" s="1" t="s">
        <v>1023</v>
      </c>
      <c r="B22" s="1" t="s">
        <v>65</v>
      </c>
      <c r="C22" s="1">
        <v>-8.4227860000000003</v>
      </c>
      <c r="D22" s="1">
        <v>16.781293000000002</v>
      </c>
      <c r="E22" s="1" t="s">
        <v>1555</v>
      </c>
      <c r="F22" s="1" t="s">
        <v>1556</v>
      </c>
    </row>
    <row r="23" spans="1:6" x14ac:dyDescent="0.25">
      <c r="A23" s="1" t="s">
        <v>1566</v>
      </c>
      <c r="B23" s="1" t="s">
        <v>55</v>
      </c>
      <c r="C23" s="1">
        <v>2.1014910000000002</v>
      </c>
      <c r="D23" s="1">
        <v>26.133631999999999</v>
      </c>
      <c r="E23" s="1" t="s">
        <v>1553</v>
      </c>
      <c r="F23" s="1" t="s">
        <v>1556</v>
      </c>
    </row>
    <row r="24" spans="1:6" x14ac:dyDescent="0.25">
      <c r="A24" s="1" t="s">
        <v>1286</v>
      </c>
      <c r="B24" s="1" t="s">
        <v>65</v>
      </c>
      <c r="C24" s="1">
        <v>-11.266565999999999</v>
      </c>
      <c r="D24" s="1">
        <v>26.245055000000001</v>
      </c>
      <c r="E24" s="1" t="s">
        <v>1557</v>
      </c>
      <c r="F24" s="1" t="s">
        <v>1554</v>
      </c>
    </row>
    <row r="25" spans="1:6" x14ac:dyDescent="0.25">
      <c r="A25" s="1" t="s">
        <v>1357</v>
      </c>
      <c r="B25" s="1" t="s">
        <v>24</v>
      </c>
      <c r="C25" s="1">
        <v>0.40267799999999998</v>
      </c>
      <c r="D25" s="1">
        <v>16.000858000000001</v>
      </c>
      <c r="E25" s="1" t="s">
        <v>1557</v>
      </c>
      <c r="F25" s="1" t="s">
        <v>1564</v>
      </c>
    </row>
    <row r="26" spans="1:6" x14ac:dyDescent="0.25">
      <c r="A26" s="1" t="s">
        <v>1143</v>
      </c>
      <c r="B26" s="1" t="s">
        <v>29</v>
      </c>
      <c r="C26" s="1">
        <v>-8.3241560000000003</v>
      </c>
      <c r="D26" s="1">
        <v>19.543866000000001</v>
      </c>
      <c r="E26" s="1" t="s">
        <v>1555</v>
      </c>
      <c r="F26" s="1" t="s">
        <v>1558</v>
      </c>
    </row>
    <row r="27" spans="1:6" x14ac:dyDescent="0.25">
      <c r="A27" s="1" t="s">
        <v>1567</v>
      </c>
      <c r="B27" s="1" t="s">
        <v>76</v>
      </c>
      <c r="C27" s="1">
        <v>-6.5144820000000001</v>
      </c>
      <c r="D27" s="1">
        <v>13.815521</v>
      </c>
      <c r="E27" s="1" t="s">
        <v>1555</v>
      </c>
      <c r="F27" s="1" t="s">
        <v>1558</v>
      </c>
    </row>
    <row r="28" spans="1:6" x14ac:dyDescent="0.25">
      <c r="A28" s="1" t="s">
        <v>1138</v>
      </c>
      <c r="B28" s="1" t="s">
        <v>19</v>
      </c>
      <c r="C28" s="1">
        <v>-2.9651529999999999</v>
      </c>
      <c r="D28" s="1">
        <v>29.79908</v>
      </c>
      <c r="E28" s="1" t="s">
        <v>1555</v>
      </c>
      <c r="F28" s="1" t="s">
        <v>1554</v>
      </c>
    </row>
    <row r="29" spans="1:6" x14ac:dyDescent="0.25">
      <c r="A29" s="1" t="s">
        <v>1252</v>
      </c>
      <c r="B29" s="1" t="s">
        <v>27</v>
      </c>
      <c r="C29" s="1">
        <v>1.5802860000000001</v>
      </c>
      <c r="D29" s="1">
        <v>20.99053</v>
      </c>
      <c r="E29" s="1" t="s">
        <v>1555</v>
      </c>
      <c r="F29" s="1" t="s">
        <v>1558</v>
      </c>
    </row>
    <row r="30" spans="1:6" x14ac:dyDescent="0.25">
      <c r="A30" s="1" t="s">
        <v>1568</v>
      </c>
      <c r="B30" s="1" t="s">
        <v>24</v>
      </c>
      <c r="C30" s="1">
        <v>-6.8054750000000004</v>
      </c>
      <c r="D30" s="1">
        <v>13.022683000000001</v>
      </c>
      <c r="E30" s="1" t="s">
        <v>1555</v>
      </c>
      <c r="F30" s="1" t="s">
        <v>1556</v>
      </c>
    </row>
    <row r="31" spans="1:6" x14ac:dyDescent="0.25">
      <c r="A31" s="1" t="s">
        <v>1569</v>
      </c>
      <c r="B31" s="1" t="s">
        <v>8</v>
      </c>
      <c r="C31" s="1">
        <v>-5.5883039999999999</v>
      </c>
      <c r="D31" s="1">
        <v>26.647739999999999</v>
      </c>
      <c r="E31" s="1" t="s">
        <v>1557</v>
      </c>
      <c r="F31" s="1" t="s">
        <v>1554</v>
      </c>
    </row>
    <row r="32" spans="1:6" x14ac:dyDescent="0.25">
      <c r="A32" s="1" t="s">
        <v>1095</v>
      </c>
      <c r="B32" s="1" t="s">
        <v>31</v>
      </c>
      <c r="C32" s="1">
        <v>-6.6803710000000001</v>
      </c>
      <c r="D32" s="1">
        <v>21.955673000000001</v>
      </c>
      <c r="E32" s="1" t="s">
        <v>1555</v>
      </c>
      <c r="F32" s="1" t="s">
        <v>1564</v>
      </c>
    </row>
    <row r="33" spans="1:6" x14ac:dyDescent="0.25">
      <c r="A33" s="1" t="s">
        <v>931</v>
      </c>
      <c r="B33" s="1" t="s">
        <v>8</v>
      </c>
      <c r="C33" s="1">
        <v>-0.767455</v>
      </c>
      <c r="D33" s="1">
        <v>30.924261000000001</v>
      </c>
      <c r="E33" s="1" t="s">
        <v>1557</v>
      </c>
      <c r="F33" s="1" t="s">
        <v>1556</v>
      </c>
    </row>
    <row r="34" spans="1:6" x14ac:dyDescent="0.25">
      <c r="A34" s="1" t="s">
        <v>1067</v>
      </c>
      <c r="B34" s="1" t="s">
        <v>35</v>
      </c>
      <c r="C34" s="1">
        <v>-2.099631</v>
      </c>
      <c r="D34" s="1">
        <v>13.974640000000001</v>
      </c>
      <c r="E34" s="1" t="s">
        <v>1557</v>
      </c>
      <c r="F34" s="1" t="s">
        <v>1564</v>
      </c>
    </row>
    <row r="35" spans="1:6" x14ac:dyDescent="0.25">
      <c r="A35" s="1" t="s">
        <v>1570</v>
      </c>
      <c r="B35" s="1" t="s">
        <v>134</v>
      </c>
      <c r="C35" s="1">
        <v>-2.6166320000000001</v>
      </c>
      <c r="D35" s="1">
        <v>23.743941</v>
      </c>
      <c r="E35" s="1" t="s">
        <v>1553</v>
      </c>
      <c r="F35" s="1" t="s">
        <v>1564</v>
      </c>
    </row>
    <row r="36" spans="1:6" x14ac:dyDescent="0.25">
      <c r="A36" s="1" t="s">
        <v>1404</v>
      </c>
      <c r="B36" s="1" t="s">
        <v>19</v>
      </c>
      <c r="C36" s="1">
        <v>-1.3024210000000001</v>
      </c>
      <c r="D36" s="1">
        <v>13.601914000000001</v>
      </c>
      <c r="E36" s="1" t="s">
        <v>1557</v>
      </c>
      <c r="F36" s="1" t="s">
        <v>1556</v>
      </c>
    </row>
    <row r="37" spans="1:6" x14ac:dyDescent="0.25">
      <c r="A37" s="1" t="s">
        <v>1571</v>
      </c>
      <c r="B37" s="1" t="s">
        <v>19</v>
      </c>
      <c r="C37" s="1">
        <v>-3.3081109999999998</v>
      </c>
      <c r="D37" s="1">
        <v>29.700202000000001</v>
      </c>
      <c r="E37" s="1" t="s">
        <v>1555</v>
      </c>
      <c r="F37" s="1" t="s">
        <v>1564</v>
      </c>
    </row>
    <row r="38" spans="1:6" x14ac:dyDescent="0.25">
      <c r="A38" s="1" t="s">
        <v>1033</v>
      </c>
      <c r="B38" s="1" t="s">
        <v>128</v>
      </c>
      <c r="C38" s="1">
        <v>4.6287159999999998</v>
      </c>
      <c r="D38" s="1">
        <v>19.407077999999998</v>
      </c>
      <c r="E38" s="1" t="s">
        <v>1555</v>
      </c>
      <c r="F38" s="1" t="s">
        <v>1554</v>
      </c>
    </row>
    <row r="39" spans="1:6" x14ac:dyDescent="0.25">
      <c r="A39" s="1" t="s">
        <v>1320</v>
      </c>
      <c r="B39" s="1" t="s">
        <v>65</v>
      </c>
      <c r="C39" s="1">
        <v>-7.8770429999999996</v>
      </c>
      <c r="D39" s="1">
        <v>16.357762999999998</v>
      </c>
      <c r="E39" s="1" t="s">
        <v>1555</v>
      </c>
      <c r="F39" s="1" t="s">
        <v>1554</v>
      </c>
    </row>
    <row r="40" spans="1:6" x14ac:dyDescent="0.25">
      <c r="A40" s="1" t="s">
        <v>1332</v>
      </c>
      <c r="B40" s="1" t="s">
        <v>124</v>
      </c>
      <c r="C40" s="1">
        <v>-7.1483749999999997</v>
      </c>
      <c r="D40" s="1">
        <v>26.014271000000001</v>
      </c>
      <c r="E40" s="1" t="s">
        <v>1553</v>
      </c>
      <c r="F40" s="1" t="s">
        <v>1556</v>
      </c>
    </row>
    <row r="41" spans="1:6" x14ac:dyDescent="0.25">
      <c r="A41" s="1" t="s">
        <v>1403</v>
      </c>
      <c r="B41" s="1" t="s">
        <v>27</v>
      </c>
      <c r="C41" s="1">
        <v>-3.8119990000000001</v>
      </c>
      <c r="D41" s="1">
        <v>20.420048000000001</v>
      </c>
      <c r="E41" s="1" t="s">
        <v>1557</v>
      </c>
      <c r="F41" s="1" t="s">
        <v>1558</v>
      </c>
    </row>
    <row r="42" spans="1:6" x14ac:dyDescent="0.25">
      <c r="A42" s="1" t="s">
        <v>856</v>
      </c>
      <c r="B42" s="1" t="s">
        <v>86</v>
      </c>
      <c r="C42" s="1">
        <v>0.94539899999999999</v>
      </c>
      <c r="D42" s="1">
        <v>14.401821999999999</v>
      </c>
      <c r="E42" s="1" t="s">
        <v>1553</v>
      </c>
      <c r="F42" s="1" t="s">
        <v>1564</v>
      </c>
    </row>
    <row r="43" spans="1:6" x14ac:dyDescent="0.25">
      <c r="A43" s="1" t="s">
        <v>1202</v>
      </c>
      <c r="B43" s="1" t="s">
        <v>42</v>
      </c>
      <c r="C43" s="1">
        <v>-4.9552579999999997</v>
      </c>
      <c r="D43" s="1">
        <v>22.008103999999999</v>
      </c>
      <c r="E43" s="1" t="s">
        <v>1555</v>
      </c>
      <c r="F43" s="1" t="s">
        <v>1556</v>
      </c>
    </row>
    <row r="44" spans="1:6" x14ac:dyDescent="0.25">
      <c r="A44" s="1" t="s">
        <v>1419</v>
      </c>
      <c r="B44" s="1" t="s">
        <v>86</v>
      </c>
      <c r="C44" s="1">
        <v>-11.588665000000001</v>
      </c>
      <c r="D44" s="1">
        <v>15.241552</v>
      </c>
      <c r="E44" s="1" t="s">
        <v>1555</v>
      </c>
      <c r="F44" s="1" t="s">
        <v>1564</v>
      </c>
    </row>
    <row r="45" spans="1:6" x14ac:dyDescent="0.25">
      <c r="A45" s="1" t="s">
        <v>1338</v>
      </c>
      <c r="B45" s="1" t="s">
        <v>11</v>
      </c>
      <c r="C45" s="1">
        <v>-1.9540519999999999</v>
      </c>
      <c r="D45" s="1">
        <v>12.667945</v>
      </c>
      <c r="E45" s="1" t="s">
        <v>1555</v>
      </c>
      <c r="F45" s="1" t="s">
        <v>1556</v>
      </c>
    </row>
    <row r="46" spans="1:6" x14ac:dyDescent="0.25">
      <c r="A46" s="1" t="s">
        <v>1572</v>
      </c>
      <c r="B46" s="1" t="s">
        <v>55</v>
      </c>
      <c r="C46" s="1">
        <v>-4.652463</v>
      </c>
      <c r="D46" s="1">
        <v>18.779983999999999</v>
      </c>
      <c r="E46" s="1" t="s">
        <v>1557</v>
      </c>
      <c r="F46" s="1" t="s">
        <v>1564</v>
      </c>
    </row>
    <row r="47" spans="1:6" x14ac:dyDescent="0.25">
      <c r="A47" s="1" t="s">
        <v>1573</v>
      </c>
      <c r="B47" s="1" t="s">
        <v>49</v>
      </c>
      <c r="C47" s="1">
        <v>4.2187000000000001</v>
      </c>
      <c r="D47" s="1">
        <v>29.390174999999999</v>
      </c>
      <c r="E47" s="1" t="s">
        <v>1555</v>
      </c>
      <c r="F47" s="1" t="s">
        <v>1558</v>
      </c>
    </row>
    <row r="48" spans="1:6" x14ac:dyDescent="0.25">
      <c r="A48" s="1" t="s">
        <v>1235</v>
      </c>
      <c r="B48" s="1" t="s">
        <v>16</v>
      </c>
      <c r="C48" s="1">
        <v>2.628638</v>
      </c>
      <c r="D48" s="1">
        <v>28.420582</v>
      </c>
      <c r="E48" s="1" t="s">
        <v>1555</v>
      </c>
      <c r="F48" s="1" t="s">
        <v>1556</v>
      </c>
    </row>
    <row r="49" spans="1:6" x14ac:dyDescent="0.25">
      <c r="A49" s="1" t="s">
        <v>1574</v>
      </c>
      <c r="B49" s="1" t="s">
        <v>65</v>
      </c>
      <c r="C49" s="1">
        <v>-1.4695480000000001</v>
      </c>
      <c r="D49" s="1">
        <v>20.876676</v>
      </c>
      <c r="E49" s="1" t="s">
        <v>1553</v>
      </c>
      <c r="F49" s="1" t="s">
        <v>1554</v>
      </c>
    </row>
    <row r="50" spans="1:6" x14ac:dyDescent="0.25">
      <c r="A50" s="1" t="s">
        <v>1575</v>
      </c>
      <c r="B50" s="1" t="s">
        <v>22</v>
      </c>
      <c r="C50" s="1">
        <v>3.7141999999999999</v>
      </c>
      <c r="D50" s="1">
        <v>28.547066999999998</v>
      </c>
      <c r="E50" s="1" t="s">
        <v>1557</v>
      </c>
      <c r="F50" s="1" t="s">
        <v>1558</v>
      </c>
    </row>
    <row r="51" spans="1:6" x14ac:dyDescent="0.25">
      <c r="A51" s="1" t="s">
        <v>1291</v>
      </c>
      <c r="B51" s="1" t="s">
        <v>55</v>
      </c>
      <c r="C51" s="1">
        <v>-5.4073029999999997</v>
      </c>
      <c r="D51" s="1">
        <v>29.762294000000001</v>
      </c>
      <c r="E51" s="1" t="s">
        <v>1557</v>
      </c>
      <c r="F51" s="1" t="s">
        <v>1554</v>
      </c>
    </row>
    <row r="52" spans="1:6" x14ac:dyDescent="0.25">
      <c r="A52" s="1" t="s">
        <v>829</v>
      </c>
      <c r="B52" s="1" t="s">
        <v>19</v>
      </c>
      <c r="C52" s="1">
        <v>-3.6233270000000002</v>
      </c>
      <c r="D52" s="1">
        <v>25.915645999999999</v>
      </c>
      <c r="E52" s="1" t="s">
        <v>1557</v>
      </c>
      <c r="F52" s="1" t="s">
        <v>1556</v>
      </c>
    </row>
    <row r="53" spans="1:6" x14ac:dyDescent="0.25">
      <c r="A53" s="1" t="s">
        <v>1576</v>
      </c>
      <c r="B53" s="1" t="s">
        <v>124</v>
      </c>
      <c r="C53" s="1">
        <v>-8.4403710000000007</v>
      </c>
      <c r="D53" s="1">
        <v>17.231165000000001</v>
      </c>
      <c r="E53" s="1" t="s">
        <v>1555</v>
      </c>
      <c r="F53" s="1" t="s">
        <v>1556</v>
      </c>
    </row>
    <row r="54" spans="1:6" x14ac:dyDescent="0.25">
      <c r="A54" s="1" t="s">
        <v>1203</v>
      </c>
      <c r="B54" s="1" t="s">
        <v>35</v>
      </c>
      <c r="C54" s="1">
        <v>-1.50664</v>
      </c>
      <c r="D54" s="1">
        <v>27.795642000000001</v>
      </c>
      <c r="E54" s="1" t="s">
        <v>1553</v>
      </c>
      <c r="F54" s="1" t="s">
        <v>1558</v>
      </c>
    </row>
    <row r="55" spans="1:6" x14ac:dyDescent="0.25">
      <c r="A55" s="1" t="s">
        <v>1242</v>
      </c>
      <c r="B55" s="1" t="s">
        <v>22</v>
      </c>
      <c r="C55" s="1">
        <v>-9.4229749999999992</v>
      </c>
      <c r="D55" s="1">
        <v>29.375005999999999</v>
      </c>
      <c r="E55" s="1" t="s">
        <v>1557</v>
      </c>
      <c r="F55" s="1" t="s">
        <v>1554</v>
      </c>
    </row>
    <row r="56" spans="1:6" x14ac:dyDescent="0.25">
      <c r="A56" s="1" t="s">
        <v>926</v>
      </c>
      <c r="B56" s="1" t="s">
        <v>60</v>
      </c>
      <c r="C56" s="1">
        <v>2.975352</v>
      </c>
      <c r="D56" s="1">
        <v>22.535886000000001</v>
      </c>
      <c r="E56" s="1" t="s">
        <v>1555</v>
      </c>
      <c r="F56" s="1" t="s">
        <v>1556</v>
      </c>
    </row>
    <row r="57" spans="1:6" x14ac:dyDescent="0.25">
      <c r="A57" s="1" t="s">
        <v>1365</v>
      </c>
      <c r="B57" s="1" t="s">
        <v>76</v>
      </c>
      <c r="C57" s="1">
        <v>2.5458379999999998</v>
      </c>
      <c r="D57" s="1">
        <v>13.308655</v>
      </c>
      <c r="E57" s="1" t="s">
        <v>1553</v>
      </c>
      <c r="F57" s="1" t="s">
        <v>1558</v>
      </c>
    </row>
    <row r="58" spans="1:6" x14ac:dyDescent="0.25">
      <c r="A58" s="1" t="s">
        <v>1281</v>
      </c>
      <c r="B58" s="1" t="s">
        <v>38</v>
      </c>
      <c r="C58" s="1">
        <v>-9.0798120000000004</v>
      </c>
      <c r="D58" s="1">
        <v>14.945484</v>
      </c>
      <c r="E58" s="1" t="s">
        <v>1553</v>
      </c>
      <c r="F58" s="1" t="s">
        <v>1554</v>
      </c>
    </row>
    <row r="59" spans="1:6" x14ac:dyDescent="0.25">
      <c r="A59" s="1" t="s">
        <v>1255</v>
      </c>
      <c r="B59" s="1" t="s">
        <v>134</v>
      </c>
      <c r="C59" s="1">
        <v>-10.967288</v>
      </c>
      <c r="D59" s="1">
        <v>17.617781000000001</v>
      </c>
      <c r="E59" s="1" t="s">
        <v>1555</v>
      </c>
      <c r="F59" s="1" t="s">
        <v>1554</v>
      </c>
    </row>
    <row r="60" spans="1:6" x14ac:dyDescent="0.25">
      <c r="A60" s="1" t="s">
        <v>907</v>
      </c>
      <c r="B60" s="1" t="s">
        <v>42</v>
      </c>
      <c r="C60" s="1">
        <v>-1.607639</v>
      </c>
      <c r="D60" s="1">
        <v>17.003636</v>
      </c>
      <c r="E60" s="1" t="s">
        <v>1555</v>
      </c>
      <c r="F60" s="1" t="s">
        <v>1554</v>
      </c>
    </row>
    <row r="61" spans="1:6" x14ac:dyDescent="0.25">
      <c r="A61" s="1" t="s">
        <v>1446</v>
      </c>
      <c r="B61" s="1" t="s">
        <v>60</v>
      </c>
      <c r="C61" s="1">
        <v>-7.1587569999999996</v>
      </c>
      <c r="D61" s="1">
        <v>18.975141000000001</v>
      </c>
      <c r="E61" s="1" t="s">
        <v>1553</v>
      </c>
      <c r="F61" s="1" t="s">
        <v>1554</v>
      </c>
    </row>
    <row r="62" spans="1:6" x14ac:dyDescent="0.25">
      <c r="A62" s="1" t="s">
        <v>1112</v>
      </c>
      <c r="B62" s="1" t="s">
        <v>65</v>
      </c>
      <c r="C62" s="1">
        <v>-9.9875139999999991</v>
      </c>
      <c r="D62" s="1">
        <v>12.013676999999999</v>
      </c>
      <c r="E62" s="1" t="s">
        <v>1557</v>
      </c>
      <c r="F62" s="1" t="s">
        <v>1558</v>
      </c>
    </row>
    <row r="63" spans="1:6" x14ac:dyDescent="0.25">
      <c r="A63" s="1" t="s">
        <v>1373</v>
      </c>
      <c r="B63" s="1" t="s">
        <v>134</v>
      </c>
      <c r="C63" s="1">
        <v>-8.0301989999999996</v>
      </c>
      <c r="D63" s="1">
        <v>24.122495000000001</v>
      </c>
      <c r="E63" s="1" t="s">
        <v>1553</v>
      </c>
      <c r="F63" s="1" t="s">
        <v>1558</v>
      </c>
    </row>
    <row r="64" spans="1:6" x14ac:dyDescent="0.25">
      <c r="A64" s="1" t="s">
        <v>1210</v>
      </c>
      <c r="B64" s="1" t="s">
        <v>128</v>
      </c>
      <c r="C64" s="1">
        <v>-10.846306999999999</v>
      </c>
      <c r="D64" s="1">
        <v>19.201827999999999</v>
      </c>
      <c r="E64" s="1" t="s">
        <v>1555</v>
      </c>
      <c r="F64" s="1" t="s">
        <v>1554</v>
      </c>
    </row>
    <row r="65" spans="1:6" x14ac:dyDescent="0.25">
      <c r="A65" s="1" t="s">
        <v>1577</v>
      </c>
      <c r="B65" s="1" t="s">
        <v>38</v>
      </c>
      <c r="C65" s="1">
        <v>1.204588</v>
      </c>
      <c r="D65" s="1">
        <v>15.525152</v>
      </c>
      <c r="E65" s="1" t="s">
        <v>1553</v>
      </c>
      <c r="F65" s="1" t="s">
        <v>1556</v>
      </c>
    </row>
    <row r="66" spans="1:6" x14ac:dyDescent="0.25">
      <c r="A66" s="1" t="s">
        <v>1371</v>
      </c>
      <c r="B66" s="1" t="s">
        <v>58</v>
      </c>
      <c r="C66" s="1">
        <v>-12.839263000000001</v>
      </c>
      <c r="D66" s="1">
        <v>12.355677</v>
      </c>
      <c r="E66" s="1" t="s">
        <v>1557</v>
      </c>
      <c r="F66" s="1" t="s">
        <v>1556</v>
      </c>
    </row>
    <row r="67" spans="1:6" x14ac:dyDescent="0.25">
      <c r="A67" s="1" t="s">
        <v>824</v>
      </c>
      <c r="B67" s="1" t="s">
        <v>24</v>
      </c>
      <c r="C67" s="1">
        <v>-12.244119</v>
      </c>
      <c r="D67" s="1">
        <v>28.279755999999999</v>
      </c>
      <c r="E67" s="1" t="s">
        <v>1553</v>
      </c>
      <c r="F67" s="1" t="s">
        <v>1558</v>
      </c>
    </row>
    <row r="68" spans="1:6" x14ac:dyDescent="0.25">
      <c r="A68" s="1" t="s">
        <v>1578</v>
      </c>
      <c r="B68" s="1" t="s">
        <v>27</v>
      </c>
      <c r="C68" s="1">
        <v>1.102554</v>
      </c>
      <c r="D68" s="1">
        <v>26.744315</v>
      </c>
      <c r="E68" s="1" t="s">
        <v>1557</v>
      </c>
      <c r="F68" s="1" t="s">
        <v>1554</v>
      </c>
    </row>
    <row r="69" spans="1:6" x14ac:dyDescent="0.25">
      <c r="A69" s="1" t="s">
        <v>1157</v>
      </c>
      <c r="B69" s="1" t="s">
        <v>31</v>
      </c>
      <c r="C69" s="1">
        <v>-4.4451280000000004</v>
      </c>
      <c r="D69" s="1">
        <v>16.536944999999999</v>
      </c>
      <c r="E69" s="1" t="s">
        <v>1555</v>
      </c>
      <c r="F69" s="1" t="s">
        <v>1554</v>
      </c>
    </row>
    <row r="70" spans="1:6" x14ac:dyDescent="0.25">
      <c r="A70" s="1" t="s">
        <v>1153</v>
      </c>
      <c r="B70" s="1" t="s">
        <v>65</v>
      </c>
      <c r="C70" s="1">
        <v>-2.2681789999999999</v>
      </c>
      <c r="D70" s="1">
        <v>25.699068</v>
      </c>
      <c r="E70" s="1" t="s">
        <v>1557</v>
      </c>
      <c r="F70" s="1" t="s">
        <v>1558</v>
      </c>
    </row>
    <row r="71" spans="1:6" x14ac:dyDescent="0.25">
      <c r="A71" s="1" t="s">
        <v>1097</v>
      </c>
      <c r="B71" s="1" t="s">
        <v>128</v>
      </c>
      <c r="C71" s="1">
        <v>-6.3148239999999998</v>
      </c>
      <c r="D71" s="1">
        <v>24.507498999999999</v>
      </c>
      <c r="E71" s="1" t="s">
        <v>1557</v>
      </c>
      <c r="F71" s="1" t="s">
        <v>1558</v>
      </c>
    </row>
    <row r="72" spans="1:6" x14ac:dyDescent="0.25">
      <c r="A72" s="1" t="s">
        <v>952</v>
      </c>
      <c r="B72" s="1" t="s">
        <v>62</v>
      </c>
      <c r="C72" s="1">
        <v>-11.389362</v>
      </c>
      <c r="D72" s="1">
        <v>22.240174</v>
      </c>
      <c r="E72" s="1" t="s">
        <v>1553</v>
      </c>
      <c r="F72" s="1" t="s">
        <v>1558</v>
      </c>
    </row>
    <row r="73" spans="1:6" x14ac:dyDescent="0.25">
      <c r="A73" s="1" t="s">
        <v>1001</v>
      </c>
      <c r="B73" s="1" t="s">
        <v>49</v>
      </c>
      <c r="C73" s="1">
        <v>-10.161428000000001</v>
      </c>
      <c r="D73" s="1">
        <v>19.362325999999999</v>
      </c>
      <c r="E73" s="1" t="s">
        <v>1557</v>
      </c>
      <c r="F73" s="1" t="s">
        <v>1564</v>
      </c>
    </row>
    <row r="74" spans="1:6" x14ac:dyDescent="0.25">
      <c r="A74" s="1" t="s">
        <v>1397</v>
      </c>
      <c r="B74" s="1" t="s">
        <v>134</v>
      </c>
      <c r="C74" s="1">
        <v>-11.354772000000001</v>
      </c>
      <c r="D74" s="1">
        <v>21.957325999999998</v>
      </c>
      <c r="E74" s="1" t="s">
        <v>1557</v>
      </c>
      <c r="F74" s="1" t="s">
        <v>1564</v>
      </c>
    </row>
    <row r="75" spans="1:6" x14ac:dyDescent="0.25">
      <c r="A75" s="1" t="s">
        <v>1055</v>
      </c>
      <c r="B75" s="1" t="s">
        <v>35</v>
      </c>
      <c r="C75" s="1">
        <v>-1.864393</v>
      </c>
      <c r="D75" s="1">
        <v>21.453434000000001</v>
      </c>
      <c r="E75" s="1" t="s">
        <v>1553</v>
      </c>
      <c r="F75" s="1" t="s">
        <v>1554</v>
      </c>
    </row>
    <row r="76" spans="1:6" x14ac:dyDescent="0.25">
      <c r="A76" s="1" t="s">
        <v>1579</v>
      </c>
      <c r="B76" s="1" t="s">
        <v>55</v>
      </c>
      <c r="C76" s="1">
        <v>3.7552780000000001</v>
      </c>
      <c r="D76" s="1">
        <v>22.477888</v>
      </c>
      <c r="E76" s="1" t="s">
        <v>1557</v>
      </c>
      <c r="F76" s="1" t="s">
        <v>1564</v>
      </c>
    </row>
    <row r="77" spans="1:6" x14ac:dyDescent="0.25">
      <c r="A77" s="1" t="s">
        <v>1260</v>
      </c>
      <c r="B77" s="1" t="s">
        <v>128</v>
      </c>
      <c r="C77" s="1">
        <v>4.9455159999999996</v>
      </c>
      <c r="D77" s="1">
        <v>23.647746000000001</v>
      </c>
      <c r="E77" s="1" t="s">
        <v>1553</v>
      </c>
      <c r="F77" s="1" t="s">
        <v>1556</v>
      </c>
    </row>
    <row r="78" spans="1:6" x14ac:dyDescent="0.25">
      <c r="A78" s="1" t="s">
        <v>932</v>
      </c>
      <c r="B78" s="1" t="s">
        <v>134</v>
      </c>
      <c r="C78" s="1">
        <v>-1.7476179999999999</v>
      </c>
      <c r="D78" s="1">
        <v>18.129401000000001</v>
      </c>
      <c r="E78" s="1" t="s">
        <v>1555</v>
      </c>
      <c r="F78" s="1" t="s">
        <v>1554</v>
      </c>
    </row>
    <row r="79" spans="1:6" x14ac:dyDescent="0.25">
      <c r="A79" s="1" t="s">
        <v>1409</v>
      </c>
      <c r="B79" s="1" t="s">
        <v>124</v>
      </c>
      <c r="C79" s="1">
        <v>-11.924048000000001</v>
      </c>
      <c r="D79" s="1">
        <v>24.177174999999998</v>
      </c>
      <c r="E79" s="1" t="s">
        <v>1557</v>
      </c>
      <c r="F79" s="1" t="s">
        <v>1564</v>
      </c>
    </row>
    <row r="80" spans="1:6" x14ac:dyDescent="0.25">
      <c r="A80" s="1" t="s">
        <v>1192</v>
      </c>
      <c r="B80" s="1" t="s">
        <v>55</v>
      </c>
      <c r="C80" s="1">
        <v>-1.3976519999999999</v>
      </c>
      <c r="D80" s="1">
        <v>14.098819000000001</v>
      </c>
      <c r="E80" s="1" t="s">
        <v>1557</v>
      </c>
      <c r="F80" s="1" t="s">
        <v>1554</v>
      </c>
    </row>
    <row r="81" spans="1:6" x14ac:dyDescent="0.25">
      <c r="A81" s="1" t="s">
        <v>1580</v>
      </c>
      <c r="B81" s="1" t="s">
        <v>16</v>
      </c>
      <c r="C81" s="1">
        <v>-0.37609300000000001</v>
      </c>
      <c r="D81" s="1">
        <v>21.940809999999999</v>
      </c>
      <c r="E81" s="1" t="s">
        <v>1553</v>
      </c>
      <c r="F81" s="1" t="s">
        <v>1556</v>
      </c>
    </row>
    <row r="82" spans="1:6" x14ac:dyDescent="0.25">
      <c r="A82" s="1" t="s">
        <v>1451</v>
      </c>
      <c r="B82" s="1" t="s">
        <v>60</v>
      </c>
      <c r="C82" s="1">
        <v>1.2463919999999999</v>
      </c>
      <c r="D82" s="1">
        <v>13.266916999999999</v>
      </c>
      <c r="E82" s="1" t="s">
        <v>1553</v>
      </c>
      <c r="F82" s="1" t="s">
        <v>1556</v>
      </c>
    </row>
    <row r="83" spans="1:6" x14ac:dyDescent="0.25">
      <c r="A83" s="1" t="s">
        <v>973</v>
      </c>
      <c r="B83" s="1" t="s">
        <v>31</v>
      </c>
      <c r="C83" s="1">
        <v>-10.735106</v>
      </c>
      <c r="D83" s="1">
        <v>27.868673999999999</v>
      </c>
      <c r="E83" s="1" t="s">
        <v>1557</v>
      </c>
      <c r="F83" s="1" t="s">
        <v>1554</v>
      </c>
    </row>
    <row r="84" spans="1:6" x14ac:dyDescent="0.25">
      <c r="A84" s="1" t="s">
        <v>1462</v>
      </c>
      <c r="B84" s="1" t="s">
        <v>124</v>
      </c>
      <c r="C84" s="1">
        <v>-8.8118569999999998</v>
      </c>
      <c r="D84" s="1">
        <v>14.465711000000001</v>
      </c>
      <c r="E84" s="1" t="s">
        <v>1553</v>
      </c>
      <c r="F84" s="1" t="s">
        <v>1564</v>
      </c>
    </row>
    <row r="85" spans="1:6" x14ac:dyDescent="0.25">
      <c r="A85" s="1" t="s">
        <v>1581</v>
      </c>
      <c r="B85" s="1" t="s">
        <v>16</v>
      </c>
      <c r="C85" s="1">
        <v>4.6701629999999996</v>
      </c>
      <c r="D85" s="1">
        <v>28.596363</v>
      </c>
      <c r="E85" s="1" t="s">
        <v>1553</v>
      </c>
      <c r="F85" s="1" t="s">
        <v>1554</v>
      </c>
    </row>
    <row r="86" spans="1:6" x14ac:dyDescent="0.25">
      <c r="A86" s="1" t="s">
        <v>1582</v>
      </c>
      <c r="B86" s="1" t="s">
        <v>134</v>
      </c>
      <c r="C86" s="1">
        <v>1.194113</v>
      </c>
      <c r="D86" s="1">
        <v>15.839502</v>
      </c>
      <c r="E86" s="1" t="s">
        <v>1557</v>
      </c>
      <c r="F86" s="1" t="s">
        <v>1556</v>
      </c>
    </row>
    <row r="87" spans="1:6" x14ac:dyDescent="0.25">
      <c r="A87" s="1" t="s">
        <v>1329</v>
      </c>
      <c r="B87" s="1" t="s">
        <v>49</v>
      </c>
      <c r="C87" s="1">
        <v>0.62055499999999997</v>
      </c>
      <c r="D87" s="1">
        <v>21.222035000000002</v>
      </c>
      <c r="E87" s="1" t="s">
        <v>1553</v>
      </c>
      <c r="F87" s="1" t="s">
        <v>1564</v>
      </c>
    </row>
    <row r="88" spans="1:6" x14ac:dyDescent="0.25">
      <c r="A88" s="1" t="s">
        <v>961</v>
      </c>
      <c r="B88" s="1" t="s">
        <v>71</v>
      </c>
      <c r="C88" s="1">
        <v>1.499457</v>
      </c>
      <c r="D88" s="1">
        <v>13.876317999999999</v>
      </c>
      <c r="E88" s="1" t="s">
        <v>1553</v>
      </c>
      <c r="F88" s="1" t="s">
        <v>1564</v>
      </c>
    </row>
    <row r="89" spans="1:6" x14ac:dyDescent="0.25">
      <c r="A89" s="1" t="s">
        <v>1052</v>
      </c>
      <c r="B89" s="1" t="s">
        <v>11</v>
      </c>
      <c r="C89" s="1">
        <v>-5.1030600000000002</v>
      </c>
      <c r="D89" s="1">
        <v>22.849231</v>
      </c>
      <c r="E89" s="1" t="s">
        <v>1553</v>
      </c>
      <c r="F89" s="1" t="s">
        <v>1558</v>
      </c>
    </row>
    <row r="90" spans="1:6" x14ac:dyDescent="0.25">
      <c r="A90" s="1" t="s">
        <v>1077</v>
      </c>
      <c r="B90" s="1" t="s">
        <v>31</v>
      </c>
      <c r="C90" s="1">
        <v>-9.5266249999999992</v>
      </c>
      <c r="D90" s="1">
        <v>27.889690999999999</v>
      </c>
      <c r="E90" s="1" t="s">
        <v>1555</v>
      </c>
      <c r="F90" s="1" t="s">
        <v>1554</v>
      </c>
    </row>
    <row r="91" spans="1:6" x14ac:dyDescent="0.25">
      <c r="A91" s="1" t="s">
        <v>1583</v>
      </c>
      <c r="B91" s="1" t="s">
        <v>24</v>
      </c>
      <c r="C91" s="1">
        <v>-0.59350000000000003</v>
      </c>
      <c r="D91" s="1">
        <v>24.500503999999999</v>
      </c>
      <c r="E91" s="1" t="s">
        <v>1553</v>
      </c>
      <c r="F91" s="1" t="s">
        <v>1556</v>
      </c>
    </row>
    <row r="92" spans="1:6" x14ac:dyDescent="0.25">
      <c r="A92" s="1" t="s">
        <v>940</v>
      </c>
      <c r="B92" s="1" t="s">
        <v>128</v>
      </c>
      <c r="C92" s="1">
        <v>-6.5529849999999996</v>
      </c>
      <c r="D92" s="1">
        <v>21.990606</v>
      </c>
      <c r="E92" s="1" t="s">
        <v>1557</v>
      </c>
      <c r="F92" s="1" t="s">
        <v>1556</v>
      </c>
    </row>
    <row r="93" spans="1:6" x14ac:dyDescent="0.25">
      <c r="A93" s="1" t="s">
        <v>1467</v>
      </c>
      <c r="B93" s="1" t="s">
        <v>11</v>
      </c>
      <c r="C93" s="1">
        <v>-10.574821</v>
      </c>
      <c r="D93" s="1">
        <v>25.324966</v>
      </c>
      <c r="E93" s="1" t="s">
        <v>1553</v>
      </c>
      <c r="F93" s="1" t="s">
        <v>1554</v>
      </c>
    </row>
    <row r="94" spans="1:6" x14ac:dyDescent="0.25">
      <c r="A94" s="1" t="s">
        <v>1514</v>
      </c>
      <c r="B94" s="1" t="s">
        <v>33</v>
      </c>
      <c r="C94" s="1">
        <v>3.175935</v>
      </c>
      <c r="D94" s="1">
        <v>16.862832000000001</v>
      </c>
      <c r="E94" s="1" t="s">
        <v>1553</v>
      </c>
      <c r="F94" s="1" t="s">
        <v>1554</v>
      </c>
    </row>
    <row r="95" spans="1:6" x14ac:dyDescent="0.25">
      <c r="A95" s="1" t="s">
        <v>1164</v>
      </c>
      <c r="B95" s="1" t="s">
        <v>76</v>
      </c>
      <c r="C95" s="1">
        <v>-4.2645619999999997</v>
      </c>
      <c r="D95" s="1">
        <v>18.960726000000001</v>
      </c>
      <c r="E95" s="1" t="s">
        <v>1555</v>
      </c>
      <c r="F95" s="1" t="s">
        <v>1556</v>
      </c>
    </row>
    <row r="96" spans="1:6" x14ac:dyDescent="0.25">
      <c r="A96" s="1" t="s">
        <v>1278</v>
      </c>
      <c r="B96" s="1" t="s">
        <v>27</v>
      </c>
      <c r="C96" s="1">
        <v>-5.125</v>
      </c>
      <c r="D96" s="1">
        <v>23.513119</v>
      </c>
      <c r="E96" s="1" t="s">
        <v>1553</v>
      </c>
      <c r="F96" s="1" t="s">
        <v>1556</v>
      </c>
    </row>
    <row r="97" spans="1:6" x14ac:dyDescent="0.25">
      <c r="A97" s="1" t="s">
        <v>1427</v>
      </c>
      <c r="B97" s="1" t="s">
        <v>14</v>
      </c>
      <c r="C97" s="1">
        <v>-7.6951369999999999</v>
      </c>
      <c r="D97" s="1">
        <v>13.346605</v>
      </c>
      <c r="E97" s="1" t="s">
        <v>1555</v>
      </c>
      <c r="F97" s="1" t="s">
        <v>1554</v>
      </c>
    </row>
    <row r="98" spans="1:6" x14ac:dyDescent="0.25">
      <c r="A98" s="1" t="s">
        <v>1584</v>
      </c>
      <c r="B98" s="1" t="s">
        <v>16</v>
      </c>
      <c r="C98" s="1">
        <v>-0.45332</v>
      </c>
      <c r="D98" s="1">
        <v>29.674009999999999</v>
      </c>
      <c r="E98" s="1" t="s">
        <v>1553</v>
      </c>
      <c r="F98" s="1" t="s">
        <v>1554</v>
      </c>
    </row>
    <row r="99" spans="1:6" x14ac:dyDescent="0.25">
      <c r="A99" s="1" t="s">
        <v>1246</v>
      </c>
      <c r="B99" s="1" t="s">
        <v>60</v>
      </c>
      <c r="C99" s="1">
        <v>-9.5840350000000001</v>
      </c>
      <c r="D99" s="1">
        <v>15.966024000000001</v>
      </c>
      <c r="E99" s="1" t="s">
        <v>1553</v>
      </c>
      <c r="F99" s="1" t="s">
        <v>1564</v>
      </c>
    </row>
    <row r="100" spans="1:6" x14ac:dyDescent="0.25">
      <c r="A100" s="1" t="s">
        <v>1519</v>
      </c>
      <c r="B100" s="1" t="s">
        <v>16</v>
      </c>
      <c r="C100" s="1">
        <v>-9.6407190000000007</v>
      </c>
      <c r="D100" s="1">
        <v>21.336704999999998</v>
      </c>
      <c r="E100" s="1" t="s">
        <v>1555</v>
      </c>
      <c r="F100" s="1" t="s">
        <v>1558</v>
      </c>
    </row>
    <row r="101" spans="1:6" x14ac:dyDescent="0.25">
      <c r="A101" s="1" t="s">
        <v>894</v>
      </c>
      <c r="B101" s="1" t="s">
        <v>58</v>
      </c>
      <c r="C101" s="1">
        <v>-6.7420359999999997</v>
      </c>
      <c r="D101" s="1">
        <v>28.905578999999999</v>
      </c>
      <c r="E101" s="1" t="s">
        <v>1557</v>
      </c>
      <c r="F101" s="1" t="s">
        <v>1556</v>
      </c>
    </row>
    <row r="102" spans="1:6" x14ac:dyDescent="0.25">
      <c r="A102" s="1" t="s">
        <v>1009</v>
      </c>
      <c r="B102" s="1" t="s">
        <v>22</v>
      </c>
      <c r="C102" s="1">
        <v>0.16841400000000001</v>
      </c>
      <c r="D102" s="1">
        <v>30.029876999999999</v>
      </c>
      <c r="E102" s="1" t="s">
        <v>1553</v>
      </c>
      <c r="F102" s="1" t="s">
        <v>1556</v>
      </c>
    </row>
    <row r="103" spans="1:6" x14ac:dyDescent="0.25">
      <c r="A103" s="1" t="s">
        <v>1585</v>
      </c>
      <c r="B103" s="1" t="s">
        <v>24</v>
      </c>
      <c r="C103" s="1">
        <v>-5.9281110000000004</v>
      </c>
      <c r="D103" s="1">
        <v>29.607863999999999</v>
      </c>
      <c r="E103" s="1" t="s">
        <v>1555</v>
      </c>
      <c r="F103" s="1" t="s">
        <v>1556</v>
      </c>
    </row>
    <row r="104" spans="1:6" x14ac:dyDescent="0.25">
      <c r="A104" s="1" t="s">
        <v>1039</v>
      </c>
      <c r="B104" s="1" t="s">
        <v>27</v>
      </c>
      <c r="C104" s="1">
        <v>-4.9789079999999997</v>
      </c>
      <c r="D104" s="1">
        <v>28.506295000000001</v>
      </c>
      <c r="E104" s="1" t="s">
        <v>1555</v>
      </c>
      <c r="F104" s="1" t="s">
        <v>1556</v>
      </c>
    </row>
    <row r="105" spans="1:6" x14ac:dyDescent="0.25">
      <c r="A105" s="1" t="s">
        <v>879</v>
      </c>
      <c r="B105" s="1" t="s">
        <v>24</v>
      </c>
      <c r="C105" s="1">
        <v>-2.2876210000000001</v>
      </c>
      <c r="D105" s="1">
        <v>27.582545</v>
      </c>
      <c r="E105" s="1" t="s">
        <v>1555</v>
      </c>
      <c r="F105" s="1" t="s">
        <v>1556</v>
      </c>
    </row>
    <row r="106" spans="1:6" x14ac:dyDescent="0.25">
      <c r="A106" s="1" t="s">
        <v>1453</v>
      </c>
      <c r="B106" s="1" t="s">
        <v>35</v>
      </c>
      <c r="C106" s="1">
        <v>-3.9148719999999999</v>
      </c>
      <c r="D106" s="1">
        <v>12.260933</v>
      </c>
      <c r="E106" s="1" t="s">
        <v>1555</v>
      </c>
      <c r="F106" s="1" t="s">
        <v>1554</v>
      </c>
    </row>
    <row r="107" spans="1:6" x14ac:dyDescent="0.25">
      <c r="A107" s="1" t="s">
        <v>1109</v>
      </c>
      <c r="B107" s="1" t="s">
        <v>35</v>
      </c>
      <c r="C107" s="1">
        <v>-9.002459</v>
      </c>
      <c r="D107" s="1">
        <v>25.182109000000001</v>
      </c>
      <c r="E107" s="1" t="s">
        <v>1553</v>
      </c>
      <c r="F107" s="1" t="s">
        <v>1556</v>
      </c>
    </row>
    <row r="108" spans="1:6" x14ac:dyDescent="0.25">
      <c r="A108" s="1" t="s">
        <v>1217</v>
      </c>
      <c r="B108" s="1" t="s">
        <v>86</v>
      </c>
      <c r="C108" s="1">
        <v>-7.7839049999999999</v>
      </c>
      <c r="D108" s="1">
        <v>14.114281999999999</v>
      </c>
      <c r="E108" s="1" t="s">
        <v>1557</v>
      </c>
      <c r="F108" s="1" t="s">
        <v>1558</v>
      </c>
    </row>
    <row r="109" spans="1:6" x14ac:dyDescent="0.25">
      <c r="A109" s="1" t="s">
        <v>1059</v>
      </c>
      <c r="B109" s="1" t="s">
        <v>49</v>
      </c>
      <c r="C109" s="1">
        <v>-5.9021970000000001</v>
      </c>
      <c r="D109" s="1">
        <v>20.551169999999999</v>
      </c>
      <c r="E109" s="1" t="s">
        <v>1557</v>
      </c>
      <c r="F109" s="1" t="s">
        <v>1556</v>
      </c>
    </row>
    <row r="110" spans="1:6" x14ac:dyDescent="0.25">
      <c r="A110" s="1" t="s">
        <v>1586</v>
      </c>
      <c r="B110" s="1" t="s">
        <v>29</v>
      </c>
      <c r="C110" s="1">
        <v>-10.620597</v>
      </c>
      <c r="D110" s="1">
        <v>12.432214</v>
      </c>
      <c r="E110" s="1" t="s">
        <v>1555</v>
      </c>
      <c r="F110" s="1" t="s">
        <v>1556</v>
      </c>
    </row>
    <row r="111" spans="1:6" x14ac:dyDescent="0.25">
      <c r="A111" s="1" t="s">
        <v>1076</v>
      </c>
      <c r="B111" s="1" t="s">
        <v>14</v>
      </c>
      <c r="C111" s="1">
        <v>-11.514188000000001</v>
      </c>
      <c r="D111" s="1">
        <v>15.971181</v>
      </c>
      <c r="E111" s="1" t="s">
        <v>1553</v>
      </c>
      <c r="F111" s="1" t="s">
        <v>1554</v>
      </c>
    </row>
    <row r="112" spans="1:6" x14ac:dyDescent="0.25">
      <c r="A112" s="1" t="s">
        <v>1065</v>
      </c>
      <c r="B112" s="1" t="s">
        <v>33</v>
      </c>
      <c r="C112" s="1">
        <v>-2.7140689999999998</v>
      </c>
      <c r="D112" s="1">
        <v>22.222104000000002</v>
      </c>
      <c r="E112" s="1" t="s">
        <v>1555</v>
      </c>
      <c r="F112" s="1" t="s">
        <v>1564</v>
      </c>
    </row>
    <row r="113" spans="1:6" x14ac:dyDescent="0.25">
      <c r="A113" s="1" t="s">
        <v>1226</v>
      </c>
      <c r="B113" s="1" t="s">
        <v>60</v>
      </c>
      <c r="C113" s="1">
        <v>-12.112399999999999</v>
      </c>
      <c r="D113" s="1">
        <v>15.872226</v>
      </c>
      <c r="E113" s="1" t="s">
        <v>1555</v>
      </c>
      <c r="F113" s="1" t="s">
        <v>1564</v>
      </c>
    </row>
    <row r="114" spans="1:6" x14ac:dyDescent="0.25">
      <c r="A114" s="1" t="s">
        <v>1544</v>
      </c>
      <c r="B114" s="1" t="s">
        <v>16</v>
      </c>
      <c r="C114" s="1">
        <v>-5.8145569999999998</v>
      </c>
      <c r="D114" s="1">
        <v>21.942052</v>
      </c>
      <c r="E114" s="1" t="s">
        <v>1553</v>
      </c>
      <c r="F114" s="1" t="s">
        <v>1556</v>
      </c>
    </row>
    <row r="115" spans="1:6" x14ac:dyDescent="0.25">
      <c r="A115" s="1" t="s">
        <v>1341</v>
      </c>
      <c r="B115" s="1" t="s">
        <v>22</v>
      </c>
      <c r="C115" s="1">
        <v>-11.468578000000001</v>
      </c>
      <c r="D115" s="1">
        <v>16.914501999999999</v>
      </c>
      <c r="E115" s="1" t="s">
        <v>1555</v>
      </c>
      <c r="F115" s="1" t="s">
        <v>1554</v>
      </c>
    </row>
    <row r="116" spans="1:6" x14ac:dyDescent="0.25">
      <c r="A116" s="1" t="s">
        <v>1587</v>
      </c>
      <c r="B116" s="1" t="s">
        <v>86</v>
      </c>
      <c r="C116" s="1">
        <v>-3.967184</v>
      </c>
      <c r="D116" s="1">
        <v>21.177499999999998</v>
      </c>
      <c r="E116" s="1" t="s">
        <v>1557</v>
      </c>
      <c r="F116" s="1" t="s">
        <v>1556</v>
      </c>
    </row>
    <row r="117" spans="1:6" x14ac:dyDescent="0.25">
      <c r="A117" s="1" t="s">
        <v>891</v>
      </c>
      <c r="B117" s="1" t="s">
        <v>128</v>
      </c>
      <c r="C117" s="1">
        <v>0.92885200000000001</v>
      </c>
      <c r="D117" s="1">
        <v>25.868548000000001</v>
      </c>
      <c r="E117" s="1" t="s">
        <v>1553</v>
      </c>
      <c r="F117" s="1" t="s">
        <v>1564</v>
      </c>
    </row>
    <row r="118" spans="1:6" x14ac:dyDescent="0.25">
      <c r="A118" s="1" t="s">
        <v>1375</v>
      </c>
      <c r="B118" s="1" t="s">
        <v>38</v>
      </c>
      <c r="C118" s="1">
        <v>-10.653247</v>
      </c>
      <c r="D118" s="1">
        <v>14.685601</v>
      </c>
      <c r="E118" s="1" t="s">
        <v>1555</v>
      </c>
      <c r="F118" s="1" t="s">
        <v>1554</v>
      </c>
    </row>
    <row r="119" spans="1:6" x14ac:dyDescent="0.25">
      <c r="A119" s="1" t="s">
        <v>1588</v>
      </c>
      <c r="B119" s="1" t="s">
        <v>134</v>
      </c>
      <c r="C119" s="1">
        <v>-10.572326</v>
      </c>
      <c r="D119" s="1">
        <v>25.276349</v>
      </c>
      <c r="E119" s="1" t="s">
        <v>1557</v>
      </c>
      <c r="F119" s="1" t="s">
        <v>1558</v>
      </c>
    </row>
    <row r="120" spans="1:6" x14ac:dyDescent="0.25">
      <c r="A120" s="1" t="s">
        <v>1589</v>
      </c>
      <c r="B120" s="1" t="s">
        <v>60</v>
      </c>
      <c r="C120" s="1">
        <v>-2.9326690000000002</v>
      </c>
      <c r="D120" s="1">
        <v>12.349382</v>
      </c>
      <c r="E120" s="1" t="s">
        <v>1553</v>
      </c>
      <c r="F120" s="1" t="s">
        <v>1558</v>
      </c>
    </row>
    <row r="121" spans="1:6" x14ac:dyDescent="0.25">
      <c r="A121" s="1" t="s">
        <v>1474</v>
      </c>
      <c r="B121" s="1" t="s">
        <v>134</v>
      </c>
      <c r="C121" s="1">
        <v>-4.2184999999999997</v>
      </c>
      <c r="D121" s="1">
        <v>23.077093999999999</v>
      </c>
      <c r="E121" s="1" t="s">
        <v>1555</v>
      </c>
      <c r="F121" s="1" t="s">
        <v>1554</v>
      </c>
    </row>
    <row r="122" spans="1:6" x14ac:dyDescent="0.25">
      <c r="A122" s="1" t="s">
        <v>1590</v>
      </c>
      <c r="B122" s="1" t="s">
        <v>76</v>
      </c>
      <c r="C122" s="1">
        <v>-1.259528</v>
      </c>
      <c r="D122" s="1">
        <v>24.607037999999999</v>
      </c>
      <c r="E122" s="1" t="s">
        <v>1555</v>
      </c>
      <c r="F122" s="1" t="s">
        <v>1558</v>
      </c>
    </row>
    <row r="123" spans="1:6" x14ac:dyDescent="0.25">
      <c r="A123" s="1" t="s">
        <v>1100</v>
      </c>
      <c r="B123" s="1" t="s">
        <v>19</v>
      </c>
      <c r="C123" s="1">
        <v>-9.4702129999999993</v>
      </c>
      <c r="D123" s="1">
        <v>12.826158</v>
      </c>
      <c r="E123" s="1" t="s">
        <v>1557</v>
      </c>
      <c r="F123" s="1" t="s">
        <v>1554</v>
      </c>
    </row>
    <row r="124" spans="1:6" x14ac:dyDescent="0.25">
      <c r="A124" s="1" t="s">
        <v>1247</v>
      </c>
      <c r="B124" s="1" t="s">
        <v>8</v>
      </c>
      <c r="C124" s="1">
        <v>-1.9120569999999999</v>
      </c>
      <c r="D124" s="1">
        <v>15.236072999999999</v>
      </c>
      <c r="E124" s="1" t="s">
        <v>1553</v>
      </c>
      <c r="F124" s="1" t="s">
        <v>1556</v>
      </c>
    </row>
    <row r="125" spans="1:6" x14ac:dyDescent="0.25">
      <c r="A125" s="1" t="s">
        <v>1008</v>
      </c>
      <c r="B125" s="1" t="s">
        <v>8</v>
      </c>
      <c r="C125" s="1">
        <v>0.24202000000000001</v>
      </c>
      <c r="D125" s="1">
        <v>17.396256999999999</v>
      </c>
      <c r="E125" s="1" t="s">
        <v>1555</v>
      </c>
      <c r="F125" s="1" t="s">
        <v>1556</v>
      </c>
    </row>
    <row r="126" spans="1:6" x14ac:dyDescent="0.25">
      <c r="A126" s="1" t="s">
        <v>1123</v>
      </c>
      <c r="B126" s="1" t="s">
        <v>49</v>
      </c>
      <c r="C126" s="1">
        <v>-8.5675749999999997</v>
      </c>
      <c r="D126" s="1">
        <v>26.994581</v>
      </c>
      <c r="E126" s="1" t="s">
        <v>1557</v>
      </c>
      <c r="F126" s="1" t="s">
        <v>1564</v>
      </c>
    </row>
    <row r="127" spans="1:6" x14ac:dyDescent="0.25">
      <c r="A127" s="1" t="s">
        <v>1054</v>
      </c>
      <c r="B127" s="1" t="s">
        <v>134</v>
      </c>
      <c r="C127" s="1">
        <v>-11.710407999999999</v>
      </c>
      <c r="D127" s="1">
        <v>23.741330999999999</v>
      </c>
      <c r="E127" s="1" t="s">
        <v>1557</v>
      </c>
      <c r="F127" s="1" t="s">
        <v>1556</v>
      </c>
    </row>
    <row r="128" spans="1:6" x14ac:dyDescent="0.25">
      <c r="A128" s="1" t="s">
        <v>1591</v>
      </c>
      <c r="B128" s="1" t="s">
        <v>55</v>
      </c>
      <c r="C128" s="1">
        <v>0.98189400000000004</v>
      </c>
      <c r="D128" s="1">
        <v>13.008620000000001</v>
      </c>
      <c r="E128" s="1" t="s">
        <v>1555</v>
      </c>
      <c r="F128" s="1" t="s">
        <v>1556</v>
      </c>
    </row>
    <row r="129" spans="1:6" x14ac:dyDescent="0.25">
      <c r="A129" s="1" t="s">
        <v>1267</v>
      </c>
      <c r="B129" s="1" t="s">
        <v>16</v>
      </c>
      <c r="C129" s="1">
        <v>-7.1785899999999998</v>
      </c>
      <c r="D129" s="1">
        <v>24.4404</v>
      </c>
      <c r="E129" s="1" t="s">
        <v>1555</v>
      </c>
      <c r="F129" s="1" t="s">
        <v>1564</v>
      </c>
    </row>
    <row r="130" spans="1:6" x14ac:dyDescent="0.25">
      <c r="A130" s="1" t="s">
        <v>1268</v>
      </c>
      <c r="B130" s="1" t="s">
        <v>14</v>
      </c>
      <c r="C130" s="1">
        <v>3.6344850000000002</v>
      </c>
      <c r="D130" s="1">
        <v>12.158348999999999</v>
      </c>
      <c r="E130" s="1" t="s">
        <v>1553</v>
      </c>
      <c r="F130" s="1" t="s">
        <v>1554</v>
      </c>
    </row>
    <row r="131" spans="1:6" x14ac:dyDescent="0.25">
      <c r="A131" s="1" t="s">
        <v>1280</v>
      </c>
      <c r="B131" s="1" t="s">
        <v>29</v>
      </c>
      <c r="C131" s="1">
        <v>-11.387295999999999</v>
      </c>
      <c r="D131" s="1">
        <v>19.384257999999999</v>
      </c>
      <c r="E131" s="1" t="s">
        <v>1557</v>
      </c>
      <c r="F131" s="1" t="s">
        <v>1556</v>
      </c>
    </row>
    <row r="132" spans="1:6" x14ac:dyDescent="0.25">
      <c r="A132" s="1" t="s">
        <v>1275</v>
      </c>
      <c r="B132" s="1" t="s">
        <v>62</v>
      </c>
      <c r="C132" s="1">
        <v>-0.90854400000000002</v>
      </c>
      <c r="D132" s="1">
        <v>17.154896999999998</v>
      </c>
      <c r="E132" s="1" t="s">
        <v>1557</v>
      </c>
      <c r="F132" s="1" t="s">
        <v>1556</v>
      </c>
    </row>
    <row r="133" spans="1:6" x14ac:dyDescent="0.25">
      <c r="A133" s="1" t="s">
        <v>1258</v>
      </c>
      <c r="B133" s="1" t="s">
        <v>14</v>
      </c>
      <c r="C133" s="1">
        <v>-5.3762689999999997</v>
      </c>
      <c r="D133" s="1">
        <v>28.189575999999999</v>
      </c>
      <c r="E133" s="1" t="s">
        <v>1553</v>
      </c>
      <c r="F133" s="1" t="s">
        <v>1556</v>
      </c>
    </row>
    <row r="134" spans="1:6" x14ac:dyDescent="0.25">
      <c r="A134" s="1" t="s">
        <v>1592</v>
      </c>
      <c r="B134" s="1" t="s">
        <v>134</v>
      </c>
      <c r="C134" s="1">
        <v>-6.7304589999999997</v>
      </c>
      <c r="D134" s="1">
        <v>24.541906999999998</v>
      </c>
      <c r="E134" s="1" t="s">
        <v>1555</v>
      </c>
      <c r="F134" s="1" t="s">
        <v>1564</v>
      </c>
    </row>
    <row r="135" spans="1:6" x14ac:dyDescent="0.25">
      <c r="A135" s="1" t="s">
        <v>1543</v>
      </c>
      <c r="B135" s="1" t="s">
        <v>14</v>
      </c>
      <c r="C135" s="1">
        <v>-7.2267089999999996</v>
      </c>
      <c r="D135" s="1">
        <v>28.421362999999999</v>
      </c>
      <c r="E135" s="1" t="s">
        <v>1553</v>
      </c>
      <c r="F135" s="1" t="s">
        <v>1554</v>
      </c>
    </row>
    <row r="136" spans="1:6" x14ac:dyDescent="0.25">
      <c r="A136" s="1" t="s">
        <v>1135</v>
      </c>
      <c r="B136" s="1" t="s">
        <v>128</v>
      </c>
      <c r="C136" s="1">
        <v>-2.3102109999999998</v>
      </c>
      <c r="D136" s="1">
        <v>12.362488000000001</v>
      </c>
      <c r="E136" s="1" t="s">
        <v>1553</v>
      </c>
      <c r="F136" s="1" t="s">
        <v>1564</v>
      </c>
    </row>
    <row r="137" spans="1:6" x14ac:dyDescent="0.25">
      <c r="A137" s="1" t="s">
        <v>1208</v>
      </c>
      <c r="B137" s="1" t="s">
        <v>60</v>
      </c>
      <c r="C137" s="1">
        <v>-12.564277000000001</v>
      </c>
      <c r="D137" s="1">
        <v>28.480798</v>
      </c>
      <c r="E137" s="1" t="s">
        <v>1553</v>
      </c>
      <c r="F137" s="1" t="s">
        <v>1558</v>
      </c>
    </row>
    <row r="138" spans="1:6" x14ac:dyDescent="0.25">
      <c r="A138" s="1" t="s">
        <v>1507</v>
      </c>
      <c r="B138" s="1" t="s">
        <v>33</v>
      </c>
      <c r="C138" s="1">
        <v>-7.513261</v>
      </c>
      <c r="D138" s="1">
        <v>24.338812000000001</v>
      </c>
      <c r="E138" s="1" t="s">
        <v>1553</v>
      </c>
      <c r="F138" s="1" t="s">
        <v>1556</v>
      </c>
    </row>
    <row r="139" spans="1:6" x14ac:dyDescent="0.25">
      <c r="A139" s="1" t="s">
        <v>990</v>
      </c>
      <c r="B139" s="1" t="s">
        <v>71</v>
      </c>
      <c r="C139" s="1">
        <v>4.7777349999999998</v>
      </c>
      <c r="D139" s="1">
        <v>16.392204</v>
      </c>
      <c r="E139" s="1" t="s">
        <v>1553</v>
      </c>
      <c r="F139" s="1" t="s">
        <v>1558</v>
      </c>
    </row>
    <row r="140" spans="1:6" x14ac:dyDescent="0.25">
      <c r="A140" s="1" t="s">
        <v>1593</v>
      </c>
      <c r="B140" s="1" t="s">
        <v>60</v>
      </c>
      <c r="C140" s="1">
        <v>-1.9080220000000001</v>
      </c>
      <c r="D140" s="1">
        <v>19.233322999999999</v>
      </c>
      <c r="E140" s="1" t="s">
        <v>1557</v>
      </c>
      <c r="F140" s="1" t="s">
        <v>1554</v>
      </c>
    </row>
    <row r="141" spans="1:6" x14ac:dyDescent="0.25">
      <c r="A141" s="1" t="s">
        <v>880</v>
      </c>
      <c r="B141" s="1" t="s">
        <v>76</v>
      </c>
      <c r="C141" s="1">
        <v>4.8228650000000002</v>
      </c>
      <c r="D141" s="1">
        <v>30.555627000000001</v>
      </c>
      <c r="E141" s="1" t="s">
        <v>1555</v>
      </c>
      <c r="F141" s="1" t="s">
        <v>1556</v>
      </c>
    </row>
    <row r="142" spans="1:6" x14ac:dyDescent="0.25">
      <c r="A142" s="1" t="s">
        <v>1114</v>
      </c>
      <c r="B142" s="1" t="s">
        <v>58</v>
      </c>
      <c r="C142" s="1">
        <v>-5.0402180000000003</v>
      </c>
      <c r="D142" s="1">
        <v>13.892471</v>
      </c>
      <c r="E142" s="1" t="s">
        <v>1557</v>
      </c>
      <c r="F142" s="1" t="s">
        <v>1558</v>
      </c>
    </row>
    <row r="143" spans="1:6" x14ac:dyDescent="0.25">
      <c r="A143" s="1" t="s">
        <v>1024</v>
      </c>
      <c r="B143" s="1" t="s">
        <v>86</v>
      </c>
      <c r="C143" s="1">
        <v>-10.375266999999999</v>
      </c>
      <c r="D143" s="1">
        <v>17.993663000000002</v>
      </c>
      <c r="E143" s="1" t="s">
        <v>1553</v>
      </c>
      <c r="F143" s="1" t="s">
        <v>1558</v>
      </c>
    </row>
    <row r="144" spans="1:6" x14ac:dyDescent="0.25">
      <c r="A144" s="1" t="s">
        <v>1346</v>
      </c>
      <c r="B144" s="1" t="s">
        <v>42</v>
      </c>
      <c r="C144" s="1">
        <v>-12.192204</v>
      </c>
      <c r="D144" s="1">
        <v>28.468682000000001</v>
      </c>
      <c r="E144" s="1" t="s">
        <v>1557</v>
      </c>
      <c r="F144" s="1" t="s">
        <v>1558</v>
      </c>
    </row>
    <row r="145" spans="1:6" x14ac:dyDescent="0.25">
      <c r="A145" s="1" t="s">
        <v>1297</v>
      </c>
      <c r="B145" s="1" t="s">
        <v>76</v>
      </c>
      <c r="C145" s="1">
        <v>1.727095</v>
      </c>
      <c r="D145" s="1">
        <v>22.099651999999999</v>
      </c>
      <c r="E145" s="1" t="s">
        <v>1555</v>
      </c>
      <c r="F145" s="1" t="s">
        <v>1556</v>
      </c>
    </row>
    <row r="146" spans="1:6" x14ac:dyDescent="0.25">
      <c r="A146" s="1" t="s">
        <v>1594</v>
      </c>
      <c r="B146" s="1" t="s">
        <v>71</v>
      </c>
      <c r="C146" s="1">
        <v>-9.4056660000000001</v>
      </c>
      <c r="D146" s="1">
        <v>15.541930000000001</v>
      </c>
      <c r="E146" s="1" t="s">
        <v>1555</v>
      </c>
      <c r="F146" s="1" t="s">
        <v>1556</v>
      </c>
    </row>
    <row r="147" spans="1:6" x14ac:dyDescent="0.25">
      <c r="A147" s="1" t="s">
        <v>1595</v>
      </c>
      <c r="B147" s="1" t="s">
        <v>35</v>
      </c>
      <c r="C147" s="1">
        <v>-6.2712260000000004</v>
      </c>
      <c r="D147" s="1">
        <v>21.512366</v>
      </c>
      <c r="E147" s="1" t="s">
        <v>1553</v>
      </c>
      <c r="F147" s="1" t="s">
        <v>1556</v>
      </c>
    </row>
    <row r="148" spans="1:6" x14ac:dyDescent="0.25">
      <c r="A148" s="1" t="s">
        <v>1177</v>
      </c>
      <c r="B148" s="1" t="s">
        <v>55</v>
      </c>
      <c r="C148" s="1">
        <v>0.639208</v>
      </c>
      <c r="D148" s="1">
        <v>20.701739</v>
      </c>
      <c r="E148" s="1" t="s">
        <v>1555</v>
      </c>
      <c r="F148" s="1" t="s">
        <v>1556</v>
      </c>
    </row>
    <row r="149" spans="1:6" x14ac:dyDescent="0.25">
      <c r="A149" s="1" t="s">
        <v>1596</v>
      </c>
      <c r="B149" s="1" t="s">
        <v>42</v>
      </c>
      <c r="C149" s="1">
        <v>2.349755</v>
      </c>
      <c r="D149" s="1">
        <v>29.600649000000001</v>
      </c>
      <c r="E149" s="1" t="s">
        <v>1555</v>
      </c>
      <c r="F149" s="1" t="s">
        <v>1564</v>
      </c>
    </row>
    <row r="150" spans="1:6" x14ac:dyDescent="0.25">
      <c r="A150" s="1" t="s">
        <v>857</v>
      </c>
      <c r="B150" s="1" t="s">
        <v>60</v>
      </c>
      <c r="C150" s="1">
        <v>-10.977309</v>
      </c>
      <c r="D150" s="1">
        <v>12.408281000000001</v>
      </c>
      <c r="E150" s="1" t="s">
        <v>1553</v>
      </c>
      <c r="F150" s="1" t="s">
        <v>1558</v>
      </c>
    </row>
    <row r="151" spans="1:6" x14ac:dyDescent="0.25">
      <c r="A151" s="1" t="s">
        <v>916</v>
      </c>
      <c r="B151" s="1" t="s">
        <v>11</v>
      </c>
      <c r="C151" s="1">
        <v>-12.018316</v>
      </c>
      <c r="D151" s="1">
        <v>16.700451000000001</v>
      </c>
      <c r="E151" s="1" t="s">
        <v>1557</v>
      </c>
      <c r="F151" s="1" t="s">
        <v>1564</v>
      </c>
    </row>
    <row r="152" spans="1:6" x14ac:dyDescent="0.25">
      <c r="A152" s="1" t="s">
        <v>946</v>
      </c>
      <c r="B152" s="1" t="s">
        <v>55</v>
      </c>
      <c r="C152" s="1">
        <v>-1.648326</v>
      </c>
      <c r="D152" s="1">
        <v>25.528901999999999</v>
      </c>
      <c r="E152" s="1" t="s">
        <v>1555</v>
      </c>
      <c r="F152" s="1" t="s">
        <v>1556</v>
      </c>
    </row>
    <row r="153" spans="1:6" x14ac:dyDescent="0.25">
      <c r="A153" s="1" t="s">
        <v>1165</v>
      </c>
      <c r="B153" s="1" t="s">
        <v>16</v>
      </c>
      <c r="C153" s="1">
        <v>-12.112682</v>
      </c>
      <c r="D153" s="1">
        <v>19.972052000000001</v>
      </c>
      <c r="E153" s="1" t="s">
        <v>1555</v>
      </c>
      <c r="F153" s="1" t="s">
        <v>1556</v>
      </c>
    </row>
    <row r="154" spans="1:6" x14ac:dyDescent="0.25">
      <c r="A154" s="1" t="s">
        <v>1461</v>
      </c>
      <c r="B154" s="1" t="s">
        <v>11</v>
      </c>
      <c r="C154" s="1">
        <v>-7.7587710000000003</v>
      </c>
      <c r="D154" s="1">
        <v>17.880848</v>
      </c>
      <c r="E154" s="1" t="s">
        <v>1557</v>
      </c>
      <c r="F154" s="1" t="s">
        <v>1554</v>
      </c>
    </row>
    <row r="155" spans="1:6" x14ac:dyDescent="0.25">
      <c r="A155" s="1" t="s">
        <v>1319</v>
      </c>
      <c r="B155" s="1" t="s">
        <v>31</v>
      </c>
      <c r="C155" s="1">
        <v>-5.8352820000000003</v>
      </c>
      <c r="D155" s="1">
        <v>26.603978000000001</v>
      </c>
      <c r="E155" s="1" t="s">
        <v>1555</v>
      </c>
      <c r="F155" s="1" t="s">
        <v>1556</v>
      </c>
    </row>
    <row r="156" spans="1:6" x14ac:dyDescent="0.25">
      <c r="A156" s="1" t="s">
        <v>1597</v>
      </c>
      <c r="B156" s="1" t="s">
        <v>134</v>
      </c>
      <c r="C156" s="1">
        <v>-7.5180249999999997</v>
      </c>
      <c r="D156" s="1">
        <v>20.478905999999998</v>
      </c>
      <c r="E156" s="1" t="s">
        <v>1553</v>
      </c>
      <c r="F156" s="1" t="s">
        <v>1564</v>
      </c>
    </row>
    <row r="157" spans="1:6" x14ac:dyDescent="0.25">
      <c r="A157" s="1" t="s">
        <v>895</v>
      </c>
      <c r="B157" s="1" t="s">
        <v>31</v>
      </c>
      <c r="C157" s="1">
        <v>1.897178</v>
      </c>
      <c r="D157" s="1">
        <v>23.902604</v>
      </c>
      <c r="E157" s="1" t="s">
        <v>1557</v>
      </c>
      <c r="F157" s="1" t="s">
        <v>1564</v>
      </c>
    </row>
    <row r="158" spans="1:6" x14ac:dyDescent="0.25">
      <c r="A158" s="1" t="s">
        <v>1351</v>
      </c>
      <c r="B158" s="1" t="s">
        <v>38</v>
      </c>
      <c r="C158" s="1">
        <v>-4.6957509999999996</v>
      </c>
      <c r="D158" s="1">
        <v>14.233525999999999</v>
      </c>
      <c r="E158" s="1" t="s">
        <v>1555</v>
      </c>
      <c r="F158" s="1" t="s">
        <v>1564</v>
      </c>
    </row>
    <row r="159" spans="1:6" x14ac:dyDescent="0.25">
      <c r="A159" s="1" t="s">
        <v>1598</v>
      </c>
      <c r="B159" s="1" t="s">
        <v>27</v>
      </c>
      <c r="C159" s="1">
        <v>-5.3956809999999997</v>
      </c>
      <c r="D159" s="1">
        <v>14.49985</v>
      </c>
      <c r="E159" s="1" t="s">
        <v>1555</v>
      </c>
      <c r="F159" s="1" t="s">
        <v>1558</v>
      </c>
    </row>
    <row r="160" spans="1:6" x14ac:dyDescent="0.25">
      <c r="A160" s="1" t="s">
        <v>1599</v>
      </c>
      <c r="B160" s="1" t="s">
        <v>124</v>
      </c>
      <c r="C160" s="1">
        <v>-1.9635830000000001</v>
      </c>
      <c r="D160" s="1">
        <v>15.854182</v>
      </c>
      <c r="E160" s="1" t="s">
        <v>1557</v>
      </c>
      <c r="F160" s="1" t="s">
        <v>1564</v>
      </c>
    </row>
    <row r="161" spans="1:6" x14ac:dyDescent="0.25">
      <c r="A161" s="1" t="s">
        <v>1600</v>
      </c>
      <c r="B161" s="1" t="s">
        <v>29</v>
      </c>
      <c r="C161" s="1">
        <v>-12.01816</v>
      </c>
      <c r="D161" s="1">
        <v>23.828645999999999</v>
      </c>
      <c r="E161" s="1" t="s">
        <v>1557</v>
      </c>
      <c r="F161" s="1" t="s">
        <v>1556</v>
      </c>
    </row>
    <row r="162" spans="1:6" x14ac:dyDescent="0.25">
      <c r="A162" s="1" t="s">
        <v>1151</v>
      </c>
      <c r="B162" s="1" t="s">
        <v>24</v>
      </c>
      <c r="C162" s="1">
        <v>-3.6945459999999999</v>
      </c>
      <c r="D162" s="1">
        <v>16.809108999999999</v>
      </c>
      <c r="E162" s="1" t="s">
        <v>1553</v>
      </c>
      <c r="F162" s="1" t="s">
        <v>1558</v>
      </c>
    </row>
    <row r="163" spans="1:6" x14ac:dyDescent="0.25">
      <c r="A163" s="1" t="s">
        <v>1126</v>
      </c>
      <c r="B163" s="1" t="s">
        <v>35</v>
      </c>
      <c r="C163" s="1">
        <v>-10.439686999999999</v>
      </c>
      <c r="D163" s="1">
        <v>20.714210000000001</v>
      </c>
      <c r="E163" s="1" t="s">
        <v>1555</v>
      </c>
      <c r="F163" s="1" t="s">
        <v>1558</v>
      </c>
    </row>
    <row r="164" spans="1:6" x14ac:dyDescent="0.25">
      <c r="A164" s="1" t="s">
        <v>949</v>
      </c>
      <c r="B164" s="1" t="s">
        <v>76</v>
      </c>
      <c r="C164" s="1">
        <v>1.938083</v>
      </c>
      <c r="D164" s="1">
        <v>28.25281</v>
      </c>
      <c r="E164" s="1" t="s">
        <v>1555</v>
      </c>
      <c r="F164" s="1" t="s">
        <v>1564</v>
      </c>
    </row>
    <row r="165" spans="1:6" x14ac:dyDescent="0.25">
      <c r="A165" s="1" t="s">
        <v>1233</v>
      </c>
      <c r="B165" s="1" t="s">
        <v>124</v>
      </c>
      <c r="C165" s="1">
        <v>-4.869434</v>
      </c>
      <c r="D165" s="1">
        <v>22.326522000000001</v>
      </c>
      <c r="E165" s="1" t="s">
        <v>1553</v>
      </c>
      <c r="F165" s="1" t="s">
        <v>1554</v>
      </c>
    </row>
    <row r="166" spans="1:6" x14ac:dyDescent="0.25">
      <c r="A166" s="1" t="s">
        <v>1601</v>
      </c>
      <c r="B166" s="1" t="s">
        <v>55</v>
      </c>
      <c r="C166" s="1">
        <v>7.6420000000000004E-3</v>
      </c>
      <c r="D166" s="1">
        <v>12.109260000000001</v>
      </c>
      <c r="E166" s="1" t="s">
        <v>1555</v>
      </c>
      <c r="F166" s="1" t="s">
        <v>1554</v>
      </c>
    </row>
    <row r="167" spans="1:6" x14ac:dyDescent="0.25">
      <c r="A167" s="1" t="s">
        <v>1602</v>
      </c>
      <c r="B167" s="1" t="s">
        <v>8</v>
      </c>
      <c r="C167" s="1">
        <v>-10.962911</v>
      </c>
      <c r="D167" s="1">
        <v>28.771355</v>
      </c>
      <c r="E167" s="1" t="s">
        <v>1553</v>
      </c>
      <c r="F167" s="1" t="s">
        <v>1556</v>
      </c>
    </row>
    <row r="168" spans="1:6" x14ac:dyDescent="0.25">
      <c r="A168" s="1" t="s">
        <v>1090</v>
      </c>
      <c r="B168" s="1" t="s">
        <v>128</v>
      </c>
      <c r="C168" s="1">
        <v>1.017161</v>
      </c>
      <c r="D168" s="1">
        <v>16.519689</v>
      </c>
      <c r="E168" s="1" t="s">
        <v>1557</v>
      </c>
      <c r="F168" s="1" t="s">
        <v>1564</v>
      </c>
    </row>
    <row r="169" spans="1:6" x14ac:dyDescent="0.25">
      <c r="A169" s="1" t="s">
        <v>1603</v>
      </c>
      <c r="B169" s="1" t="s">
        <v>134</v>
      </c>
      <c r="C169" s="1">
        <v>3.8811640000000001</v>
      </c>
      <c r="D169" s="1">
        <v>23.188383999999999</v>
      </c>
      <c r="E169" s="1" t="s">
        <v>1553</v>
      </c>
      <c r="F169" s="1" t="s">
        <v>1556</v>
      </c>
    </row>
    <row r="170" spans="1:6" x14ac:dyDescent="0.25">
      <c r="A170" s="1" t="s">
        <v>1456</v>
      </c>
      <c r="B170" s="1" t="s">
        <v>60</v>
      </c>
      <c r="C170" s="1">
        <v>-0.469945</v>
      </c>
      <c r="D170" s="1">
        <v>21.038527999999999</v>
      </c>
      <c r="E170" s="1" t="s">
        <v>1557</v>
      </c>
      <c r="F170" s="1" t="s">
        <v>1554</v>
      </c>
    </row>
    <row r="171" spans="1:6" x14ac:dyDescent="0.25">
      <c r="A171" s="1" t="s">
        <v>817</v>
      </c>
      <c r="B171" s="1" t="s">
        <v>29</v>
      </c>
      <c r="C171" s="1">
        <v>-10.56448</v>
      </c>
      <c r="D171" s="1">
        <v>19.792876</v>
      </c>
      <c r="E171" s="1" t="s">
        <v>1553</v>
      </c>
      <c r="F171" s="1" t="s">
        <v>1554</v>
      </c>
    </row>
    <row r="172" spans="1:6" x14ac:dyDescent="0.25">
      <c r="A172" s="1" t="s">
        <v>1488</v>
      </c>
      <c r="B172" s="1" t="s">
        <v>16</v>
      </c>
      <c r="C172" s="1">
        <v>-5.5559329999999996</v>
      </c>
      <c r="D172" s="1">
        <v>13.508692999999999</v>
      </c>
      <c r="E172" s="1" t="s">
        <v>1557</v>
      </c>
      <c r="F172" s="1" t="s">
        <v>1564</v>
      </c>
    </row>
    <row r="173" spans="1:6" x14ac:dyDescent="0.25">
      <c r="A173" s="1" t="s">
        <v>1604</v>
      </c>
      <c r="B173" s="1" t="s">
        <v>128</v>
      </c>
      <c r="C173" s="1">
        <v>-4.884055</v>
      </c>
      <c r="D173" s="1">
        <v>23.40194</v>
      </c>
      <c r="E173" s="1" t="s">
        <v>1557</v>
      </c>
      <c r="F173" s="1" t="s">
        <v>1554</v>
      </c>
    </row>
    <row r="174" spans="1:6" x14ac:dyDescent="0.25">
      <c r="A174" s="1" t="s">
        <v>989</v>
      </c>
      <c r="B174" s="1" t="s">
        <v>16</v>
      </c>
      <c r="C174" s="1">
        <v>-9.7801860000000005</v>
      </c>
      <c r="D174" s="1">
        <v>16.649550000000001</v>
      </c>
      <c r="E174" s="1" t="s">
        <v>1553</v>
      </c>
      <c r="F174" s="1" t="s">
        <v>1554</v>
      </c>
    </row>
    <row r="175" spans="1:6" x14ac:dyDescent="0.25">
      <c r="A175" s="1" t="s">
        <v>1140</v>
      </c>
      <c r="B175" s="1" t="s">
        <v>76</v>
      </c>
      <c r="C175" s="1">
        <v>-2.3743210000000001</v>
      </c>
      <c r="D175" s="1">
        <v>22.399491000000001</v>
      </c>
      <c r="E175" s="1" t="s">
        <v>1553</v>
      </c>
      <c r="F175" s="1" t="s">
        <v>1554</v>
      </c>
    </row>
    <row r="176" spans="1:6" x14ac:dyDescent="0.25">
      <c r="A176" s="1" t="s">
        <v>883</v>
      </c>
      <c r="B176" s="1" t="s">
        <v>128</v>
      </c>
      <c r="C176" s="1">
        <v>-0.17258100000000001</v>
      </c>
      <c r="D176" s="1">
        <v>23.775555000000001</v>
      </c>
      <c r="E176" s="1" t="s">
        <v>1553</v>
      </c>
      <c r="F176" s="1" t="s">
        <v>1564</v>
      </c>
    </row>
    <row r="177" spans="1:6" x14ac:dyDescent="0.25">
      <c r="A177" s="1" t="s">
        <v>1003</v>
      </c>
      <c r="B177" s="1" t="s">
        <v>29</v>
      </c>
      <c r="C177" s="1">
        <v>-9.3652239999999995</v>
      </c>
      <c r="D177" s="1">
        <v>22.593423999999999</v>
      </c>
      <c r="E177" s="1" t="s">
        <v>1553</v>
      </c>
      <c r="F177" s="1" t="s">
        <v>1564</v>
      </c>
    </row>
    <row r="178" spans="1:6" x14ac:dyDescent="0.25">
      <c r="A178" s="1" t="s">
        <v>1328</v>
      </c>
      <c r="B178" s="1" t="s">
        <v>16</v>
      </c>
      <c r="C178" s="1">
        <v>-4.8157019999999999</v>
      </c>
      <c r="D178" s="1">
        <v>27.679798000000002</v>
      </c>
      <c r="E178" s="1" t="s">
        <v>1557</v>
      </c>
      <c r="F178" s="1" t="s">
        <v>1554</v>
      </c>
    </row>
    <row r="179" spans="1:6" x14ac:dyDescent="0.25">
      <c r="A179" s="1" t="s">
        <v>1380</v>
      </c>
      <c r="B179" s="1" t="s">
        <v>86</v>
      </c>
      <c r="C179" s="1">
        <v>-8.4985189999999999</v>
      </c>
      <c r="D179" s="1">
        <v>12.929456999999999</v>
      </c>
      <c r="E179" s="1" t="s">
        <v>1555</v>
      </c>
      <c r="F179" s="1" t="s">
        <v>1554</v>
      </c>
    </row>
    <row r="180" spans="1:6" x14ac:dyDescent="0.25">
      <c r="A180" s="1" t="s">
        <v>815</v>
      </c>
      <c r="B180" s="1" t="s">
        <v>29</v>
      </c>
      <c r="C180" s="1">
        <v>-0.54908599999999996</v>
      </c>
      <c r="D180" s="1">
        <v>14.816867</v>
      </c>
      <c r="E180" s="1" t="s">
        <v>1553</v>
      </c>
      <c r="F180" s="1" t="s">
        <v>1558</v>
      </c>
    </row>
    <row r="181" spans="1:6" x14ac:dyDescent="0.25">
      <c r="A181" s="1" t="s">
        <v>1173</v>
      </c>
      <c r="B181" s="1" t="s">
        <v>58</v>
      </c>
      <c r="C181" s="1">
        <v>3.3289240000000002</v>
      </c>
      <c r="D181" s="1">
        <v>24.412261000000001</v>
      </c>
      <c r="E181" s="1" t="s">
        <v>1553</v>
      </c>
      <c r="F181" s="1" t="s">
        <v>1564</v>
      </c>
    </row>
    <row r="182" spans="1:6" x14ac:dyDescent="0.25">
      <c r="A182" s="1" t="s">
        <v>1605</v>
      </c>
      <c r="B182" s="1" t="s">
        <v>71</v>
      </c>
      <c r="C182" s="1">
        <v>1.3367519999999999</v>
      </c>
      <c r="D182" s="1">
        <v>12.697699999999999</v>
      </c>
      <c r="E182" s="1" t="s">
        <v>1553</v>
      </c>
      <c r="F182" s="1" t="s">
        <v>1556</v>
      </c>
    </row>
    <row r="183" spans="1:6" x14ac:dyDescent="0.25">
      <c r="A183" s="1" t="s">
        <v>1606</v>
      </c>
      <c r="B183" s="1" t="s">
        <v>14</v>
      </c>
      <c r="C183" s="1">
        <v>-6.9254999999999997E-2</v>
      </c>
      <c r="D183" s="1">
        <v>28.222756</v>
      </c>
      <c r="E183" s="1" t="s">
        <v>1553</v>
      </c>
      <c r="F183" s="1" t="s">
        <v>1556</v>
      </c>
    </row>
    <row r="184" spans="1:6" x14ac:dyDescent="0.25">
      <c r="A184" s="1" t="s">
        <v>1043</v>
      </c>
      <c r="B184" s="1" t="s">
        <v>35</v>
      </c>
      <c r="C184" s="1">
        <v>-10.776204</v>
      </c>
      <c r="D184" s="1">
        <v>24.672934000000001</v>
      </c>
      <c r="E184" s="1" t="s">
        <v>1555</v>
      </c>
      <c r="F184" s="1" t="s">
        <v>1554</v>
      </c>
    </row>
    <row r="185" spans="1:6" x14ac:dyDescent="0.25">
      <c r="A185" s="1" t="s">
        <v>1401</v>
      </c>
      <c r="B185" s="1" t="s">
        <v>22</v>
      </c>
      <c r="C185" s="1">
        <v>-10.945031</v>
      </c>
      <c r="D185" s="1">
        <v>27.922274000000002</v>
      </c>
      <c r="E185" s="1" t="s">
        <v>1555</v>
      </c>
      <c r="F185" s="1" t="s">
        <v>1554</v>
      </c>
    </row>
    <row r="186" spans="1:6" x14ac:dyDescent="0.25">
      <c r="A186" s="1" t="s">
        <v>909</v>
      </c>
      <c r="B186" s="1" t="s">
        <v>60</v>
      </c>
      <c r="C186" s="1">
        <v>-4.9108280000000004</v>
      </c>
      <c r="D186" s="1">
        <v>17.670389</v>
      </c>
      <c r="E186" s="1" t="s">
        <v>1553</v>
      </c>
      <c r="F186" s="1" t="s">
        <v>1558</v>
      </c>
    </row>
    <row r="187" spans="1:6" x14ac:dyDescent="0.25">
      <c r="A187" s="1" t="s">
        <v>833</v>
      </c>
      <c r="B187" s="1" t="s">
        <v>71</v>
      </c>
      <c r="C187" s="1">
        <v>-6.4670189999999996</v>
      </c>
      <c r="D187" s="1">
        <v>29.487309</v>
      </c>
      <c r="E187" s="1" t="s">
        <v>1555</v>
      </c>
      <c r="F187" s="1" t="s">
        <v>1558</v>
      </c>
    </row>
    <row r="188" spans="1:6" x14ac:dyDescent="0.25">
      <c r="A188" s="1" t="s">
        <v>953</v>
      </c>
      <c r="B188" s="1" t="s">
        <v>49</v>
      </c>
      <c r="C188" s="1">
        <v>-3.571288</v>
      </c>
      <c r="D188" s="1">
        <v>12.931596000000001</v>
      </c>
      <c r="E188" s="1" t="s">
        <v>1555</v>
      </c>
      <c r="F188" s="1" t="s">
        <v>1564</v>
      </c>
    </row>
    <row r="189" spans="1:6" x14ac:dyDescent="0.25">
      <c r="A189" s="1" t="s">
        <v>1607</v>
      </c>
      <c r="B189" s="1" t="s">
        <v>124</v>
      </c>
      <c r="C189" s="1">
        <v>-6.0864269999999996</v>
      </c>
      <c r="D189" s="1">
        <v>19.922181999999999</v>
      </c>
      <c r="E189" s="1" t="s">
        <v>1553</v>
      </c>
      <c r="F189" s="1" t="s">
        <v>1556</v>
      </c>
    </row>
    <row r="190" spans="1:6" x14ac:dyDescent="0.25">
      <c r="A190" s="1" t="s">
        <v>839</v>
      </c>
      <c r="B190" s="1" t="s">
        <v>124</v>
      </c>
      <c r="C190" s="1">
        <v>1.2391989999999999</v>
      </c>
      <c r="D190" s="1">
        <v>15.386718999999999</v>
      </c>
      <c r="E190" s="1" t="s">
        <v>1553</v>
      </c>
      <c r="F190" s="1" t="s">
        <v>1558</v>
      </c>
    </row>
    <row r="191" spans="1:6" x14ac:dyDescent="0.25">
      <c r="A191" s="1" t="s">
        <v>1608</v>
      </c>
      <c r="B191" s="1" t="s">
        <v>60</v>
      </c>
      <c r="C191" s="1">
        <v>-3.7900040000000002</v>
      </c>
      <c r="D191" s="1">
        <v>24.769718999999998</v>
      </c>
      <c r="E191" s="1" t="s">
        <v>1553</v>
      </c>
      <c r="F191" s="1" t="s">
        <v>1556</v>
      </c>
    </row>
    <row r="192" spans="1:6" x14ac:dyDescent="0.25">
      <c r="A192" s="1" t="s">
        <v>1609</v>
      </c>
      <c r="B192" s="1" t="s">
        <v>55</v>
      </c>
      <c r="C192" s="1">
        <v>4.0955700000000004</v>
      </c>
      <c r="D192" s="1">
        <v>23.610704999999999</v>
      </c>
      <c r="E192" s="1" t="s">
        <v>1555</v>
      </c>
      <c r="F192" s="1" t="s">
        <v>1558</v>
      </c>
    </row>
    <row r="193" spans="1:6" x14ac:dyDescent="0.25">
      <c r="A193" s="1" t="s">
        <v>1038</v>
      </c>
      <c r="B193" s="1" t="s">
        <v>71</v>
      </c>
      <c r="C193" s="1">
        <v>-6.1837850000000003</v>
      </c>
      <c r="D193" s="1">
        <v>25.138759</v>
      </c>
      <c r="E193" s="1" t="s">
        <v>1557</v>
      </c>
      <c r="F193" s="1" t="s">
        <v>1554</v>
      </c>
    </row>
    <row r="194" spans="1:6" x14ac:dyDescent="0.25">
      <c r="A194" s="1" t="s">
        <v>1379</v>
      </c>
      <c r="B194" s="1" t="s">
        <v>58</v>
      </c>
      <c r="C194" s="1">
        <v>-6.1490739999999997</v>
      </c>
      <c r="D194" s="1">
        <v>23.304411000000002</v>
      </c>
      <c r="E194" s="1" t="s">
        <v>1553</v>
      </c>
      <c r="F194" s="1" t="s">
        <v>1558</v>
      </c>
    </row>
    <row r="195" spans="1:6" x14ac:dyDescent="0.25">
      <c r="A195" s="1" t="s">
        <v>1063</v>
      </c>
      <c r="B195" s="1" t="s">
        <v>128</v>
      </c>
      <c r="C195" s="1">
        <v>0.82868600000000003</v>
      </c>
      <c r="D195" s="1">
        <v>26.958843999999999</v>
      </c>
      <c r="E195" s="1" t="s">
        <v>1553</v>
      </c>
      <c r="F195" s="1" t="s">
        <v>1558</v>
      </c>
    </row>
    <row r="196" spans="1:6" x14ac:dyDescent="0.25">
      <c r="A196" s="1" t="s">
        <v>1610</v>
      </c>
      <c r="B196" s="1" t="s">
        <v>16</v>
      </c>
      <c r="C196" s="1">
        <v>3.42055</v>
      </c>
      <c r="D196" s="1">
        <v>15.370965999999999</v>
      </c>
      <c r="E196" s="1" t="s">
        <v>1555</v>
      </c>
      <c r="F196" s="1" t="s">
        <v>1564</v>
      </c>
    </row>
    <row r="197" spans="1:6" x14ac:dyDescent="0.25">
      <c r="A197" s="1" t="s">
        <v>1018</v>
      </c>
      <c r="B197" s="1" t="s">
        <v>60</v>
      </c>
      <c r="C197" s="1">
        <v>-2.8211520000000001</v>
      </c>
      <c r="D197" s="1">
        <v>20.651419000000001</v>
      </c>
      <c r="E197" s="1" t="s">
        <v>1553</v>
      </c>
      <c r="F197" s="1" t="s">
        <v>1554</v>
      </c>
    </row>
    <row r="198" spans="1:6" x14ac:dyDescent="0.25">
      <c r="A198" s="1" t="s">
        <v>1337</v>
      </c>
      <c r="B198" s="1" t="s">
        <v>58</v>
      </c>
      <c r="C198" s="1">
        <v>-1.1284540000000001</v>
      </c>
      <c r="D198" s="1">
        <v>23.000360000000001</v>
      </c>
      <c r="E198" s="1" t="s">
        <v>1553</v>
      </c>
      <c r="F198" s="1" t="s">
        <v>1554</v>
      </c>
    </row>
    <row r="199" spans="1:6" x14ac:dyDescent="0.25">
      <c r="A199" s="1" t="s">
        <v>1502</v>
      </c>
      <c r="B199" s="1" t="s">
        <v>128</v>
      </c>
      <c r="C199" s="1">
        <v>-10.298385</v>
      </c>
      <c r="D199" s="1">
        <v>29.698117</v>
      </c>
      <c r="E199" s="1" t="s">
        <v>1553</v>
      </c>
      <c r="F199" s="1" t="s">
        <v>1564</v>
      </c>
    </row>
    <row r="200" spans="1:6" x14ac:dyDescent="0.25">
      <c r="A200" s="1" t="s">
        <v>1611</v>
      </c>
      <c r="B200" s="1" t="s">
        <v>71</v>
      </c>
      <c r="C200" s="1">
        <v>2.6387339999999999</v>
      </c>
      <c r="D200" s="1">
        <v>13.769399</v>
      </c>
      <c r="E200" s="1" t="s">
        <v>1555</v>
      </c>
      <c r="F200" s="1" t="s">
        <v>1556</v>
      </c>
    </row>
    <row r="201" spans="1:6" x14ac:dyDescent="0.25">
      <c r="A201" s="1" t="s">
        <v>979</v>
      </c>
      <c r="B201" s="1" t="s">
        <v>134</v>
      </c>
      <c r="C201" s="1">
        <v>-9.7803979999999999</v>
      </c>
      <c r="D201" s="1">
        <v>17.686595000000001</v>
      </c>
      <c r="E201" s="1" t="s">
        <v>1555</v>
      </c>
      <c r="F201" s="1" t="s">
        <v>1554</v>
      </c>
    </row>
    <row r="202" spans="1:6" x14ac:dyDescent="0.25">
      <c r="A202" s="1" t="s">
        <v>1612</v>
      </c>
      <c r="B202" s="1" t="s">
        <v>19</v>
      </c>
      <c r="C202" s="1">
        <v>-6.8779139999999996</v>
      </c>
      <c r="D202" s="1">
        <v>12.550860999999999</v>
      </c>
      <c r="E202" s="1" t="s">
        <v>1553</v>
      </c>
      <c r="F202" s="1" t="s">
        <v>1558</v>
      </c>
    </row>
    <row r="203" spans="1:6" x14ac:dyDescent="0.25">
      <c r="A203" s="1" t="s">
        <v>1613</v>
      </c>
      <c r="B203" s="1" t="s">
        <v>38</v>
      </c>
      <c r="C203" s="1">
        <v>-4.2975050000000001</v>
      </c>
      <c r="D203" s="1">
        <v>29.162555999999999</v>
      </c>
      <c r="E203" s="1" t="s">
        <v>1553</v>
      </c>
      <c r="F203" s="1" t="s">
        <v>1554</v>
      </c>
    </row>
    <row r="204" spans="1:6" x14ac:dyDescent="0.25">
      <c r="A204" s="1" t="s">
        <v>1614</v>
      </c>
      <c r="B204" s="1" t="s">
        <v>42</v>
      </c>
      <c r="C204" s="1">
        <v>2.7298239999999998</v>
      </c>
      <c r="D204" s="1">
        <v>12.958664000000001</v>
      </c>
      <c r="E204" s="1" t="s">
        <v>1557</v>
      </c>
      <c r="F204" s="1" t="s">
        <v>1558</v>
      </c>
    </row>
    <row r="205" spans="1:6" x14ac:dyDescent="0.25">
      <c r="A205" s="1" t="s">
        <v>1615</v>
      </c>
      <c r="B205" s="1" t="s">
        <v>65</v>
      </c>
      <c r="C205" s="1">
        <v>-7.4135429999999998</v>
      </c>
      <c r="D205" s="1">
        <v>19.288392999999999</v>
      </c>
      <c r="E205" s="1" t="s">
        <v>1555</v>
      </c>
      <c r="F205" s="1" t="s">
        <v>1564</v>
      </c>
    </row>
    <row r="206" spans="1:6" x14ac:dyDescent="0.25">
      <c r="A206" s="1" t="s">
        <v>1506</v>
      </c>
      <c r="B206" s="1" t="s">
        <v>62</v>
      </c>
      <c r="C206" s="1">
        <v>-7.1079169999999996</v>
      </c>
      <c r="D206" s="1">
        <v>13.636272</v>
      </c>
      <c r="E206" s="1" t="s">
        <v>1553</v>
      </c>
      <c r="F206" s="1" t="s">
        <v>1564</v>
      </c>
    </row>
    <row r="207" spans="1:6" x14ac:dyDescent="0.25">
      <c r="A207" s="1" t="s">
        <v>823</v>
      </c>
      <c r="B207" s="1" t="s">
        <v>76</v>
      </c>
      <c r="C207" s="1">
        <v>0.850665</v>
      </c>
      <c r="D207" s="1">
        <v>19.446418000000001</v>
      </c>
      <c r="E207" s="1" t="s">
        <v>1555</v>
      </c>
      <c r="F207" s="1" t="s">
        <v>1556</v>
      </c>
    </row>
    <row r="208" spans="1:6" x14ac:dyDescent="0.25">
      <c r="A208" s="1" t="s">
        <v>1438</v>
      </c>
      <c r="B208" s="1" t="s">
        <v>128</v>
      </c>
      <c r="C208" s="1">
        <v>-11.231472</v>
      </c>
      <c r="D208" s="1">
        <v>25.388874000000001</v>
      </c>
      <c r="E208" s="1" t="s">
        <v>1555</v>
      </c>
      <c r="F208" s="1" t="s">
        <v>1556</v>
      </c>
    </row>
    <row r="209" spans="1:6" x14ac:dyDescent="0.25">
      <c r="A209" s="1" t="s">
        <v>1244</v>
      </c>
      <c r="B209" s="1" t="s">
        <v>14</v>
      </c>
      <c r="C209" s="1">
        <v>4.6809229999999999</v>
      </c>
      <c r="D209" s="1">
        <v>28.934242000000001</v>
      </c>
      <c r="E209" s="1" t="s">
        <v>1553</v>
      </c>
      <c r="F209" s="1" t="s">
        <v>1564</v>
      </c>
    </row>
    <row r="210" spans="1:6" x14ac:dyDescent="0.25">
      <c r="A210" s="1" t="s">
        <v>1616</v>
      </c>
      <c r="B210" s="1" t="s">
        <v>58</v>
      </c>
      <c r="C210" s="1">
        <v>-3.7093609999999999</v>
      </c>
      <c r="D210" s="1">
        <v>23.959942999999999</v>
      </c>
      <c r="E210" s="1" t="s">
        <v>1555</v>
      </c>
      <c r="F210" s="1" t="s">
        <v>1556</v>
      </c>
    </row>
    <row r="211" spans="1:6" x14ac:dyDescent="0.25">
      <c r="A211" s="1" t="s">
        <v>994</v>
      </c>
      <c r="B211" s="1" t="s">
        <v>27</v>
      </c>
      <c r="C211" s="1">
        <v>4.8689660000000003</v>
      </c>
      <c r="D211" s="1">
        <v>25.112373000000002</v>
      </c>
      <c r="E211" s="1" t="s">
        <v>1557</v>
      </c>
      <c r="F211" s="1" t="s">
        <v>1556</v>
      </c>
    </row>
    <row r="212" spans="1:6" x14ac:dyDescent="0.25">
      <c r="A212" s="1" t="s">
        <v>1078</v>
      </c>
      <c r="B212" s="1" t="s">
        <v>86</v>
      </c>
      <c r="C212" s="1">
        <v>-9.3066320000000005</v>
      </c>
      <c r="D212" s="1">
        <v>20.470889</v>
      </c>
      <c r="E212" s="1" t="s">
        <v>1553</v>
      </c>
      <c r="F212" s="1" t="s">
        <v>1558</v>
      </c>
    </row>
    <row r="213" spans="1:6" x14ac:dyDescent="0.25">
      <c r="A213" s="1" t="s">
        <v>1182</v>
      </c>
      <c r="B213" s="1" t="s">
        <v>29</v>
      </c>
      <c r="C213" s="1">
        <v>-12.342053999999999</v>
      </c>
      <c r="D213" s="1">
        <v>18.756862000000002</v>
      </c>
      <c r="E213" s="1" t="s">
        <v>1557</v>
      </c>
      <c r="F213" s="1" t="s">
        <v>1554</v>
      </c>
    </row>
    <row r="214" spans="1:6" x14ac:dyDescent="0.25">
      <c r="A214" s="1" t="s">
        <v>816</v>
      </c>
      <c r="B214" s="1" t="s">
        <v>128</v>
      </c>
      <c r="C214" s="1">
        <v>-6.0234120000000004</v>
      </c>
      <c r="D214" s="1">
        <v>18.314309999999999</v>
      </c>
      <c r="E214" s="1" t="s">
        <v>1553</v>
      </c>
      <c r="F214" s="1" t="s">
        <v>1558</v>
      </c>
    </row>
    <row r="215" spans="1:6" x14ac:dyDescent="0.25">
      <c r="A215" s="1" t="s">
        <v>1483</v>
      </c>
      <c r="B215" s="1" t="s">
        <v>27</v>
      </c>
      <c r="C215" s="1">
        <v>2.5665840000000002</v>
      </c>
      <c r="D215" s="1">
        <v>15.764796</v>
      </c>
      <c r="E215" s="1" t="s">
        <v>1557</v>
      </c>
      <c r="F215" s="1" t="s">
        <v>1558</v>
      </c>
    </row>
    <row r="216" spans="1:6" x14ac:dyDescent="0.25">
      <c r="A216" s="1" t="s">
        <v>1074</v>
      </c>
      <c r="B216" s="1" t="s">
        <v>29</v>
      </c>
      <c r="C216" s="1">
        <v>-10.914952</v>
      </c>
      <c r="D216" s="1">
        <v>26.409648000000001</v>
      </c>
      <c r="E216" s="1" t="s">
        <v>1555</v>
      </c>
      <c r="F216" s="1" t="s">
        <v>1556</v>
      </c>
    </row>
    <row r="217" spans="1:6" x14ac:dyDescent="0.25">
      <c r="A217" s="1" t="s">
        <v>1400</v>
      </c>
      <c r="B217" s="1" t="s">
        <v>49</v>
      </c>
      <c r="C217" s="1">
        <v>-7.402336</v>
      </c>
      <c r="D217" s="1">
        <v>27.376697</v>
      </c>
      <c r="E217" s="1" t="s">
        <v>1555</v>
      </c>
      <c r="F217" s="1" t="s">
        <v>1556</v>
      </c>
    </row>
    <row r="218" spans="1:6" x14ac:dyDescent="0.25">
      <c r="A218" s="1" t="s">
        <v>1617</v>
      </c>
      <c r="B218" s="1" t="s">
        <v>22</v>
      </c>
      <c r="C218" s="1">
        <v>-12.207461</v>
      </c>
      <c r="D218" s="1">
        <v>13.492367</v>
      </c>
      <c r="E218" s="1" t="s">
        <v>1557</v>
      </c>
      <c r="F218" s="1" t="s">
        <v>1554</v>
      </c>
    </row>
    <row r="219" spans="1:6" x14ac:dyDescent="0.25">
      <c r="A219" s="1" t="s">
        <v>889</v>
      </c>
      <c r="B219" s="1" t="s">
        <v>134</v>
      </c>
      <c r="C219" s="1">
        <v>2.266232</v>
      </c>
      <c r="D219" s="1">
        <v>29.532896000000001</v>
      </c>
      <c r="E219" s="1" t="s">
        <v>1555</v>
      </c>
      <c r="F219" s="1" t="s">
        <v>1554</v>
      </c>
    </row>
    <row r="220" spans="1:6" x14ac:dyDescent="0.25">
      <c r="A220" s="1" t="s">
        <v>1618</v>
      </c>
      <c r="B220" s="1" t="s">
        <v>33</v>
      </c>
      <c r="C220" s="1">
        <v>2.6937519999999999</v>
      </c>
      <c r="D220" s="1">
        <v>26.524137</v>
      </c>
      <c r="E220" s="1" t="s">
        <v>1557</v>
      </c>
      <c r="F220" s="1" t="s">
        <v>1554</v>
      </c>
    </row>
    <row r="221" spans="1:6" x14ac:dyDescent="0.25">
      <c r="A221" s="1" t="s">
        <v>1500</v>
      </c>
      <c r="B221" s="1" t="s">
        <v>35</v>
      </c>
      <c r="C221" s="1">
        <v>-7.0007840000000003</v>
      </c>
      <c r="D221" s="1">
        <v>22.787997000000001</v>
      </c>
      <c r="E221" s="1" t="s">
        <v>1553</v>
      </c>
      <c r="F221" s="1" t="s">
        <v>1558</v>
      </c>
    </row>
    <row r="222" spans="1:6" x14ac:dyDescent="0.25">
      <c r="A222" s="1" t="s">
        <v>1619</v>
      </c>
      <c r="B222" s="1" t="s">
        <v>76</v>
      </c>
      <c r="C222" s="1">
        <v>3.0053459999999999</v>
      </c>
      <c r="D222" s="1">
        <v>13.765407</v>
      </c>
      <c r="E222" s="1" t="s">
        <v>1553</v>
      </c>
      <c r="F222" s="1" t="s">
        <v>1554</v>
      </c>
    </row>
    <row r="223" spans="1:6" x14ac:dyDescent="0.25">
      <c r="A223" s="1" t="s">
        <v>1014</v>
      </c>
      <c r="B223" s="1" t="s">
        <v>35</v>
      </c>
      <c r="C223" s="1">
        <v>-11.144149000000001</v>
      </c>
      <c r="D223" s="1">
        <v>27.244658999999999</v>
      </c>
      <c r="E223" s="1" t="s">
        <v>1555</v>
      </c>
      <c r="F223" s="1" t="s">
        <v>1564</v>
      </c>
    </row>
    <row r="224" spans="1:6" x14ac:dyDescent="0.25">
      <c r="A224" s="1" t="s">
        <v>1119</v>
      </c>
      <c r="B224" s="1" t="s">
        <v>60</v>
      </c>
      <c r="C224" s="1">
        <v>0.79124300000000003</v>
      </c>
      <c r="D224" s="1">
        <v>25.273389000000002</v>
      </c>
      <c r="E224" s="1" t="s">
        <v>1555</v>
      </c>
      <c r="F224" s="1" t="s">
        <v>1564</v>
      </c>
    </row>
    <row r="225" spans="1:6" x14ac:dyDescent="0.25">
      <c r="A225" s="1" t="s">
        <v>1620</v>
      </c>
      <c r="B225" s="1" t="s">
        <v>65</v>
      </c>
      <c r="C225" s="1">
        <v>0.419985</v>
      </c>
      <c r="D225" s="1">
        <v>13.847996999999999</v>
      </c>
      <c r="E225" s="1" t="s">
        <v>1553</v>
      </c>
      <c r="F225" s="1" t="s">
        <v>1558</v>
      </c>
    </row>
    <row r="226" spans="1:6" x14ac:dyDescent="0.25">
      <c r="A226" s="1" t="s">
        <v>846</v>
      </c>
      <c r="B226" s="1" t="s">
        <v>8</v>
      </c>
      <c r="C226" s="1">
        <v>-12.595355</v>
      </c>
      <c r="D226" s="1">
        <v>17.897442000000002</v>
      </c>
      <c r="E226" s="1" t="s">
        <v>1555</v>
      </c>
      <c r="F226" s="1" t="s">
        <v>1556</v>
      </c>
    </row>
    <row r="227" spans="1:6" x14ac:dyDescent="0.25">
      <c r="A227" s="1" t="s">
        <v>1406</v>
      </c>
      <c r="B227" s="1" t="s">
        <v>38</v>
      </c>
      <c r="C227" s="1">
        <v>0.65288900000000005</v>
      </c>
      <c r="D227" s="1">
        <v>24.243953999999999</v>
      </c>
      <c r="E227" s="1" t="s">
        <v>1553</v>
      </c>
      <c r="F227" s="1" t="s">
        <v>1554</v>
      </c>
    </row>
    <row r="228" spans="1:6" x14ac:dyDescent="0.25">
      <c r="A228" s="1" t="s">
        <v>1429</v>
      </c>
      <c r="B228" s="1" t="s">
        <v>24</v>
      </c>
      <c r="C228" s="1">
        <v>-1.500685</v>
      </c>
      <c r="D228" s="1">
        <v>26.563376000000002</v>
      </c>
      <c r="E228" s="1" t="s">
        <v>1553</v>
      </c>
      <c r="F228" s="1" t="s">
        <v>1564</v>
      </c>
    </row>
    <row r="229" spans="1:6" x14ac:dyDescent="0.25">
      <c r="A229" s="1" t="s">
        <v>1621</v>
      </c>
      <c r="B229" s="1" t="s">
        <v>55</v>
      </c>
      <c r="C229" s="1">
        <v>-9.2227779999999999</v>
      </c>
      <c r="D229" s="1">
        <v>20.940372</v>
      </c>
      <c r="E229" s="1" t="s">
        <v>1557</v>
      </c>
      <c r="F229" s="1" t="s">
        <v>1554</v>
      </c>
    </row>
    <row r="230" spans="1:6" x14ac:dyDescent="0.25">
      <c r="A230" s="1" t="s">
        <v>831</v>
      </c>
      <c r="B230" s="1" t="s">
        <v>19</v>
      </c>
      <c r="C230" s="1">
        <v>-9.3900009999999998</v>
      </c>
      <c r="D230" s="1">
        <v>30.001517</v>
      </c>
      <c r="E230" s="1" t="s">
        <v>1557</v>
      </c>
      <c r="F230" s="1" t="s">
        <v>1564</v>
      </c>
    </row>
    <row r="231" spans="1:6" x14ac:dyDescent="0.25">
      <c r="A231" s="1" t="s">
        <v>964</v>
      </c>
      <c r="B231" s="1" t="s">
        <v>124</v>
      </c>
      <c r="C231" s="1">
        <v>-7.8417870000000001</v>
      </c>
      <c r="D231" s="1">
        <v>14.730712</v>
      </c>
      <c r="E231" s="1" t="s">
        <v>1553</v>
      </c>
      <c r="F231" s="1" t="s">
        <v>1564</v>
      </c>
    </row>
    <row r="232" spans="1:6" x14ac:dyDescent="0.25">
      <c r="A232" s="1" t="s">
        <v>804</v>
      </c>
      <c r="B232" s="1" t="s">
        <v>33</v>
      </c>
      <c r="C232" s="1">
        <v>-3.419035</v>
      </c>
      <c r="D232" s="1">
        <v>29.018315999999999</v>
      </c>
      <c r="E232" s="1" t="s">
        <v>1553</v>
      </c>
      <c r="F232" s="1" t="s">
        <v>1554</v>
      </c>
    </row>
    <row r="233" spans="1:6" x14ac:dyDescent="0.25">
      <c r="A233" s="1" t="s">
        <v>1622</v>
      </c>
      <c r="B233" s="1" t="s">
        <v>31</v>
      </c>
      <c r="C233" s="1">
        <v>0.91016799999999998</v>
      </c>
      <c r="D233" s="1">
        <v>16.903002999999998</v>
      </c>
      <c r="E233" s="1" t="s">
        <v>1557</v>
      </c>
      <c r="F233" s="1" t="s">
        <v>1564</v>
      </c>
    </row>
    <row r="234" spans="1:6" x14ac:dyDescent="0.25">
      <c r="A234" s="1" t="s">
        <v>1471</v>
      </c>
      <c r="B234" s="1" t="s">
        <v>71</v>
      </c>
      <c r="C234" s="1">
        <v>-0.919767</v>
      </c>
      <c r="D234" s="1">
        <v>18.905538</v>
      </c>
      <c r="E234" s="1" t="s">
        <v>1553</v>
      </c>
      <c r="F234" s="1" t="s">
        <v>1554</v>
      </c>
    </row>
    <row r="235" spans="1:6" x14ac:dyDescent="0.25">
      <c r="A235" s="1" t="s">
        <v>1092</v>
      </c>
      <c r="B235" s="1" t="s">
        <v>33</v>
      </c>
      <c r="C235" s="1">
        <v>-8.0922239999999999</v>
      </c>
      <c r="D235" s="1">
        <v>15.483708</v>
      </c>
      <c r="E235" s="1" t="s">
        <v>1553</v>
      </c>
      <c r="F235" s="1" t="s">
        <v>1564</v>
      </c>
    </row>
    <row r="236" spans="1:6" x14ac:dyDescent="0.25">
      <c r="A236" s="1" t="s">
        <v>1204</v>
      </c>
      <c r="B236" s="1" t="s">
        <v>27</v>
      </c>
      <c r="C236" s="1">
        <v>-10.165072</v>
      </c>
      <c r="D236" s="1">
        <v>29.428024000000001</v>
      </c>
      <c r="E236" s="1" t="s">
        <v>1553</v>
      </c>
      <c r="F236" s="1" t="s">
        <v>1556</v>
      </c>
    </row>
    <row r="237" spans="1:6" x14ac:dyDescent="0.25">
      <c r="A237" s="1" t="s">
        <v>1352</v>
      </c>
      <c r="B237" s="1" t="s">
        <v>49</v>
      </c>
      <c r="C237" s="1">
        <v>-10.939712999999999</v>
      </c>
      <c r="D237" s="1">
        <v>18.276230999999999</v>
      </c>
      <c r="E237" s="1" t="s">
        <v>1555</v>
      </c>
      <c r="F237" s="1" t="s">
        <v>1558</v>
      </c>
    </row>
    <row r="238" spans="1:6" x14ac:dyDescent="0.25">
      <c r="A238" s="1" t="s">
        <v>1044</v>
      </c>
      <c r="B238" s="1" t="s">
        <v>19</v>
      </c>
      <c r="C238" s="1">
        <v>4.2493650000000001</v>
      </c>
      <c r="D238" s="1">
        <v>28.355039999999999</v>
      </c>
      <c r="E238" s="1" t="s">
        <v>1557</v>
      </c>
      <c r="F238" s="1" t="s">
        <v>1558</v>
      </c>
    </row>
    <row r="239" spans="1:6" x14ac:dyDescent="0.25">
      <c r="A239" s="1" t="s">
        <v>1504</v>
      </c>
      <c r="B239" s="1" t="s">
        <v>22</v>
      </c>
      <c r="C239" s="1">
        <v>-2.926736</v>
      </c>
      <c r="D239" s="1">
        <v>18.170461</v>
      </c>
      <c r="E239" s="1" t="s">
        <v>1553</v>
      </c>
      <c r="F239" s="1" t="s">
        <v>1554</v>
      </c>
    </row>
    <row r="240" spans="1:6" x14ac:dyDescent="0.25">
      <c r="A240" s="1" t="s">
        <v>976</v>
      </c>
      <c r="B240" s="1" t="s">
        <v>60</v>
      </c>
      <c r="C240" s="1">
        <v>-11.157245</v>
      </c>
      <c r="D240" s="1">
        <v>21.262627999999999</v>
      </c>
      <c r="E240" s="1" t="s">
        <v>1553</v>
      </c>
      <c r="F240" s="1" t="s">
        <v>1558</v>
      </c>
    </row>
    <row r="241" spans="1:6" x14ac:dyDescent="0.25">
      <c r="A241" s="1" t="s">
        <v>896</v>
      </c>
      <c r="B241" s="1" t="s">
        <v>134</v>
      </c>
      <c r="C241" s="1">
        <v>-3.234483</v>
      </c>
      <c r="D241" s="1">
        <v>13.241939</v>
      </c>
      <c r="E241" s="1" t="s">
        <v>1555</v>
      </c>
      <c r="F241" s="1" t="s">
        <v>1558</v>
      </c>
    </row>
    <row r="242" spans="1:6" x14ac:dyDescent="0.25">
      <c r="A242" s="1" t="s">
        <v>1130</v>
      </c>
      <c r="B242" s="1" t="s">
        <v>31</v>
      </c>
      <c r="C242" s="1">
        <v>-3.111418</v>
      </c>
      <c r="D242" s="1">
        <v>14.144854</v>
      </c>
      <c r="E242" s="1" t="s">
        <v>1555</v>
      </c>
      <c r="F242" s="1" t="s">
        <v>1558</v>
      </c>
    </row>
    <row r="243" spans="1:6" x14ac:dyDescent="0.25">
      <c r="A243" s="1" t="s">
        <v>1276</v>
      </c>
      <c r="B243" s="1" t="s">
        <v>38</v>
      </c>
      <c r="C243" s="1">
        <v>-8.1210620000000002</v>
      </c>
      <c r="D243" s="1">
        <v>21.094390000000001</v>
      </c>
      <c r="E243" s="1" t="s">
        <v>1553</v>
      </c>
      <c r="F243" s="1" t="s">
        <v>1558</v>
      </c>
    </row>
    <row r="244" spans="1:6" x14ac:dyDescent="0.25">
      <c r="A244" s="1" t="s">
        <v>1522</v>
      </c>
      <c r="B244" s="1"/>
      <c r="C244" s="1">
        <v>3.9790009999999998</v>
      </c>
      <c r="D244" s="1">
        <v>28.069559000000002</v>
      </c>
      <c r="E244" s="1" t="s">
        <v>1557</v>
      </c>
      <c r="F244" s="1" t="s">
        <v>1556</v>
      </c>
    </row>
    <row r="245" spans="1:6" x14ac:dyDescent="0.25">
      <c r="A245" s="1" t="s">
        <v>845</v>
      </c>
      <c r="B245" s="1" t="s">
        <v>71</v>
      </c>
      <c r="C245" s="1">
        <v>1.472051</v>
      </c>
      <c r="D245" s="1">
        <v>17.36289</v>
      </c>
      <c r="E245" s="1" t="s">
        <v>1555</v>
      </c>
      <c r="F245" s="1" t="s">
        <v>1556</v>
      </c>
    </row>
    <row r="246" spans="1:6" x14ac:dyDescent="0.25">
      <c r="A246" s="1" t="s">
        <v>1343</v>
      </c>
      <c r="B246" s="1" t="s">
        <v>62</v>
      </c>
      <c r="C246" s="1">
        <v>-2.6665070000000002</v>
      </c>
      <c r="D246" s="1">
        <v>18.623692999999999</v>
      </c>
      <c r="E246" s="1" t="s">
        <v>1557</v>
      </c>
      <c r="F246" s="1" t="s">
        <v>1558</v>
      </c>
    </row>
    <row r="247" spans="1:6" x14ac:dyDescent="0.25">
      <c r="A247" s="1" t="s">
        <v>1623</v>
      </c>
      <c r="B247" s="1" t="s">
        <v>22</v>
      </c>
      <c r="C247" s="1">
        <v>-9.9170499999999997</v>
      </c>
      <c r="D247" s="1">
        <v>22.918887000000002</v>
      </c>
      <c r="E247" s="1" t="s">
        <v>1555</v>
      </c>
      <c r="F247" s="1" t="s">
        <v>1556</v>
      </c>
    </row>
    <row r="248" spans="1:6" x14ac:dyDescent="0.25">
      <c r="A248" s="1" t="s">
        <v>808</v>
      </c>
      <c r="B248" s="1" t="s">
        <v>24</v>
      </c>
      <c r="C248" s="1">
        <v>-7.3952039999999997</v>
      </c>
      <c r="D248" s="1">
        <v>21.651043999999999</v>
      </c>
      <c r="E248" s="1" t="s">
        <v>1555</v>
      </c>
      <c r="F248" s="1" t="s">
        <v>1556</v>
      </c>
    </row>
    <row r="249" spans="1:6" x14ac:dyDescent="0.25">
      <c r="A249" s="1" t="s">
        <v>950</v>
      </c>
      <c r="B249" s="1" t="s">
        <v>71</v>
      </c>
      <c r="C249" s="1">
        <v>3.0603760000000002</v>
      </c>
      <c r="D249" s="1">
        <v>19.708034000000001</v>
      </c>
      <c r="E249" s="1" t="s">
        <v>1557</v>
      </c>
      <c r="F249" s="1" t="s">
        <v>1558</v>
      </c>
    </row>
    <row r="250" spans="1:6" x14ac:dyDescent="0.25">
      <c r="A250" s="1" t="s">
        <v>1624</v>
      </c>
      <c r="B250" s="1" t="s">
        <v>42</v>
      </c>
      <c r="C250" s="1">
        <v>-3.269612</v>
      </c>
      <c r="D250" s="1">
        <v>25.571189</v>
      </c>
      <c r="E250" s="1" t="s">
        <v>1553</v>
      </c>
      <c r="F250" s="1" t="s">
        <v>1554</v>
      </c>
    </row>
    <row r="251" spans="1:6" x14ac:dyDescent="0.25">
      <c r="A251" s="1" t="s">
        <v>1625</v>
      </c>
      <c r="B251" s="1" t="s">
        <v>31</v>
      </c>
      <c r="C251" s="1">
        <v>-12.086929</v>
      </c>
      <c r="D251" s="1">
        <v>14.032645</v>
      </c>
      <c r="E251" s="1" t="s">
        <v>1557</v>
      </c>
      <c r="F251" s="1" t="s">
        <v>1558</v>
      </c>
    </row>
    <row r="252" spans="1:6" x14ac:dyDescent="0.25">
      <c r="A252" s="1" t="s">
        <v>877</v>
      </c>
      <c r="B252" s="1" t="s">
        <v>38</v>
      </c>
      <c r="C252" s="1">
        <v>-10.963041</v>
      </c>
      <c r="D252" s="1">
        <v>12.269857</v>
      </c>
      <c r="E252" s="1" t="s">
        <v>1555</v>
      </c>
      <c r="F252" s="1" t="s">
        <v>1556</v>
      </c>
    </row>
    <row r="253" spans="1:6" x14ac:dyDescent="0.25">
      <c r="A253" s="1" t="s">
        <v>1626</v>
      </c>
      <c r="B253" s="1" t="s">
        <v>14</v>
      </c>
      <c r="C253" s="1">
        <v>-4.332408</v>
      </c>
      <c r="D253" s="1">
        <v>14.119439</v>
      </c>
      <c r="E253" s="1" t="s">
        <v>1553</v>
      </c>
      <c r="F253" s="1" t="s">
        <v>1564</v>
      </c>
    </row>
    <row r="254" spans="1:6" x14ac:dyDescent="0.25">
      <c r="A254" s="1" t="s">
        <v>1412</v>
      </c>
      <c r="B254" s="1" t="s">
        <v>62</v>
      </c>
      <c r="C254" s="1">
        <v>-0.57104900000000003</v>
      </c>
      <c r="D254" s="1">
        <v>15.317663</v>
      </c>
      <c r="E254" s="1" t="s">
        <v>1553</v>
      </c>
      <c r="F254" s="1" t="s">
        <v>1564</v>
      </c>
    </row>
    <row r="255" spans="1:6" x14ac:dyDescent="0.25">
      <c r="A255" s="1" t="s">
        <v>945</v>
      </c>
      <c r="B255" s="1" t="s">
        <v>42</v>
      </c>
      <c r="C255" s="1">
        <v>-10.442425</v>
      </c>
      <c r="D255" s="1">
        <v>23.243632000000002</v>
      </c>
      <c r="E255" s="1" t="s">
        <v>1555</v>
      </c>
      <c r="F255" s="1" t="s">
        <v>1564</v>
      </c>
    </row>
    <row r="256" spans="1:6" x14ac:dyDescent="0.25">
      <c r="A256" s="1" t="s">
        <v>1249</v>
      </c>
      <c r="B256" s="1" t="s">
        <v>16</v>
      </c>
      <c r="C256" s="1">
        <v>0.16327700000000001</v>
      </c>
      <c r="D256" s="1">
        <v>14.871577</v>
      </c>
      <c r="E256" s="1" t="s">
        <v>1555</v>
      </c>
      <c r="F256" s="1" t="s">
        <v>1556</v>
      </c>
    </row>
    <row r="257" spans="1:6" x14ac:dyDescent="0.25">
      <c r="A257" s="1" t="s">
        <v>1627</v>
      </c>
      <c r="B257" s="1" t="s">
        <v>24</v>
      </c>
      <c r="C257" s="1">
        <v>4.7044240000000004</v>
      </c>
      <c r="D257" s="1">
        <v>20.486409999999999</v>
      </c>
      <c r="E257" s="1" t="s">
        <v>1555</v>
      </c>
      <c r="F257" s="1" t="s">
        <v>1558</v>
      </c>
    </row>
    <row r="258" spans="1:6" x14ac:dyDescent="0.25">
      <c r="A258" s="1" t="s">
        <v>1628</v>
      </c>
      <c r="B258" s="1" t="s">
        <v>11</v>
      </c>
      <c r="C258" s="1">
        <v>4.7060310000000003</v>
      </c>
      <c r="D258" s="1">
        <v>27.348973000000001</v>
      </c>
      <c r="E258" s="1" t="s">
        <v>1555</v>
      </c>
      <c r="F258" s="1" t="s">
        <v>1556</v>
      </c>
    </row>
    <row r="259" spans="1:6" x14ac:dyDescent="0.25">
      <c r="A259" s="1" t="s">
        <v>1629</v>
      </c>
      <c r="B259" s="1" t="s">
        <v>8</v>
      </c>
      <c r="C259" s="1">
        <v>1.019657</v>
      </c>
      <c r="D259" s="1">
        <v>16.963799000000002</v>
      </c>
      <c r="E259" s="1" t="s">
        <v>1557</v>
      </c>
      <c r="F259" s="1" t="s">
        <v>1564</v>
      </c>
    </row>
    <row r="260" spans="1:6" x14ac:dyDescent="0.25">
      <c r="A260" s="1" t="s">
        <v>1501</v>
      </c>
      <c r="B260" s="1" t="s">
        <v>42</v>
      </c>
      <c r="C260" s="1">
        <v>-4.6311460000000002</v>
      </c>
      <c r="D260" s="1">
        <v>25.314723000000001</v>
      </c>
      <c r="E260" s="1" t="s">
        <v>1555</v>
      </c>
      <c r="F260" s="1" t="s">
        <v>1556</v>
      </c>
    </row>
    <row r="261" spans="1:6" x14ac:dyDescent="0.25">
      <c r="A261" s="1" t="s">
        <v>1630</v>
      </c>
      <c r="B261" s="1" t="s">
        <v>38</v>
      </c>
      <c r="C261" s="1">
        <v>-11.591777</v>
      </c>
      <c r="D261" s="1">
        <v>21.213452</v>
      </c>
      <c r="E261" s="1" t="s">
        <v>1553</v>
      </c>
      <c r="F261" s="1" t="s">
        <v>1554</v>
      </c>
    </row>
    <row r="262" spans="1:6" x14ac:dyDescent="0.25">
      <c r="A262" s="1" t="s">
        <v>1631</v>
      </c>
      <c r="B262" s="1" t="s">
        <v>42</v>
      </c>
      <c r="C262" s="1">
        <v>3.0184790000000001</v>
      </c>
      <c r="D262" s="1">
        <v>27.188068000000001</v>
      </c>
      <c r="E262" s="1" t="s">
        <v>1553</v>
      </c>
      <c r="F262" s="1" t="s">
        <v>1554</v>
      </c>
    </row>
    <row r="263" spans="1:6" x14ac:dyDescent="0.25">
      <c r="A263" s="1" t="s">
        <v>1358</v>
      </c>
      <c r="B263" s="1" t="s">
        <v>14</v>
      </c>
      <c r="C263" s="1">
        <v>-11.407966</v>
      </c>
      <c r="D263" s="1">
        <v>28.378274000000001</v>
      </c>
      <c r="E263" s="1" t="s">
        <v>1555</v>
      </c>
      <c r="F263" s="1" t="s">
        <v>1558</v>
      </c>
    </row>
    <row r="264" spans="1:6" x14ac:dyDescent="0.25">
      <c r="A264" s="1" t="s">
        <v>1354</v>
      </c>
      <c r="B264" s="1" t="s">
        <v>22</v>
      </c>
      <c r="C264" s="1">
        <v>-4.4958720000000003</v>
      </c>
      <c r="D264" s="1">
        <v>18.514112000000001</v>
      </c>
      <c r="E264" s="1" t="s">
        <v>1555</v>
      </c>
      <c r="F264" s="1" t="s">
        <v>1564</v>
      </c>
    </row>
    <row r="265" spans="1:6" x14ac:dyDescent="0.25">
      <c r="A265" s="1" t="s">
        <v>1632</v>
      </c>
      <c r="B265" s="1" t="s">
        <v>8</v>
      </c>
      <c r="C265" s="1">
        <v>0.35034999999999999</v>
      </c>
      <c r="D265" s="1">
        <v>13.603628</v>
      </c>
      <c r="E265" s="1" t="s">
        <v>1553</v>
      </c>
      <c r="F265" s="1" t="s">
        <v>1558</v>
      </c>
    </row>
    <row r="266" spans="1:6" x14ac:dyDescent="0.25">
      <c r="A266" s="1" t="s">
        <v>1633</v>
      </c>
      <c r="B266" s="1" t="s">
        <v>124</v>
      </c>
      <c r="C266" s="1">
        <v>4.2873989999999997</v>
      </c>
      <c r="D266" s="1">
        <v>14.756335</v>
      </c>
      <c r="E266" s="1" t="s">
        <v>1553</v>
      </c>
      <c r="F266" s="1" t="s">
        <v>1554</v>
      </c>
    </row>
    <row r="267" spans="1:6" x14ac:dyDescent="0.25">
      <c r="A267" s="1" t="s">
        <v>1243</v>
      </c>
      <c r="B267" s="1" t="s">
        <v>22</v>
      </c>
      <c r="C267" s="1">
        <v>-11.594525000000001</v>
      </c>
      <c r="D267" s="1">
        <v>29.744895</v>
      </c>
      <c r="E267" s="1" t="s">
        <v>1557</v>
      </c>
      <c r="F267" s="1" t="s">
        <v>1558</v>
      </c>
    </row>
    <row r="268" spans="1:6" x14ac:dyDescent="0.25">
      <c r="A268" s="1" t="s">
        <v>1220</v>
      </c>
      <c r="B268" s="1" t="s">
        <v>35</v>
      </c>
      <c r="C268" s="1">
        <v>-1.5936220000000001</v>
      </c>
      <c r="D268" s="1">
        <v>14.928856</v>
      </c>
      <c r="E268" s="1" t="s">
        <v>1553</v>
      </c>
      <c r="F268" s="1" t="s">
        <v>1554</v>
      </c>
    </row>
    <row r="269" spans="1:6" x14ac:dyDescent="0.25">
      <c r="A269" s="1" t="s">
        <v>1634</v>
      </c>
      <c r="B269" s="1" t="s">
        <v>29</v>
      </c>
      <c r="C269" s="1">
        <v>1.3657680000000001</v>
      </c>
      <c r="D269" s="1">
        <v>21.423017000000002</v>
      </c>
      <c r="E269" s="1" t="s">
        <v>1553</v>
      </c>
      <c r="F269" s="1" t="s">
        <v>1554</v>
      </c>
    </row>
    <row r="270" spans="1:6" x14ac:dyDescent="0.25">
      <c r="A270" s="1" t="s">
        <v>1635</v>
      </c>
      <c r="B270" s="1" t="s">
        <v>8</v>
      </c>
      <c r="C270" s="1">
        <v>-7.3750049999999998</v>
      </c>
      <c r="D270" s="1">
        <v>30.878126000000002</v>
      </c>
      <c r="E270" s="1" t="s">
        <v>1553</v>
      </c>
      <c r="F270" s="1" t="s">
        <v>1556</v>
      </c>
    </row>
    <row r="271" spans="1:6" x14ac:dyDescent="0.25">
      <c r="A271" s="1" t="s">
        <v>1369</v>
      </c>
      <c r="B271" s="1" t="s">
        <v>29</v>
      </c>
      <c r="C271" s="1">
        <v>-12.050063</v>
      </c>
      <c r="D271" s="1">
        <v>26.636987999999999</v>
      </c>
      <c r="E271" s="1" t="s">
        <v>1557</v>
      </c>
      <c r="F271" s="1" t="s">
        <v>1564</v>
      </c>
    </row>
    <row r="272" spans="1:6" x14ac:dyDescent="0.25">
      <c r="A272" s="1" t="s">
        <v>1636</v>
      </c>
      <c r="B272" s="1" t="s">
        <v>27</v>
      </c>
      <c r="C272" s="1">
        <v>-6.8161690000000004</v>
      </c>
      <c r="D272" s="1">
        <v>16.521000999999998</v>
      </c>
      <c r="E272" s="1" t="s">
        <v>1553</v>
      </c>
      <c r="F272" s="1" t="s">
        <v>1554</v>
      </c>
    </row>
    <row r="273" spans="1:6" x14ac:dyDescent="0.25">
      <c r="A273" s="1" t="s">
        <v>830</v>
      </c>
      <c r="B273" s="1" t="s">
        <v>124</v>
      </c>
      <c r="C273" s="1">
        <v>1.0134879999999999</v>
      </c>
      <c r="D273" s="1">
        <v>20.363515</v>
      </c>
      <c r="E273" s="1" t="s">
        <v>1555</v>
      </c>
      <c r="F273" s="1" t="s">
        <v>1564</v>
      </c>
    </row>
    <row r="274" spans="1:6" x14ac:dyDescent="0.25">
      <c r="A274" s="1" t="s">
        <v>1148</v>
      </c>
      <c r="B274" s="1" t="s">
        <v>71</v>
      </c>
      <c r="C274" s="1">
        <v>-4.5603610000000003</v>
      </c>
      <c r="D274" s="1">
        <v>24.113918999999999</v>
      </c>
      <c r="E274" s="1" t="s">
        <v>1553</v>
      </c>
      <c r="F274" s="1" t="s">
        <v>1558</v>
      </c>
    </row>
    <row r="275" spans="1:6" x14ac:dyDescent="0.25">
      <c r="A275" s="1" t="s">
        <v>1227</v>
      </c>
      <c r="B275" s="1" t="s">
        <v>8</v>
      </c>
      <c r="C275" s="1">
        <v>-3.7720639999999999</v>
      </c>
      <c r="D275" s="1">
        <v>16.006277999999998</v>
      </c>
      <c r="E275" s="1" t="s">
        <v>1553</v>
      </c>
      <c r="F275" s="1" t="s">
        <v>1558</v>
      </c>
    </row>
    <row r="276" spans="1:6" x14ac:dyDescent="0.25">
      <c r="A276" s="1" t="s">
        <v>1637</v>
      </c>
      <c r="B276" s="1" t="s">
        <v>58</v>
      </c>
      <c r="C276" s="1">
        <v>-4.5538169999999996</v>
      </c>
      <c r="D276" s="1">
        <v>25.952860999999999</v>
      </c>
      <c r="E276" s="1" t="s">
        <v>1557</v>
      </c>
      <c r="F276" s="1" t="s">
        <v>1554</v>
      </c>
    </row>
    <row r="277" spans="1:6" x14ac:dyDescent="0.25">
      <c r="A277" s="1" t="s">
        <v>1324</v>
      </c>
      <c r="B277" s="1" t="s">
        <v>124</v>
      </c>
      <c r="C277" s="1">
        <v>0.20866199999999999</v>
      </c>
      <c r="D277" s="1">
        <v>18.556439000000001</v>
      </c>
      <c r="E277" s="1" t="s">
        <v>1555</v>
      </c>
      <c r="F277" s="1" t="s">
        <v>1564</v>
      </c>
    </row>
    <row r="278" spans="1:6" x14ac:dyDescent="0.25">
      <c r="A278" s="1" t="s">
        <v>1318</v>
      </c>
      <c r="B278" s="1" t="s">
        <v>128</v>
      </c>
      <c r="C278" s="1">
        <v>-5.42171</v>
      </c>
      <c r="D278" s="1">
        <v>24.202960999999998</v>
      </c>
      <c r="E278" s="1" t="s">
        <v>1553</v>
      </c>
      <c r="F278" s="1" t="s">
        <v>1554</v>
      </c>
    </row>
    <row r="279" spans="1:6" x14ac:dyDescent="0.25">
      <c r="A279" s="1" t="s">
        <v>912</v>
      </c>
      <c r="B279" s="1" t="s">
        <v>19</v>
      </c>
      <c r="C279" s="1">
        <v>4.2904629999999999</v>
      </c>
      <c r="D279" s="1">
        <v>26.354195000000001</v>
      </c>
      <c r="E279" s="1" t="s">
        <v>1557</v>
      </c>
      <c r="F279" s="1" t="s">
        <v>1554</v>
      </c>
    </row>
    <row r="280" spans="1:6" x14ac:dyDescent="0.25">
      <c r="A280" s="1" t="s">
        <v>1638</v>
      </c>
      <c r="B280" s="1" t="s">
        <v>55</v>
      </c>
      <c r="C280" s="1">
        <v>1.368018</v>
      </c>
      <c r="D280" s="1">
        <v>14.203893000000001</v>
      </c>
      <c r="E280" s="1" t="s">
        <v>1553</v>
      </c>
      <c r="F280" s="1" t="s">
        <v>1556</v>
      </c>
    </row>
    <row r="281" spans="1:6" x14ac:dyDescent="0.25">
      <c r="A281" s="1" t="s">
        <v>1639</v>
      </c>
      <c r="B281" s="1" t="s">
        <v>27</v>
      </c>
      <c r="C281" s="1">
        <v>-7.7942479999999996</v>
      </c>
      <c r="D281" s="1">
        <v>15.184407999999999</v>
      </c>
      <c r="E281" s="1" t="s">
        <v>1557</v>
      </c>
      <c r="F281" s="1" t="s">
        <v>1558</v>
      </c>
    </row>
    <row r="282" spans="1:6" x14ac:dyDescent="0.25">
      <c r="A282" s="1" t="s">
        <v>1384</v>
      </c>
      <c r="B282" s="1" t="s">
        <v>8</v>
      </c>
      <c r="C282" s="1">
        <v>-12.364127999999999</v>
      </c>
      <c r="D282" s="1">
        <v>19.576150999999999</v>
      </c>
      <c r="E282" s="1" t="s">
        <v>1557</v>
      </c>
      <c r="F282" s="1" t="s">
        <v>1564</v>
      </c>
    </row>
    <row r="283" spans="1:6" x14ac:dyDescent="0.25">
      <c r="A283" s="1" t="s">
        <v>1391</v>
      </c>
      <c r="B283" s="1" t="s">
        <v>29</v>
      </c>
      <c r="C283" s="1">
        <v>3.611561</v>
      </c>
      <c r="D283" s="1">
        <v>17.725974999999998</v>
      </c>
      <c r="E283" s="1" t="s">
        <v>1557</v>
      </c>
      <c r="F283" s="1" t="s">
        <v>1558</v>
      </c>
    </row>
    <row r="284" spans="1:6" x14ac:dyDescent="0.25">
      <c r="A284" s="1" t="s">
        <v>1206</v>
      </c>
      <c r="B284" s="1" t="s">
        <v>62</v>
      </c>
      <c r="C284" s="1">
        <v>0.48965500000000001</v>
      </c>
      <c r="D284" s="1">
        <v>26.176860000000001</v>
      </c>
      <c r="E284" s="1" t="s">
        <v>1555</v>
      </c>
      <c r="F284" s="1" t="s">
        <v>1556</v>
      </c>
    </row>
    <row r="285" spans="1:6" x14ac:dyDescent="0.25">
      <c r="A285" s="1" t="s">
        <v>834</v>
      </c>
      <c r="B285" s="1" t="s">
        <v>86</v>
      </c>
      <c r="C285" s="1">
        <v>8.5490999999999998E-2</v>
      </c>
      <c r="D285" s="1">
        <v>26.296129000000001</v>
      </c>
      <c r="E285" s="1" t="s">
        <v>1557</v>
      </c>
      <c r="F285" s="1" t="s">
        <v>1558</v>
      </c>
    </row>
    <row r="286" spans="1:6" x14ac:dyDescent="0.25">
      <c r="A286" s="1" t="s">
        <v>835</v>
      </c>
      <c r="B286" s="1" t="s">
        <v>24</v>
      </c>
      <c r="C286" s="1">
        <v>-2.8532869999999999</v>
      </c>
      <c r="D286" s="1">
        <v>22.117896000000002</v>
      </c>
      <c r="E286" s="1" t="s">
        <v>1553</v>
      </c>
      <c r="F286" s="1" t="s">
        <v>1556</v>
      </c>
    </row>
    <row r="287" spans="1:6" x14ac:dyDescent="0.25">
      <c r="A287" s="1" t="s">
        <v>981</v>
      </c>
      <c r="B287" s="1" t="s">
        <v>16</v>
      </c>
      <c r="C287" s="1">
        <v>-11.89448</v>
      </c>
      <c r="D287" s="1">
        <v>19.216214999999998</v>
      </c>
      <c r="E287" s="1" t="s">
        <v>1557</v>
      </c>
      <c r="F287" s="1" t="s">
        <v>1558</v>
      </c>
    </row>
    <row r="288" spans="1:6" x14ac:dyDescent="0.25">
      <c r="A288" s="1" t="s">
        <v>1302</v>
      </c>
      <c r="B288" s="1" t="s">
        <v>55</v>
      </c>
      <c r="C288" s="1">
        <v>-4.4831099999999999</v>
      </c>
      <c r="D288" s="1">
        <v>25.406548000000001</v>
      </c>
      <c r="E288" s="1" t="s">
        <v>1553</v>
      </c>
      <c r="F288" s="1" t="s">
        <v>1564</v>
      </c>
    </row>
    <row r="289" spans="1:6" x14ac:dyDescent="0.25">
      <c r="A289" s="1" t="s">
        <v>1283</v>
      </c>
      <c r="B289" s="1" t="s">
        <v>35</v>
      </c>
      <c r="C289" s="1">
        <v>-9.9565739999999998</v>
      </c>
      <c r="D289" s="1">
        <v>21.017202000000001</v>
      </c>
      <c r="E289" s="1" t="s">
        <v>1555</v>
      </c>
      <c r="F289" s="1" t="s">
        <v>1556</v>
      </c>
    </row>
    <row r="290" spans="1:6" x14ac:dyDescent="0.25">
      <c r="A290" s="1" t="s">
        <v>1480</v>
      </c>
      <c r="B290" s="1" t="s">
        <v>71</v>
      </c>
      <c r="C290" s="1">
        <v>-12.070842000000001</v>
      </c>
      <c r="D290" s="1">
        <v>14.757847</v>
      </c>
      <c r="E290" s="1" t="s">
        <v>1555</v>
      </c>
      <c r="F290" s="1" t="s">
        <v>1558</v>
      </c>
    </row>
    <row r="291" spans="1:6" x14ac:dyDescent="0.25">
      <c r="A291" s="1" t="s">
        <v>1435</v>
      </c>
      <c r="B291" s="1" t="s">
        <v>65</v>
      </c>
      <c r="C291" s="1">
        <v>4.8265669999999998</v>
      </c>
      <c r="D291" s="1">
        <v>28.535277000000001</v>
      </c>
      <c r="E291" s="1" t="s">
        <v>1557</v>
      </c>
      <c r="F291" s="1" t="s">
        <v>1556</v>
      </c>
    </row>
    <row r="292" spans="1:6" x14ac:dyDescent="0.25">
      <c r="A292" s="1" t="s">
        <v>1640</v>
      </c>
      <c r="B292" s="1" t="s">
        <v>8</v>
      </c>
      <c r="C292" s="1">
        <v>1.5601240000000001</v>
      </c>
      <c r="D292" s="1">
        <v>12.225398</v>
      </c>
      <c r="E292" s="1" t="s">
        <v>1553</v>
      </c>
      <c r="F292" s="1" t="s">
        <v>1564</v>
      </c>
    </row>
    <row r="293" spans="1:6" x14ac:dyDescent="0.25">
      <c r="A293" s="1" t="s">
        <v>1641</v>
      </c>
      <c r="B293" s="1" t="s">
        <v>58</v>
      </c>
      <c r="C293" s="1">
        <v>-1.762294</v>
      </c>
      <c r="D293" s="1">
        <v>29.617228000000001</v>
      </c>
      <c r="E293" s="1" t="s">
        <v>1555</v>
      </c>
      <c r="F293" s="1" t="s">
        <v>1558</v>
      </c>
    </row>
    <row r="294" spans="1:6" x14ac:dyDescent="0.25">
      <c r="A294" s="1" t="s">
        <v>1515</v>
      </c>
      <c r="B294" s="1" t="s">
        <v>86</v>
      </c>
      <c r="C294" s="1">
        <v>-7.8373179999999998</v>
      </c>
      <c r="D294" s="1">
        <v>20.527591999999999</v>
      </c>
      <c r="E294" s="1" t="s">
        <v>1555</v>
      </c>
      <c r="F294" s="1" t="s">
        <v>1554</v>
      </c>
    </row>
    <row r="295" spans="1:6" x14ac:dyDescent="0.25">
      <c r="A295" s="1" t="s">
        <v>1416</v>
      </c>
      <c r="B295" s="1" t="s">
        <v>19</v>
      </c>
      <c r="C295" s="1">
        <v>-11.514817000000001</v>
      </c>
      <c r="D295" s="1">
        <v>24.891375</v>
      </c>
      <c r="E295" s="1" t="s">
        <v>1557</v>
      </c>
      <c r="F295" s="1" t="s">
        <v>1564</v>
      </c>
    </row>
    <row r="296" spans="1:6" x14ac:dyDescent="0.25">
      <c r="A296" s="1" t="s">
        <v>1642</v>
      </c>
      <c r="B296" s="1" t="s">
        <v>60</v>
      </c>
      <c r="C296" s="1">
        <v>-3.89927</v>
      </c>
      <c r="D296" s="1">
        <v>30.273492000000001</v>
      </c>
      <c r="E296" s="1" t="s">
        <v>1557</v>
      </c>
      <c r="F296" s="1" t="s">
        <v>1564</v>
      </c>
    </row>
    <row r="297" spans="1:6" x14ac:dyDescent="0.25">
      <c r="A297" s="1" t="s">
        <v>1643</v>
      </c>
      <c r="B297" s="1" t="s">
        <v>60</v>
      </c>
      <c r="C297" s="1">
        <v>2.3260149999999999</v>
      </c>
      <c r="D297" s="1">
        <v>24.97465</v>
      </c>
      <c r="E297" s="1" t="s">
        <v>1557</v>
      </c>
      <c r="F297" s="1" t="s">
        <v>1564</v>
      </c>
    </row>
    <row r="298" spans="1:6" x14ac:dyDescent="0.25">
      <c r="A298" s="1" t="s">
        <v>1120</v>
      </c>
      <c r="B298" s="1" t="s">
        <v>86</v>
      </c>
      <c r="C298" s="1">
        <v>-7.9987219999999999</v>
      </c>
      <c r="D298" s="1">
        <v>12.779335</v>
      </c>
      <c r="E298" s="1" t="s">
        <v>1553</v>
      </c>
      <c r="F298" s="1" t="s">
        <v>1564</v>
      </c>
    </row>
    <row r="299" spans="1:6" x14ac:dyDescent="0.25">
      <c r="A299" s="1" t="s">
        <v>1644</v>
      </c>
      <c r="B299" s="1" t="s">
        <v>24</v>
      </c>
      <c r="C299" s="1">
        <v>-10.614302</v>
      </c>
      <c r="D299" s="1">
        <v>29.436530999999999</v>
      </c>
      <c r="E299" s="1" t="s">
        <v>1557</v>
      </c>
      <c r="F299" s="1" t="s">
        <v>1554</v>
      </c>
    </row>
    <row r="300" spans="1:6" x14ac:dyDescent="0.25">
      <c r="A300" s="1" t="s">
        <v>886</v>
      </c>
      <c r="B300" s="1" t="s">
        <v>35</v>
      </c>
      <c r="C300" s="1">
        <v>-7.9425049999999997</v>
      </c>
      <c r="D300" s="1">
        <v>24.111059000000001</v>
      </c>
      <c r="E300" s="1" t="s">
        <v>1557</v>
      </c>
      <c r="F300" s="1" t="s">
        <v>1558</v>
      </c>
    </row>
    <row r="301" spans="1:6" x14ac:dyDescent="0.25">
      <c r="A301" s="1" t="s">
        <v>951</v>
      </c>
      <c r="B301" s="1" t="s">
        <v>19</v>
      </c>
      <c r="C301" s="1">
        <v>2.4414509999999998</v>
      </c>
      <c r="D301" s="1">
        <v>30.167489</v>
      </c>
      <c r="E301" s="1" t="s">
        <v>1553</v>
      </c>
      <c r="F301" s="1" t="s">
        <v>1564</v>
      </c>
    </row>
    <row r="302" spans="1:6" x14ac:dyDescent="0.25">
      <c r="A302" s="1" t="s">
        <v>1093</v>
      </c>
      <c r="B302" s="1" t="s">
        <v>62</v>
      </c>
      <c r="C302" s="1">
        <v>-1.339734</v>
      </c>
      <c r="D302" s="1">
        <v>15.243098</v>
      </c>
      <c r="E302" s="1" t="s">
        <v>1557</v>
      </c>
      <c r="F302" s="1" t="s">
        <v>1564</v>
      </c>
    </row>
    <row r="303" spans="1:6" x14ac:dyDescent="0.25">
      <c r="A303" s="1" t="s">
        <v>1327</v>
      </c>
      <c r="B303" s="1" t="s">
        <v>60</v>
      </c>
      <c r="C303" s="1">
        <v>-9.8208710000000004</v>
      </c>
      <c r="D303" s="1">
        <v>23.229807000000001</v>
      </c>
      <c r="E303" s="1" t="s">
        <v>1553</v>
      </c>
      <c r="F303" s="1" t="s">
        <v>1564</v>
      </c>
    </row>
    <row r="304" spans="1:6" x14ac:dyDescent="0.25">
      <c r="A304" s="1" t="s">
        <v>1218</v>
      </c>
      <c r="B304" s="1" t="s">
        <v>11</v>
      </c>
      <c r="C304" s="1">
        <v>-12.292039000000001</v>
      </c>
      <c r="D304" s="1">
        <v>27.538202999999999</v>
      </c>
      <c r="E304" s="1" t="s">
        <v>1557</v>
      </c>
      <c r="F304" s="1" t="s">
        <v>1556</v>
      </c>
    </row>
    <row r="305" spans="1:6" x14ac:dyDescent="0.25">
      <c r="A305" s="1" t="s">
        <v>1645</v>
      </c>
      <c r="B305" s="1" t="s">
        <v>128</v>
      </c>
      <c r="C305" s="1">
        <v>-6.0850540000000004</v>
      </c>
      <c r="D305" s="1">
        <v>14.020293000000001</v>
      </c>
      <c r="E305" s="1" t="s">
        <v>1553</v>
      </c>
      <c r="F305" s="1" t="s">
        <v>1556</v>
      </c>
    </row>
    <row r="306" spans="1:6" x14ac:dyDescent="0.25">
      <c r="A306" s="1" t="s">
        <v>1448</v>
      </c>
      <c r="B306" s="1" t="s">
        <v>65</v>
      </c>
      <c r="C306" s="1">
        <v>-9.5619429999999994</v>
      </c>
      <c r="D306" s="1">
        <v>21.445726000000001</v>
      </c>
      <c r="E306" s="1" t="s">
        <v>1555</v>
      </c>
      <c r="F306" s="1" t="s">
        <v>1564</v>
      </c>
    </row>
    <row r="307" spans="1:6" x14ac:dyDescent="0.25">
      <c r="A307" s="1" t="s">
        <v>1355</v>
      </c>
      <c r="B307" s="1" t="s">
        <v>42</v>
      </c>
      <c r="C307" s="1">
        <v>-0.47411900000000001</v>
      </c>
      <c r="D307" s="1">
        <v>27.184329000000002</v>
      </c>
      <c r="E307" s="1" t="s">
        <v>1553</v>
      </c>
      <c r="F307" s="1" t="s">
        <v>1558</v>
      </c>
    </row>
    <row r="308" spans="1:6" x14ac:dyDescent="0.25">
      <c r="A308" s="1" t="s">
        <v>1058</v>
      </c>
      <c r="B308" s="1" t="s">
        <v>35</v>
      </c>
      <c r="C308" s="1">
        <v>3.1362930000000002</v>
      </c>
      <c r="D308" s="1">
        <v>16.190878000000001</v>
      </c>
      <c r="E308" s="1" t="s">
        <v>1557</v>
      </c>
      <c r="F308" s="1" t="s">
        <v>1564</v>
      </c>
    </row>
    <row r="309" spans="1:6" x14ac:dyDescent="0.25">
      <c r="A309" s="1" t="s">
        <v>1368</v>
      </c>
      <c r="B309" s="1" t="s">
        <v>76</v>
      </c>
      <c r="C309" s="1">
        <v>-1.6488929999999999</v>
      </c>
      <c r="D309" s="1">
        <v>27.284617000000001</v>
      </c>
      <c r="E309" s="1" t="s">
        <v>1553</v>
      </c>
      <c r="F309" s="1" t="s">
        <v>1564</v>
      </c>
    </row>
    <row r="310" spans="1:6" x14ac:dyDescent="0.25">
      <c r="A310" s="1" t="s">
        <v>1333</v>
      </c>
      <c r="B310" s="1" t="s">
        <v>128</v>
      </c>
      <c r="C310" s="1">
        <v>-6.5332999999999997</v>
      </c>
      <c r="D310" s="1">
        <v>20.098018</v>
      </c>
      <c r="E310" s="1" t="s">
        <v>1555</v>
      </c>
      <c r="F310" s="1" t="s">
        <v>1556</v>
      </c>
    </row>
    <row r="311" spans="1:6" x14ac:dyDescent="0.25">
      <c r="A311" s="1" t="s">
        <v>1646</v>
      </c>
      <c r="B311" s="1" t="s">
        <v>86</v>
      </c>
      <c r="C311" s="1">
        <v>-11.472474999999999</v>
      </c>
      <c r="D311" s="1">
        <v>27.418900000000001</v>
      </c>
      <c r="E311" s="1" t="s">
        <v>1555</v>
      </c>
      <c r="F311" s="1" t="s">
        <v>1558</v>
      </c>
    </row>
    <row r="312" spans="1:6" x14ac:dyDescent="0.25">
      <c r="A312" s="1" t="s">
        <v>1121</v>
      </c>
      <c r="B312" s="1" t="s">
        <v>62</v>
      </c>
      <c r="C312" s="1">
        <v>-1.6097570000000001</v>
      </c>
      <c r="D312" s="1">
        <v>30.661662</v>
      </c>
      <c r="E312" s="1" t="s">
        <v>1555</v>
      </c>
      <c r="F312" s="1" t="s">
        <v>1554</v>
      </c>
    </row>
    <row r="313" spans="1:6" x14ac:dyDescent="0.25">
      <c r="A313" s="1" t="s">
        <v>1035</v>
      </c>
      <c r="B313" s="1" t="s">
        <v>71</v>
      </c>
      <c r="C313" s="1">
        <v>0.23583499999999999</v>
      </c>
      <c r="D313" s="1">
        <v>24.889558999999998</v>
      </c>
      <c r="E313" s="1" t="s">
        <v>1557</v>
      </c>
      <c r="F313" s="1" t="s">
        <v>1558</v>
      </c>
    </row>
    <row r="314" spans="1:6" x14ac:dyDescent="0.25">
      <c r="A314" s="1" t="s">
        <v>1170</v>
      </c>
      <c r="B314" s="1" t="s">
        <v>35</v>
      </c>
      <c r="C314" s="1">
        <v>-10.481026999999999</v>
      </c>
      <c r="D314" s="1">
        <v>18.160464000000001</v>
      </c>
      <c r="E314" s="1" t="s">
        <v>1553</v>
      </c>
      <c r="F314" s="1" t="s">
        <v>1556</v>
      </c>
    </row>
    <row r="315" spans="1:6" x14ac:dyDescent="0.25">
      <c r="A315" s="1" t="s">
        <v>1163</v>
      </c>
      <c r="B315" s="1" t="s">
        <v>134</v>
      </c>
      <c r="C315" s="1">
        <v>-9.5243310000000001</v>
      </c>
      <c r="D315" s="1">
        <v>30.541212000000002</v>
      </c>
      <c r="E315" s="1" t="s">
        <v>1557</v>
      </c>
      <c r="F315" s="1" t="s">
        <v>1554</v>
      </c>
    </row>
    <row r="316" spans="1:6" x14ac:dyDescent="0.25">
      <c r="A316" s="1" t="s">
        <v>1079</v>
      </c>
      <c r="B316" s="1" t="s">
        <v>24</v>
      </c>
      <c r="C316" s="1">
        <v>-4.4697000000000001E-2</v>
      </c>
      <c r="D316" s="1">
        <v>22.943373000000001</v>
      </c>
      <c r="E316" s="1" t="s">
        <v>1557</v>
      </c>
      <c r="F316" s="1" t="s">
        <v>1556</v>
      </c>
    </row>
    <row r="317" spans="1:6" x14ac:dyDescent="0.25">
      <c r="A317" s="1" t="s">
        <v>1505</v>
      </c>
      <c r="B317" s="1" t="s">
        <v>24</v>
      </c>
      <c r="C317" s="1">
        <v>-2.3269820000000001</v>
      </c>
      <c r="D317" s="1">
        <v>14.609259</v>
      </c>
      <c r="E317" s="1" t="s">
        <v>1557</v>
      </c>
      <c r="F317" s="1" t="s">
        <v>1564</v>
      </c>
    </row>
    <row r="318" spans="1:6" x14ac:dyDescent="0.25">
      <c r="A318" s="1" t="s">
        <v>1647</v>
      </c>
      <c r="B318" s="1" t="s">
        <v>8</v>
      </c>
      <c r="C318" s="1">
        <v>-4.1938139999999997</v>
      </c>
      <c r="D318" s="1">
        <v>27.892115</v>
      </c>
      <c r="E318" s="1" t="s">
        <v>1553</v>
      </c>
      <c r="F318" s="1" t="s">
        <v>1554</v>
      </c>
    </row>
    <row r="319" spans="1:6" x14ac:dyDescent="0.25">
      <c r="A319" s="1" t="s">
        <v>1049</v>
      </c>
      <c r="B319" s="1" t="s">
        <v>128</v>
      </c>
      <c r="C319" s="1">
        <v>-11.866133</v>
      </c>
      <c r="D319" s="1">
        <v>27.068932</v>
      </c>
      <c r="E319" s="1" t="s">
        <v>1557</v>
      </c>
      <c r="F319" s="1" t="s">
        <v>1556</v>
      </c>
    </row>
    <row r="320" spans="1:6" x14ac:dyDescent="0.25">
      <c r="A320" s="1" t="s">
        <v>1648</v>
      </c>
      <c r="B320" s="1" t="s">
        <v>16</v>
      </c>
      <c r="C320" s="1">
        <v>-3.2700629999999999</v>
      </c>
      <c r="D320" s="1">
        <v>26.520330000000001</v>
      </c>
      <c r="E320" s="1" t="s">
        <v>1553</v>
      </c>
      <c r="F320" s="1" t="s">
        <v>1564</v>
      </c>
    </row>
    <row r="321" spans="1:6" x14ac:dyDescent="0.25">
      <c r="A321" s="1" t="s">
        <v>1082</v>
      </c>
      <c r="B321" s="1" t="s">
        <v>134</v>
      </c>
      <c r="C321" s="1">
        <v>-7.4608439999999998</v>
      </c>
      <c r="D321" s="1">
        <v>23.268619999999999</v>
      </c>
      <c r="E321" s="1" t="s">
        <v>1555</v>
      </c>
      <c r="F321" s="1" t="s">
        <v>1556</v>
      </c>
    </row>
    <row r="322" spans="1:6" x14ac:dyDescent="0.25">
      <c r="A322" s="1" t="s">
        <v>1128</v>
      </c>
      <c r="B322" s="1" t="s">
        <v>22</v>
      </c>
      <c r="C322" s="1">
        <v>-3.3890790000000002</v>
      </c>
      <c r="D322" s="1">
        <v>18.374571</v>
      </c>
      <c r="E322" s="1" t="s">
        <v>1553</v>
      </c>
      <c r="F322" s="1" t="s">
        <v>1558</v>
      </c>
    </row>
    <row r="323" spans="1:6" x14ac:dyDescent="0.25">
      <c r="A323" s="1" t="s">
        <v>1213</v>
      </c>
      <c r="B323" s="1" t="s">
        <v>22</v>
      </c>
      <c r="C323" s="1">
        <v>2.016505</v>
      </c>
      <c r="D323" s="1">
        <v>14.294164</v>
      </c>
      <c r="E323" s="1" t="s">
        <v>1553</v>
      </c>
      <c r="F323" s="1" t="s">
        <v>1556</v>
      </c>
    </row>
    <row r="324" spans="1:6" x14ac:dyDescent="0.25">
      <c r="A324" s="1" t="s">
        <v>1649</v>
      </c>
      <c r="B324" s="1" t="s">
        <v>38</v>
      </c>
      <c r="C324" s="1">
        <v>-4.9124689999999998</v>
      </c>
      <c r="D324" s="1">
        <v>14.683498999999999</v>
      </c>
      <c r="E324" s="1" t="s">
        <v>1557</v>
      </c>
      <c r="F324" s="1" t="s">
        <v>1558</v>
      </c>
    </row>
    <row r="325" spans="1:6" x14ac:dyDescent="0.25">
      <c r="A325" s="1" t="s">
        <v>1045</v>
      </c>
      <c r="B325" s="1" t="s">
        <v>58</v>
      </c>
      <c r="C325" s="1">
        <v>4.9250049999999996</v>
      </c>
      <c r="D325" s="1">
        <v>19.887931999999999</v>
      </c>
      <c r="E325" s="1" t="s">
        <v>1555</v>
      </c>
      <c r="F325" s="1" t="s">
        <v>1556</v>
      </c>
    </row>
    <row r="326" spans="1:6" x14ac:dyDescent="0.25">
      <c r="A326" s="1" t="s">
        <v>1115</v>
      </c>
      <c r="B326" s="1" t="s">
        <v>55</v>
      </c>
      <c r="C326" s="1">
        <v>-12.333232000000001</v>
      </c>
      <c r="D326" s="1">
        <v>25.229620000000001</v>
      </c>
      <c r="E326" s="1" t="s">
        <v>1553</v>
      </c>
      <c r="F326" s="1" t="s">
        <v>1564</v>
      </c>
    </row>
    <row r="327" spans="1:6" x14ac:dyDescent="0.25">
      <c r="A327" s="1" t="s">
        <v>1147</v>
      </c>
      <c r="B327" s="1" t="s">
        <v>62</v>
      </c>
      <c r="C327" s="1">
        <v>-11.991020000000001</v>
      </c>
      <c r="D327" s="1">
        <v>22.514747</v>
      </c>
      <c r="E327" s="1" t="s">
        <v>1553</v>
      </c>
      <c r="F327" s="1" t="s">
        <v>1558</v>
      </c>
    </row>
    <row r="328" spans="1:6" x14ac:dyDescent="0.25">
      <c r="A328" s="1" t="s">
        <v>1650</v>
      </c>
      <c r="B328" s="1" t="s">
        <v>128</v>
      </c>
      <c r="C328" s="1">
        <v>1.1800139999999999</v>
      </c>
      <c r="D328" s="1">
        <v>20.334562999999999</v>
      </c>
      <c r="E328" s="1" t="s">
        <v>1557</v>
      </c>
      <c r="F328" s="1" t="s">
        <v>1558</v>
      </c>
    </row>
    <row r="329" spans="1:6" x14ac:dyDescent="0.25">
      <c r="A329" s="1" t="s">
        <v>918</v>
      </c>
      <c r="B329" s="1" t="s">
        <v>35</v>
      </c>
      <c r="C329" s="1">
        <v>-12.229338</v>
      </c>
      <c r="D329" s="1">
        <v>29.587834999999998</v>
      </c>
      <c r="E329" s="1" t="s">
        <v>1555</v>
      </c>
      <c r="F329" s="1" t="s">
        <v>1564</v>
      </c>
    </row>
    <row r="330" spans="1:6" x14ac:dyDescent="0.25">
      <c r="A330" s="1" t="s">
        <v>1158</v>
      </c>
      <c r="B330" s="1" t="s">
        <v>134</v>
      </c>
      <c r="C330" s="1">
        <v>-10.872631999999999</v>
      </c>
      <c r="D330" s="1">
        <v>12.773279</v>
      </c>
      <c r="E330" s="1" t="s">
        <v>1557</v>
      </c>
      <c r="F330" s="1" t="s">
        <v>1558</v>
      </c>
    </row>
    <row r="331" spans="1:6" x14ac:dyDescent="0.25">
      <c r="A331" s="1" t="s">
        <v>1167</v>
      </c>
      <c r="B331" s="1" t="s">
        <v>24</v>
      </c>
      <c r="C331" s="1">
        <v>1.5278670000000001</v>
      </c>
      <c r="D331" s="1">
        <v>13.899388999999999</v>
      </c>
      <c r="E331" s="1" t="s">
        <v>1557</v>
      </c>
      <c r="F331" s="1" t="s">
        <v>1556</v>
      </c>
    </row>
    <row r="332" spans="1:6" x14ac:dyDescent="0.25">
      <c r="A332" s="1" t="s">
        <v>1272</v>
      </c>
      <c r="B332" s="1" t="s">
        <v>49</v>
      </c>
      <c r="C332" s="1">
        <v>-0.98830399999999996</v>
      </c>
      <c r="D332" s="1">
        <v>28.099966999999999</v>
      </c>
      <c r="E332" s="1" t="s">
        <v>1557</v>
      </c>
      <c r="F332" s="1" t="s">
        <v>1556</v>
      </c>
    </row>
    <row r="333" spans="1:6" x14ac:dyDescent="0.25">
      <c r="A333" s="1" t="s">
        <v>1651</v>
      </c>
      <c r="B333" s="1" t="s">
        <v>86</v>
      </c>
      <c r="C333" s="1">
        <v>-4.749333</v>
      </c>
      <c r="D333" s="1">
        <v>23.636389000000001</v>
      </c>
      <c r="E333" s="1" t="s">
        <v>1557</v>
      </c>
      <c r="F333" s="1" t="s">
        <v>1558</v>
      </c>
    </row>
    <row r="334" spans="1:6" x14ac:dyDescent="0.25">
      <c r="A334" s="1" t="s">
        <v>862</v>
      </c>
      <c r="B334" s="1" t="s">
        <v>58</v>
      </c>
      <c r="C334" s="1">
        <v>-0.79459900000000006</v>
      </c>
      <c r="D334" s="1">
        <v>26.775570999999999</v>
      </c>
      <c r="E334" s="1" t="s">
        <v>1553</v>
      </c>
      <c r="F334" s="1" t="s">
        <v>1556</v>
      </c>
    </row>
    <row r="335" spans="1:6" x14ac:dyDescent="0.25">
      <c r="A335" s="1" t="s">
        <v>1652</v>
      </c>
      <c r="B335" s="1" t="s">
        <v>19</v>
      </c>
      <c r="C335" s="1">
        <v>2.7365970000000002</v>
      </c>
      <c r="D335" s="1">
        <v>12.296976000000001</v>
      </c>
      <c r="E335" s="1" t="s">
        <v>1555</v>
      </c>
      <c r="F335" s="1" t="s">
        <v>1558</v>
      </c>
    </row>
    <row r="336" spans="1:6" x14ac:dyDescent="0.25">
      <c r="A336" s="1" t="s">
        <v>1512</v>
      </c>
      <c r="B336" s="1" t="s">
        <v>76</v>
      </c>
      <c r="C336" s="1">
        <v>-10.318835</v>
      </c>
      <c r="D336" s="1">
        <v>21.252382000000001</v>
      </c>
      <c r="E336" s="1" t="s">
        <v>1555</v>
      </c>
      <c r="F336" s="1" t="s">
        <v>1554</v>
      </c>
    </row>
    <row r="337" spans="1:6" x14ac:dyDescent="0.25">
      <c r="A337" s="1" t="s">
        <v>1236</v>
      </c>
      <c r="B337" s="1" t="s">
        <v>11</v>
      </c>
      <c r="C337" s="1">
        <v>-2.571777</v>
      </c>
      <c r="D337" s="1">
        <v>12.120642</v>
      </c>
      <c r="E337" s="1" t="s">
        <v>1557</v>
      </c>
      <c r="F337" s="1" t="s">
        <v>1556</v>
      </c>
    </row>
    <row r="338" spans="1:6" x14ac:dyDescent="0.25">
      <c r="A338" s="1" t="s">
        <v>1653</v>
      </c>
      <c r="B338" s="1" t="s">
        <v>33</v>
      </c>
      <c r="C338" s="1">
        <v>3.6466850000000002</v>
      </c>
      <c r="D338" s="1">
        <v>15.408844</v>
      </c>
      <c r="E338" s="1" t="s">
        <v>1557</v>
      </c>
      <c r="F338" s="1" t="s">
        <v>1558</v>
      </c>
    </row>
    <row r="339" spans="1:6" x14ac:dyDescent="0.25">
      <c r="A339" s="1" t="s">
        <v>1150</v>
      </c>
      <c r="B339" s="1" t="s">
        <v>128</v>
      </c>
      <c r="C339" s="1">
        <v>-12.336202</v>
      </c>
      <c r="D339" s="1">
        <v>13.693683999999999</v>
      </c>
      <c r="E339" s="1" t="s">
        <v>1553</v>
      </c>
      <c r="F339" s="1" t="s">
        <v>1556</v>
      </c>
    </row>
    <row r="340" spans="1:6" x14ac:dyDescent="0.25">
      <c r="A340" s="1" t="s">
        <v>1654</v>
      </c>
      <c r="B340" s="1" t="s">
        <v>60</v>
      </c>
      <c r="C340" s="1">
        <v>-10.451371</v>
      </c>
      <c r="D340" s="1">
        <v>24.38336</v>
      </c>
      <c r="E340" s="1" t="s">
        <v>1557</v>
      </c>
      <c r="F340" s="1" t="s">
        <v>1554</v>
      </c>
    </row>
    <row r="341" spans="1:6" x14ac:dyDescent="0.25">
      <c r="A341" s="1" t="s">
        <v>911</v>
      </c>
      <c r="B341" s="1" t="s">
        <v>14</v>
      </c>
      <c r="C341" s="1">
        <v>-1.231033</v>
      </c>
      <c r="D341" s="1">
        <v>28.851388</v>
      </c>
      <c r="E341" s="1" t="s">
        <v>1557</v>
      </c>
      <c r="F341" s="1" t="s">
        <v>1554</v>
      </c>
    </row>
    <row r="342" spans="1:6" x14ac:dyDescent="0.25">
      <c r="A342" s="1" t="s">
        <v>1655</v>
      </c>
      <c r="B342" s="1" t="s">
        <v>14</v>
      </c>
      <c r="C342" s="1">
        <v>-4.5180470000000001</v>
      </c>
      <c r="D342" s="1">
        <v>19.908223</v>
      </c>
      <c r="E342" s="1" t="s">
        <v>1553</v>
      </c>
      <c r="F342" s="1" t="s">
        <v>1556</v>
      </c>
    </row>
    <row r="343" spans="1:6" x14ac:dyDescent="0.25">
      <c r="A343" s="1" t="s">
        <v>1656</v>
      </c>
      <c r="B343" s="1" t="s">
        <v>38</v>
      </c>
      <c r="C343" s="1">
        <v>3.524343</v>
      </c>
      <c r="D343" s="1">
        <v>27.340824000000001</v>
      </c>
      <c r="E343" s="1" t="s">
        <v>1555</v>
      </c>
      <c r="F343" s="1" t="s">
        <v>1554</v>
      </c>
    </row>
    <row r="344" spans="1:6" x14ac:dyDescent="0.25">
      <c r="A344" s="1" t="s">
        <v>1657</v>
      </c>
      <c r="B344" s="1" t="s">
        <v>19</v>
      </c>
      <c r="C344" s="1">
        <v>-12.17557</v>
      </c>
      <c r="D344" s="1">
        <v>26.678691000000001</v>
      </c>
      <c r="E344" s="1" t="s">
        <v>1555</v>
      </c>
      <c r="F344" s="1" t="s">
        <v>1556</v>
      </c>
    </row>
    <row r="345" spans="1:6" x14ac:dyDescent="0.25">
      <c r="A345" s="1" t="s">
        <v>1176</v>
      </c>
      <c r="B345" s="1" t="s">
        <v>58</v>
      </c>
      <c r="C345" s="1">
        <v>-0.37665700000000002</v>
      </c>
      <c r="D345" s="1">
        <v>25.154807999999999</v>
      </c>
      <c r="E345" s="1" t="s">
        <v>1557</v>
      </c>
      <c r="F345" s="1" t="s">
        <v>1564</v>
      </c>
    </row>
    <row r="346" spans="1:6" x14ac:dyDescent="0.25">
      <c r="A346" s="1" t="s">
        <v>998</v>
      </c>
      <c r="B346" s="1" t="s">
        <v>76</v>
      </c>
      <c r="C346" s="1">
        <v>-10.650321</v>
      </c>
      <c r="D346" s="1">
        <v>15.917044000000001</v>
      </c>
      <c r="E346" s="1" t="s">
        <v>1555</v>
      </c>
      <c r="F346" s="1" t="s">
        <v>1564</v>
      </c>
    </row>
    <row r="347" spans="1:6" x14ac:dyDescent="0.25">
      <c r="A347" s="1" t="s">
        <v>797</v>
      </c>
      <c r="B347" s="1" t="s">
        <v>38</v>
      </c>
      <c r="C347" s="1">
        <v>-9.8995180000000005</v>
      </c>
      <c r="D347" s="1">
        <v>24.156687999999999</v>
      </c>
      <c r="E347" s="1" t="s">
        <v>1555</v>
      </c>
      <c r="F347" s="1" t="s">
        <v>1554</v>
      </c>
    </row>
    <row r="348" spans="1:6" x14ac:dyDescent="0.25">
      <c r="A348" s="1" t="s">
        <v>1108</v>
      </c>
      <c r="B348" s="1" t="s">
        <v>124</v>
      </c>
      <c r="C348" s="1">
        <v>-12.100756000000001</v>
      </c>
      <c r="D348" s="1">
        <v>21.938649999999999</v>
      </c>
      <c r="E348" s="1" t="s">
        <v>1555</v>
      </c>
      <c r="F348" s="1" t="s">
        <v>1556</v>
      </c>
    </row>
    <row r="349" spans="1:6" x14ac:dyDescent="0.25">
      <c r="A349" s="1" t="s">
        <v>1658</v>
      </c>
      <c r="B349" s="1" t="s">
        <v>134</v>
      </c>
      <c r="C349" s="1">
        <v>-7.4679279999999997</v>
      </c>
      <c r="D349" s="1">
        <v>19.828595</v>
      </c>
      <c r="E349" s="1" t="s">
        <v>1553</v>
      </c>
      <c r="F349" s="1" t="s">
        <v>1564</v>
      </c>
    </row>
    <row r="350" spans="1:6" x14ac:dyDescent="0.25">
      <c r="A350" s="1" t="s">
        <v>1277</v>
      </c>
      <c r="B350" s="1" t="s">
        <v>134</v>
      </c>
      <c r="C350" s="1">
        <v>1.286548</v>
      </c>
      <c r="D350" s="1">
        <v>29.823702999999998</v>
      </c>
      <c r="E350" s="1" t="s">
        <v>1555</v>
      </c>
      <c r="F350" s="1" t="s">
        <v>1558</v>
      </c>
    </row>
    <row r="351" spans="1:6" x14ac:dyDescent="0.25">
      <c r="A351" s="1" t="s">
        <v>942</v>
      </c>
      <c r="B351" s="1" t="s">
        <v>33</v>
      </c>
      <c r="C351" s="1">
        <v>-4.7886769999999999</v>
      </c>
      <c r="D351" s="1">
        <v>23.600221999999999</v>
      </c>
      <c r="E351" s="1" t="s">
        <v>1557</v>
      </c>
      <c r="F351" s="1" t="s">
        <v>1558</v>
      </c>
    </row>
    <row r="352" spans="1:6" x14ac:dyDescent="0.25">
      <c r="A352" s="1" t="s">
        <v>791</v>
      </c>
      <c r="B352" s="1" t="s">
        <v>55</v>
      </c>
      <c r="C352" s="1">
        <v>1.7832440000000001</v>
      </c>
      <c r="D352" s="1">
        <v>25.477405999999998</v>
      </c>
      <c r="E352" s="1" t="s">
        <v>1553</v>
      </c>
      <c r="F352" s="1" t="s">
        <v>1556</v>
      </c>
    </row>
    <row r="353" spans="1:6" x14ac:dyDescent="0.25">
      <c r="A353" s="1" t="s">
        <v>1659</v>
      </c>
      <c r="B353" s="1" t="s">
        <v>33</v>
      </c>
      <c r="C353" s="1">
        <v>-4.8560549999999996</v>
      </c>
      <c r="D353" s="1">
        <v>15.889538999999999</v>
      </c>
      <c r="E353" s="1" t="s">
        <v>1557</v>
      </c>
      <c r="F353" s="1" t="s">
        <v>1556</v>
      </c>
    </row>
    <row r="354" spans="1:6" x14ac:dyDescent="0.25">
      <c r="A354" s="1" t="s">
        <v>1660</v>
      </c>
      <c r="B354" s="1" t="s">
        <v>29</v>
      </c>
      <c r="C354" s="1">
        <v>-8.6707929999999998</v>
      </c>
      <c r="D354" s="1">
        <v>30.643781000000001</v>
      </c>
      <c r="E354" s="1" t="s">
        <v>1555</v>
      </c>
      <c r="F354" s="1" t="s">
        <v>1556</v>
      </c>
    </row>
    <row r="355" spans="1:6" x14ac:dyDescent="0.25">
      <c r="A355" s="1" t="s">
        <v>1661</v>
      </c>
      <c r="B355" s="1" t="s">
        <v>27</v>
      </c>
      <c r="C355" s="1">
        <v>-2.947235</v>
      </c>
      <c r="D355" s="1">
        <v>16.534020999999999</v>
      </c>
      <c r="E355" s="1" t="s">
        <v>1557</v>
      </c>
      <c r="F355" s="1" t="s">
        <v>1564</v>
      </c>
    </row>
    <row r="356" spans="1:6" x14ac:dyDescent="0.25">
      <c r="A356" s="1" t="s">
        <v>871</v>
      </c>
      <c r="B356" s="1" t="s">
        <v>22</v>
      </c>
      <c r="C356" s="1">
        <v>-12.776386</v>
      </c>
      <c r="D356" s="1">
        <v>14.157596</v>
      </c>
      <c r="E356" s="1" t="s">
        <v>1557</v>
      </c>
      <c r="F356" s="1" t="s">
        <v>1564</v>
      </c>
    </row>
    <row r="357" spans="1:6" x14ac:dyDescent="0.25">
      <c r="A357" s="1" t="s">
        <v>1030</v>
      </c>
      <c r="B357" s="1" t="s">
        <v>22</v>
      </c>
      <c r="C357" s="1">
        <v>0.172153</v>
      </c>
      <c r="D357" s="1">
        <v>21.091376</v>
      </c>
      <c r="E357" s="1" t="s">
        <v>1557</v>
      </c>
      <c r="F357" s="1" t="s">
        <v>1554</v>
      </c>
    </row>
    <row r="358" spans="1:6" x14ac:dyDescent="0.25">
      <c r="A358" s="1" t="s">
        <v>893</v>
      </c>
      <c r="B358" s="1" t="s">
        <v>14</v>
      </c>
      <c r="C358" s="1">
        <v>4.0988100000000003</v>
      </c>
      <c r="D358" s="1">
        <v>29.843810999999999</v>
      </c>
      <c r="E358" s="1" t="s">
        <v>1557</v>
      </c>
      <c r="F358" s="1" t="s">
        <v>1556</v>
      </c>
    </row>
    <row r="359" spans="1:6" x14ac:dyDescent="0.25">
      <c r="A359" s="1" t="s">
        <v>1293</v>
      </c>
      <c r="B359" s="1" t="s">
        <v>29</v>
      </c>
      <c r="C359" s="1">
        <v>-10.611184</v>
      </c>
      <c r="D359" s="1">
        <v>23.022268</v>
      </c>
      <c r="E359" s="1" t="s">
        <v>1553</v>
      </c>
      <c r="F359" s="1" t="s">
        <v>1558</v>
      </c>
    </row>
    <row r="360" spans="1:6" x14ac:dyDescent="0.25">
      <c r="A360" s="1" t="s">
        <v>1432</v>
      </c>
      <c r="B360" s="1" t="s">
        <v>27</v>
      </c>
      <c r="C360" s="1">
        <v>-7.6757720000000003</v>
      </c>
      <c r="D360" s="1">
        <v>30.222971000000001</v>
      </c>
      <c r="E360" s="1" t="s">
        <v>1553</v>
      </c>
      <c r="F360" s="1" t="s">
        <v>1554</v>
      </c>
    </row>
    <row r="361" spans="1:6" x14ac:dyDescent="0.25">
      <c r="A361" s="1" t="s">
        <v>1131</v>
      </c>
      <c r="B361" s="1" t="s">
        <v>86</v>
      </c>
      <c r="C361" s="1">
        <v>-1.342476</v>
      </c>
      <c r="D361" s="1">
        <v>15.986086</v>
      </c>
      <c r="E361" s="1" t="s">
        <v>1555</v>
      </c>
      <c r="F361" s="1" t="s">
        <v>1554</v>
      </c>
    </row>
    <row r="362" spans="1:6" x14ac:dyDescent="0.25">
      <c r="A362" s="1" t="s">
        <v>1662</v>
      </c>
      <c r="B362" s="1" t="s">
        <v>58</v>
      </c>
      <c r="C362" s="1">
        <v>-11.366868999999999</v>
      </c>
      <c r="D362" s="1">
        <v>26.155318000000001</v>
      </c>
      <c r="E362" s="1" t="s">
        <v>1555</v>
      </c>
      <c r="F362" s="1" t="s">
        <v>1556</v>
      </c>
    </row>
    <row r="363" spans="1:6" x14ac:dyDescent="0.25">
      <c r="A363" s="1" t="s">
        <v>1356</v>
      </c>
      <c r="B363" s="1" t="s">
        <v>55</v>
      </c>
      <c r="C363" s="1">
        <v>-4.3639070000000002</v>
      </c>
      <c r="D363" s="1">
        <v>16.283307000000001</v>
      </c>
      <c r="E363" s="1" t="s">
        <v>1553</v>
      </c>
      <c r="F363" s="1" t="s">
        <v>1556</v>
      </c>
    </row>
    <row r="364" spans="1:6" x14ac:dyDescent="0.25">
      <c r="A364" s="1" t="s">
        <v>1221</v>
      </c>
      <c r="B364" s="1" t="s">
        <v>38</v>
      </c>
      <c r="C364" s="1">
        <v>-7.5129409999999996</v>
      </c>
      <c r="D364" s="1">
        <v>18.701522000000001</v>
      </c>
      <c r="E364" s="1" t="s">
        <v>1555</v>
      </c>
      <c r="F364" s="1" t="s">
        <v>1564</v>
      </c>
    </row>
    <row r="365" spans="1:6" x14ac:dyDescent="0.25">
      <c r="A365" s="1" t="s">
        <v>842</v>
      </c>
      <c r="B365" s="1" t="s">
        <v>8</v>
      </c>
      <c r="C365" s="1">
        <v>-0.34051900000000002</v>
      </c>
      <c r="D365" s="1">
        <v>17.079799000000001</v>
      </c>
      <c r="E365" s="1" t="s">
        <v>1553</v>
      </c>
      <c r="F365" s="1" t="s">
        <v>1554</v>
      </c>
    </row>
    <row r="366" spans="1:6" x14ac:dyDescent="0.25">
      <c r="A366" s="1" t="s">
        <v>803</v>
      </c>
      <c r="B366" s="1" t="s">
        <v>71</v>
      </c>
      <c r="C366" s="1">
        <v>2.4425979999999998</v>
      </c>
      <c r="D366" s="1">
        <v>24.924308</v>
      </c>
      <c r="E366" s="1" t="s">
        <v>1553</v>
      </c>
      <c r="F366" s="1" t="s">
        <v>1554</v>
      </c>
    </row>
    <row r="367" spans="1:6" x14ac:dyDescent="0.25">
      <c r="A367" s="1" t="s">
        <v>1423</v>
      </c>
      <c r="B367" s="1" t="s">
        <v>24</v>
      </c>
      <c r="C367" s="1">
        <v>0.45116099999999998</v>
      </c>
      <c r="D367" s="1">
        <v>17.265761000000001</v>
      </c>
      <c r="E367" s="1" t="s">
        <v>1555</v>
      </c>
      <c r="F367" s="1" t="s">
        <v>1556</v>
      </c>
    </row>
    <row r="368" spans="1:6" x14ac:dyDescent="0.25">
      <c r="A368" s="1" t="s">
        <v>1411</v>
      </c>
      <c r="B368" s="1" t="s">
        <v>31</v>
      </c>
      <c r="C368" s="1">
        <v>-12.560556999999999</v>
      </c>
      <c r="D368" s="1">
        <v>13.204014000000001</v>
      </c>
      <c r="E368" s="1" t="s">
        <v>1555</v>
      </c>
      <c r="F368" s="1" t="s">
        <v>1554</v>
      </c>
    </row>
    <row r="369" spans="1:6" x14ac:dyDescent="0.25">
      <c r="A369" s="1" t="s">
        <v>1231</v>
      </c>
      <c r="B369" s="1" t="s">
        <v>86</v>
      </c>
      <c r="C369" s="1">
        <v>-4.8128659999999996</v>
      </c>
      <c r="D369" s="1">
        <v>18.559304999999998</v>
      </c>
      <c r="E369" s="1" t="s">
        <v>1553</v>
      </c>
      <c r="F369" s="1" t="s">
        <v>1558</v>
      </c>
    </row>
    <row r="370" spans="1:6" x14ac:dyDescent="0.25">
      <c r="A370" s="1" t="s">
        <v>1663</v>
      </c>
      <c r="B370" s="1" t="s">
        <v>24</v>
      </c>
      <c r="C370" s="1">
        <v>0.89302999999999999</v>
      </c>
      <c r="D370" s="1">
        <v>21.238310999999999</v>
      </c>
      <c r="E370" s="1" t="s">
        <v>1553</v>
      </c>
      <c r="F370" s="1" t="s">
        <v>1556</v>
      </c>
    </row>
    <row r="371" spans="1:6" x14ac:dyDescent="0.25">
      <c r="A371" s="1" t="s">
        <v>1664</v>
      </c>
      <c r="B371" s="1" t="s">
        <v>124</v>
      </c>
      <c r="C371" s="1">
        <v>2.7355830000000001</v>
      </c>
      <c r="D371" s="1">
        <v>22.006969000000002</v>
      </c>
      <c r="E371" s="1" t="s">
        <v>1553</v>
      </c>
      <c r="F371" s="1" t="s">
        <v>1554</v>
      </c>
    </row>
    <row r="372" spans="1:6" x14ac:dyDescent="0.25">
      <c r="A372" s="1" t="s">
        <v>1116</v>
      </c>
      <c r="B372" s="1" t="s">
        <v>65</v>
      </c>
      <c r="C372" s="1">
        <v>-5.7035130000000001</v>
      </c>
      <c r="D372" s="1">
        <v>14.331479</v>
      </c>
      <c r="E372" s="1" t="s">
        <v>1553</v>
      </c>
      <c r="F372" s="1" t="s">
        <v>1564</v>
      </c>
    </row>
    <row r="373" spans="1:6" x14ac:dyDescent="0.25">
      <c r="A373" s="1" t="s">
        <v>993</v>
      </c>
      <c r="B373" s="1" t="s">
        <v>62</v>
      </c>
      <c r="C373" s="1">
        <v>1.217457</v>
      </c>
      <c r="D373" s="1">
        <v>25.48668</v>
      </c>
      <c r="E373" s="1" t="s">
        <v>1553</v>
      </c>
      <c r="F373" s="1" t="s">
        <v>1564</v>
      </c>
    </row>
    <row r="374" spans="1:6" x14ac:dyDescent="0.25">
      <c r="A374" s="1" t="s">
        <v>814</v>
      </c>
      <c r="B374" s="1" t="s">
        <v>16</v>
      </c>
      <c r="C374" s="1">
        <v>-6.3324319999999998</v>
      </c>
      <c r="D374" s="1">
        <v>24.887858000000001</v>
      </c>
      <c r="E374" s="1" t="s">
        <v>1555</v>
      </c>
      <c r="F374" s="1" t="s">
        <v>1558</v>
      </c>
    </row>
    <row r="375" spans="1:6" x14ac:dyDescent="0.25">
      <c r="A375" s="1" t="s">
        <v>1534</v>
      </c>
      <c r="B375" s="1" t="s">
        <v>8</v>
      </c>
      <c r="C375" s="1">
        <v>-4.6426759999999998</v>
      </c>
      <c r="D375" s="1">
        <v>22.124254000000001</v>
      </c>
      <c r="E375" s="1" t="s">
        <v>1555</v>
      </c>
      <c r="F375" s="1" t="s">
        <v>1558</v>
      </c>
    </row>
    <row r="376" spans="1:6" x14ac:dyDescent="0.25">
      <c r="A376" s="1" t="s">
        <v>1665</v>
      </c>
      <c r="B376" s="1" t="s">
        <v>16</v>
      </c>
      <c r="C376" s="1">
        <v>-1.598759</v>
      </c>
      <c r="D376" s="1">
        <v>17.553023</v>
      </c>
      <c r="E376" s="1" t="s">
        <v>1555</v>
      </c>
      <c r="F376" s="1" t="s">
        <v>1556</v>
      </c>
    </row>
    <row r="377" spans="1:6" x14ac:dyDescent="0.25">
      <c r="A377" s="1" t="s">
        <v>1269</v>
      </c>
      <c r="B377" s="1" t="s">
        <v>55</v>
      </c>
      <c r="C377" s="1">
        <v>2.486888</v>
      </c>
      <c r="D377" s="1">
        <v>23.798074</v>
      </c>
      <c r="E377" s="1" t="s">
        <v>1553</v>
      </c>
      <c r="F377" s="1" t="s">
        <v>1558</v>
      </c>
    </row>
    <row r="378" spans="1:6" x14ac:dyDescent="0.25">
      <c r="A378" s="1" t="s">
        <v>1666</v>
      </c>
      <c r="B378" s="1" t="s">
        <v>55</v>
      </c>
      <c r="C378" s="1">
        <v>-11.727425</v>
      </c>
      <c r="D378" s="1">
        <v>27.198173000000001</v>
      </c>
      <c r="E378" s="1" t="s">
        <v>1557</v>
      </c>
      <c r="F378" s="1" t="s">
        <v>1554</v>
      </c>
    </row>
    <row r="379" spans="1:6" x14ac:dyDescent="0.25">
      <c r="A379" s="1" t="s">
        <v>885</v>
      </c>
      <c r="B379" s="1" t="s">
        <v>76</v>
      </c>
      <c r="C379" s="1">
        <v>3.08182</v>
      </c>
      <c r="D379" s="1">
        <v>29.961940999999999</v>
      </c>
      <c r="E379" s="1" t="s">
        <v>1555</v>
      </c>
      <c r="F379" s="1" t="s">
        <v>1556</v>
      </c>
    </row>
    <row r="380" spans="1:6" x14ac:dyDescent="0.25">
      <c r="A380" s="1" t="s">
        <v>876</v>
      </c>
      <c r="B380" s="1" t="s">
        <v>8</v>
      </c>
      <c r="C380" s="1">
        <v>-7.0076900000000002</v>
      </c>
      <c r="D380" s="1">
        <v>27.367121999999998</v>
      </c>
      <c r="E380" s="1" t="s">
        <v>1557</v>
      </c>
      <c r="F380" s="1" t="s">
        <v>1564</v>
      </c>
    </row>
    <row r="381" spans="1:6" x14ac:dyDescent="0.25">
      <c r="A381" s="1" t="s">
        <v>1667</v>
      </c>
      <c r="B381" s="1" t="s">
        <v>86</v>
      </c>
      <c r="C381" s="1">
        <v>-12.411144999999999</v>
      </c>
      <c r="D381" s="1">
        <v>29.876642</v>
      </c>
      <c r="E381" s="1" t="s">
        <v>1555</v>
      </c>
      <c r="F381" s="1" t="s">
        <v>1554</v>
      </c>
    </row>
    <row r="382" spans="1:6" x14ac:dyDescent="0.25">
      <c r="A382" s="1" t="s">
        <v>1668</v>
      </c>
      <c r="B382" s="1" t="s">
        <v>55</v>
      </c>
      <c r="C382" s="1">
        <v>-5.3337589999999997</v>
      </c>
      <c r="D382" s="1">
        <v>13.246924</v>
      </c>
      <c r="E382" s="1" t="s">
        <v>1557</v>
      </c>
      <c r="F382" s="1" t="s">
        <v>1554</v>
      </c>
    </row>
    <row r="383" spans="1:6" x14ac:dyDescent="0.25">
      <c r="A383" s="1" t="s">
        <v>793</v>
      </c>
      <c r="B383" s="1" t="s">
        <v>86</v>
      </c>
      <c r="C383" s="1">
        <v>-8.1437910000000002</v>
      </c>
      <c r="D383" s="1">
        <v>28.946161</v>
      </c>
      <c r="E383" s="1" t="s">
        <v>1555</v>
      </c>
      <c r="F383" s="1" t="s">
        <v>1558</v>
      </c>
    </row>
    <row r="384" spans="1:6" x14ac:dyDescent="0.25">
      <c r="A384" s="1" t="s">
        <v>1669</v>
      </c>
      <c r="B384" s="1" t="s">
        <v>42</v>
      </c>
      <c r="C384" s="1">
        <v>4.0297190000000001</v>
      </c>
      <c r="D384" s="1">
        <v>20.699608000000001</v>
      </c>
      <c r="E384" s="1" t="s">
        <v>1555</v>
      </c>
      <c r="F384" s="1" t="s">
        <v>1554</v>
      </c>
    </row>
    <row r="385" spans="1:6" x14ac:dyDescent="0.25">
      <c r="A385" s="1" t="s">
        <v>1670</v>
      </c>
      <c r="B385" s="1" t="s">
        <v>86</v>
      </c>
      <c r="C385" s="1">
        <v>-3.2361680000000002</v>
      </c>
      <c r="D385" s="1">
        <v>13.523237999999999</v>
      </c>
      <c r="E385" s="1" t="s">
        <v>1555</v>
      </c>
      <c r="F385" s="1" t="s">
        <v>1556</v>
      </c>
    </row>
    <row r="386" spans="1:6" x14ac:dyDescent="0.25">
      <c r="A386" s="1" t="s">
        <v>1340</v>
      </c>
      <c r="B386" s="1" t="s">
        <v>62</v>
      </c>
      <c r="C386" s="1">
        <v>1.3006180000000001</v>
      </c>
      <c r="D386" s="1">
        <v>29.060970999999999</v>
      </c>
      <c r="E386" s="1" t="s">
        <v>1557</v>
      </c>
      <c r="F386" s="1" t="s">
        <v>1558</v>
      </c>
    </row>
    <row r="387" spans="1:6" x14ac:dyDescent="0.25">
      <c r="A387" s="1" t="s">
        <v>1671</v>
      </c>
      <c r="B387" s="1" t="s">
        <v>8</v>
      </c>
      <c r="C387" s="1">
        <v>1.178453</v>
      </c>
      <c r="D387" s="1">
        <v>17.479081000000001</v>
      </c>
      <c r="E387" s="1" t="s">
        <v>1557</v>
      </c>
      <c r="F387" s="1" t="s">
        <v>1554</v>
      </c>
    </row>
    <row r="388" spans="1:6" x14ac:dyDescent="0.25">
      <c r="A388" s="1" t="s">
        <v>1672</v>
      </c>
      <c r="B388" s="1" t="s">
        <v>60</v>
      </c>
      <c r="C388" s="1">
        <v>-11.542737000000001</v>
      </c>
      <c r="D388" s="1">
        <v>30.175912</v>
      </c>
      <c r="E388" s="1" t="s">
        <v>1555</v>
      </c>
      <c r="F388" s="1" t="s">
        <v>1564</v>
      </c>
    </row>
    <row r="389" spans="1:6" x14ac:dyDescent="0.25">
      <c r="A389" s="1" t="s">
        <v>1476</v>
      </c>
      <c r="B389" s="1" t="s">
        <v>60</v>
      </c>
      <c r="C389" s="1">
        <v>2.8552499999999998</v>
      </c>
      <c r="D389" s="1">
        <v>14.077933</v>
      </c>
      <c r="E389" s="1" t="s">
        <v>1555</v>
      </c>
      <c r="F389" s="1" t="s">
        <v>1558</v>
      </c>
    </row>
    <row r="390" spans="1:6" x14ac:dyDescent="0.25">
      <c r="A390" s="1" t="s">
        <v>1673</v>
      </c>
      <c r="B390" s="1" t="s">
        <v>24</v>
      </c>
      <c r="C390" s="1">
        <v>0.24369399999999999</v>
      </c>
      <c r="D390" s="1">
        <v>17.242912</v>
      </c>
      <c r="E390" s="1" t="s">
        <v>1555</v>
      </c>
      <c r="F390" s="1" t="s">
        <v>1564</v>
      </c>
    </row>
    <row r="391" spans="1:6" x14ac:dyDescent="0.25">
      <c r="A391" s="1" t="s">
        <v>1674</v>
      </c>
      <c r="B391" s="1" t="s">
        <v>16</v>
      </c>
      <c r="C391" s="1">
        <v>-12.013389999999999</v>
      </c>
      <c r="D391" s="1">
        <v>25.24456</v>
      </c>
      <c r="E391" s="1" t="s">
        <v>1557</v>
      </c>
      <c r="F391" s="1" t="s">
        <v>1556</v>
      </c>
    </row>
    <row r="392" spans="1:6" x14ac:dyDescent="0.25">
      <c r="A392" s="1" t="s">
        <v>1198</v>
      </c>
      <c r="B392" s="1" t="s">
        <v>134</v>
      </c>
      <c r="C392" s="1">
        <v>4.0157999999999996</v>
      </c>
      <c r="D392" s="1">
        <v>21.430246</v>
      </c>
      <c r="E392" s="1" t="s">
        <v>1553</v>
      </c>
      <c r="F392" s="1" t="s">
        <v>1564</v>
      </c>
    </row>
    <row r="393" spans="1:6" x14ac:dyDescent="0.25">
      <c r="A393" s="1" t="s">
        <v>1295</v>
      </c>
      <c r="B393" s="1" t="s">
        <v>71</v>
      </c>
      <c r="C393" s="1">
        <v>-0.85624699999999998</v>
      </c>
      <c r="D393" s="1">
        <v>28.624870000000001</v>
      </c>
      <c r="E393" s="1" t="s">
        <v>1557</v>
      </c>
      <c r="F393" s="1" t="s">
        <v>1554</v>
      </c>
    </row>
    <row r="394" spans="1:6" x14ac:dyDescent="0.25">
      <c r="A394" s="1" t="s">
        <v>806</v>
      </c>
      <c r="B394" s="1" t="s">
        <v>60</v>
      </c>
      <c r="C394" s="1">
        <v>2.9836019999999999</v>
      </c>
      <c r="D394" s="1">
        <v>21.893065</v>
      </c>
      <c r="E394" s="1" t="s">
        <v>1553</v>
      </c>
      <c r="F394" s="1" t="s">
        <v>1564</v>
      </c>
    </row>
    <row r="395" spans="1:6" x14ac:dyDescent="0.25">
      <c r="A395" s="1" t="s">
        <v>1274</v>
      </c>
      <c r="B395" s="1" t="s">
        <v>8</v>
      </c>
      <c r="C395" s="1">
        <v>-11.002602</v>
      </c>
      <c r="D395" s="1">
        <v>23.918247999999998</v>
      </c>
      <c r="E395" s="1" t="s">
        <v>1553</v>
      </c>
      <c r="F395" s="1" t="s">
        <v>1558</v>
      </c>
    </row>
    <row r="396" spans="1:6" x14ac:dyDescent="0.25">
      <c r="A396" s="1" t="s">
        <v>1675</v>
      </c>
      <c r="B396" s="1" t="s">
        <v>71</v>
      </c>
      <c r="C396" s="1">
        <v>-6.419365</v>
      </c>
      <c r="D396" s="1">
        <v>17.570219000000002</v>
      </c>
      <c r="E396" s="1" t="s">
        <v>1555</v>
      </c>
      <c r="F396" s="1" t="s">
        <v>1556</v>
      </c>
    </row>
    <row r="397" spans="1:6" x14ac:dyDescent="0.25">
      <c r="A397" s="1" t="s">
        <v>1172</v>
      </c>
      <c r="B397" s="1" t="s">
        <v>128</v>
      </c>
      <c r="C397" s="1">
        <v>-1.8555980000000001</v>
      </c>
      <c r="D397" s="1">
        <v>30.421918000000002</v>
      </c>
      <c r="E397" s="1" t="s">
        <v>1557</v>
      </c>
      <c r="F397" s="1" t="s">
        <v>1558</v>
      </c>
    </row>
    <row r="398" spans="1:6" x14ac:dyDescent="0.25">
      <c r="A398" s="1" t="s">
        <v>1270</v>
      </c>
      <c r="B398" s="1" t="s">
        <v>24</v>
      </c>
      <c r="C398" s="1">
        <v>-6.4197189999999997</v>
      </c>
      <c r="D398" s="1">
        <v>22.287264</v>
      </c>
      <c r="E398" s="1" t="s">
        <v>1557</v>
      </c>
      <c r="F398" s="1" t="s">
        <v>1554</v>
      </c>
    </row>
    <row r="399" spans="1:6" x14ac:dyDescent="0.25">
      <c r="A399" s="1" t="s">
        <v>1676</v>
      </c>
      <c r="B399" s="1" t="s">
        <v>22</v>
      </c>
      <c r="C399" s="1">
        <v>-9.8451869999999992</v>
      </c>
      <c r="D399" s="1">
        <v>14.508520000000001</v>
      </c>
      <c r="E399" s="1" t="s">
        <v>1553</v>
      </c>
      <c r="F399" s="1" t="s">
        <v>1564</v>
      </c>
    </row>
    <row r="400" spans="1:6" x14ac:dyDescent="0.25">
      <c r="A400" s="1" t="s">
        <v>1062</v>
      </c>
      <c r="B400" s="1" t="s">
        <v>22</v>
      </c>
      <c r="C400" s="1">
        <v>-2.9417719999999998</v>
      </c>
      <c r="D400" s="1">
        <v>18.587305000000001</v>
      </c>
      <c r="E400" s="1" t="s">
        <v>1553</v>
      </c>
      <c r="F400" s="1" t="s">
        <v>1554</v>
      </c>
    </row>
    <row r="401" spans="1:6" x14ac:dyDescent="0.25">
      <c r="A401" s="1" t="s">
        <v>1334</v>
      </c>
      <c r="B401" s="1" t="s">
        <v>35</v>
      </c>
      <c r="C401" s="1">
        <v>-11.793894</v>
      </c>
      <c r="D401" s="1">
        <v>20.433340999999999</v>
      </c>
      <c r="E401" s="1" t="s">
        <v>1553</v>
      </c>
      <c r="F401" s="1" t="s">
        <v>1564</v>
      </c>
    </row>
    <row r="402" spans="1:6" x14ac:dyDescent="0.25">
      <c r="A402" s="1" t="s">
        <v>1677</v>
      </c>
      <c r="B402" s="1" t="s">
        <v>55</v>
      </c>
      <c r="C402" s="1">
        <v>0.114899</v>
      </c>
      <c r="D402" s="1">
        <v>30.510916000000002</v>
      </c>
      <c r="E402" s="1" t="s">
        <v>1557</v>
      </c>
      <c r="F402" s="1" t="s">
        <v>1564</v>
      </c>
    </row>
    <row r="403" spans="1:6" x14ac:dyDescent="0.25">
      <c r="A403" s="1" t="s">
        <v>1060</v>
      </c>
      <c r="B403" s="1" t="s">
        <v>22</v>
      </c>
      <c r="C403" s="1">
        <v>-5.5445120000000001</v>
      </c>
      <c r="D403" s="1">
        <v>27.547335</v>
      </c>
      <c r="E403" s="1" t="s">
        <v>1555</v>
      </c>
      <c r="F403" s="1" t="s">
        <v>1554</v>
      </c>
    </row>
    <row r="404" spans="1:6" x14ac:dyDescent="0.25">
      <c r="A404" s="1" t="s">
        <v>1316</v>
      </c>
      <c r="B404" s="1" t="s">
        <v>134</v>
      </c>
      <c r="C404" s="1">
        <v>2.0392079999999999</v>
      </c>
      <c r="D404" s="1">
        <v>19.090841999999999</v>
      </c>
      <c r="E404" s="1" t="s">
        <v>1555</v>
      </c>
      <c r="F404" s="1" t="s">
        <v>1564</v>
      </c>
    </row>
    <row r="405" spans="1:6" x14ac:dyDescent="0.25">
      <c r="A405" s="1" t="s">
        <v>1026</v>
      </c>
      <c r="B405" s="1" t="s">
        <v>65</v>
      </c>
      <c r="C405" s="1">
        <v>-2.2371569999999998</v>
      </c>
      <c r="D405" s="1">
        <v>25.926188</v>
      </c>
      <c r="E405" s="1" t="s">
        <v>1557</v>
      </c>
      <c r="F405" s="1" t="s">
        <v>1564</v>
      </c>
    </row>
    <row r="406" spans="1:6" x14ac:dyDescent="0.25">
      <c r="A406" s="1" t="s">
        <v>1118</v>
      </c>
      <c r="B406" s="1" t="s">
        <v>31</v>
      </c>
      <c r="C406" s="1">
        <v>-10.414493</v>
      </c>
      <c r="D406" s="1">
        <v>12.333356999999999</v>
      </c>
      <c r="E406" s="1" t="s">
        <v>1557</v>
      </c>
      <c r="F406" s="1" t="s">
        <v>1554</v>
      </c>
    </row>
    <row r="407" spans="1:6" x14ac:dyDescent="0.25">
      <c r="A407" s="1" t="s">
        <v>1155</v>
      </c>
      <c r="B407" s="1" t="s">
        <v>62</v>
      </c>
      <c r="C407" s="1">
        <v>-7.5418399999999997</v>
      </c>
      <c r="D407" s="1">
        <v>16.931206</v>
      </c>
      <c r="E407" s="1" t="s">
        <v>1557</v>
      </c>
      <c r="F407" s="1" t="s">
        <v>1564</v>
      </c>
    </row>
    <row r="408" spans="1:6" x14ac:dyDescent="0.25">
      <c r="A408" s="1" t="s">
        <v>1678</v>
      </c>
      <c r="B408" s="1" t="s">
        <v>38</v>
      </c>
      <c r="C408" s="1">
        <v>4.7908840000000001</v>
      </c>
      <c r="D408" s="1">
        <v>23.051435000000001</v>
      </c>
      <c r="E408" s="1" t="s">
        <v>1557</v>
      </c>
      <c r="F408" s="1" t="s">
        <v>1564</v>
      </c>
    </row>
    <row r="409" spans="1:6" x14ac:dyDescent="0.25">
      <c r="A409" s="1" t="s">
        <v>852</v>
      </c>
      <c r="B409" s="1" t="s">
        <v>58</v>
      </c>
      <c r="C409" s="1">
        <v>-3.544581</v>
      </c>
      <c r="D409" s="1">
        <v>14.776605</v>
      </c>
      <c r="E409" s="1" t="s">
        <v>1555</v>
      </c>
      <c r="F409" s="1" t="s">
        <v>1564</v>
      </c>
    </row>
    <row r="410" spans="1:6" x14ac:dyDescent="0.25">
      <c r="A410" s="1" t="s">
        <v>1284</v>
      </c>
      <c r="B410" s="1" t="s">
        <v>124</v>
      </c>
      <c r="C410" s="1">
        <v>-6.9624990000000002</v>
      </c>
      <c r="D410" s="1">
        <v>20.759834999999999</v>
      </c>
      <c r="E410" s="1" t="s">
        <v>1555</v>
      </c>
      <c r="F410" s="1" t="s">
        <v>1556</v>
      </c>
    </row>
    <row r="411" spans="1:6" x14ac:dyDescent="0.25">
      <c r="A411" s="1" t="s">
        <v>1679</v>
      </c>
      <c r="B411" s="1" t="s">
        <v>11</v>
      </c>
      <c r="C411" s="1">
        <v>3.796754</v>
      </c>
      <c r="D411" s="1">
        <v>25.172377999999998</v>
      </c>
      <c r="E411" s="1" t="s">
        <v>1555</v>
      </c>
      <c r="F411" s="1" t="s">
        <v>1556</v>
      </c>
    </row>
    <row r="412" spans="1:6" x14ac:dyDescent="0.25">
      <c r="A412" s="1" t="s">
        <v>1127</v>
      </c>
      <c r="B412" s="1" t="s">
        <v>11</v>
      </c>
      <c r="C412" s="1">
        <v>-2.3677800000000002</v>
      </c>
      <c r="D412" s="1">
        <v>18.790323999999998</v>
      </c>
      <c r="E412" s="1" t="s">
        <v>1553</v>
      </c>
      <c r="F412" s="1" t="s">
        <v>1556</v>
      </c>
    </row>
    <row r="413" spans="1:6" x14ac:dyDescent="0.25">
      <c r="A413" s="1" t="s">
        <v>1680</v>
      </c>
      <c r="B413" s="1" t="s">
        <v>38</v>
      </c>
      <c r="C413" s="1">
        <v>-6.236097</v>
      </c>
      <c r="D413" s="1">
        <v>13.004878</v>
      </c>
      <c r="E413" s="1" t="s">
        <v>1555</v>
      </c>
      <c r="F413" s="1" t="s">
        <v>1554</v>
      </c>
    </row>
    <row r="414" spans="1:6" x14ac:dyDescent="0.25">
      <c r="A414" s="1" t="s">
        <v>1681</v>
      </c>
      <c r="B414" s="1" t="s">
        <v>71</v>
      </c>
      <c r="C414" s="1">
        <v>-12.88086</v>
      </c>
      <c r="D414" s="1">
        <v>18.862106000000001</v>
      </c>
      <c r="E414" s="1" t="s">
        <v>1557</v>
      </c>
      <c r="F414" s="1" t="s">
        <v>1564</v>
      </c>
    </row>
    <row r="415" spans="1:6" x14ac:dyDescent="0.25">
      <c r="A415" s="1" t="s">
        <v>1682</v>
      </c>
      <c r="B415" s="1" t="s">
        <v>128</v>
      </c>
      <c r="C415" s="1">
        <v>-1.501492</v>
      </c>
      <c r="D415" s="1">
        <v>24.088695999999999</v>
      </c>
      <c r="E415" s="1" t="s">
        <v>1555</v>
      </c>
      <c r="F415" s="1" t="s">
        <v>1564</v>
      </c>
    </row>
    <row r="416" spans="1:6" x14ac:dyDescent="0.25">
      <c r="A416" s="1" t="s">
        <v>868</v>
      </c>
      <c r="B416" s="1" t="s">
        <v>31</v>
      </c>
      <c r="C416" s="1">
        <v>-8.0800809999999998</v>
      </c>
      <c r="D416" s="1">
        <v>30.147970999999998</v>
      </c>
      <c r="E416" s="1" t="s">
        <v>1553</v>
      </c>
      <c r="F416" s="1" t="s">
        <v>1556</v>
      </c>
    </row>
    <row r="417" spans="1:6" x14ac:dyDescent="0.25">
      <c r="A417" s="1" t="s">
        <v>1683</v>
      </c>
      <c r="B417" s="1" t="s">
        <v>24</v>
      </c>
      <c r="C417" s="1">
        <v>-9.8519260000000006</v>
      </c>
      <c r="D417" s="1">
        <v>12.925583</v>
      </c>
      <c r="E417" s="1" t="s">
        <v>1553</v>
      </c>
      <c r="F417" s="1" t="s">
        <v>1554</v>
      </c>
    </row>
    <row r="418" spans="1:6" x14ac:dyDescent="0.25">
      <c r="A418" s="1" t="s">
        <v>1136</v>
      </c>
      <c r="B418" s="1" t="s">
        <v>76</v>
      </c>
      <c r="C418" s="1">
        <v>-4.6818410000000004</v>
      </c>
      <c r="D418" s="1">
        <v>17.541618</v>
      </c>
      <c r="E418" s="1" t="s">
        <v>1555</v>
      </c>
      <c r="F418" s="1" t="s">
        <v>1554</v>
      </c>
    </row>
    <row r="419" spans="1:6" x14ac:dyDescent="0.25">
      <c r="A419" s="1" t="s">
        <v>1684</v>
      </c>
      <c r="B419" s="1" t="s">
        <v>29</v>
      </c>
      <c r="C419" s="1">
        <v>-2.7775059999999998</v>
      </c>
      <c r="D419" s="1">
        <v>24.139983999999998</v>
      </c>
      <c r="E419" s="1" t="s">
        <v>1557</v>
      </c>
      <c r="F419" s="1" t="s">
        <v>1554</v>
      </c>
    </row>
    <row r="420" spans="1:6" x14ac:dyDescent="0.25">
      <c r="A420" s="1" t="s">
        <v>921</v>
      </c>
      <c r="B420" s="1" t="s">
        <v>29</v>
      </c>
      <c r="C420" s="1">
        <v>3.4676979999999999</v>
      </c>
      <c r="D420" s="1">
        <v>13.459707</v>
      </c>
      <c r="E420" s="1" t="s">
        <v>1553</v>
      </c>
      <c r="F420" s="1" t="s">
        <v>1556</v>
      </c>
    </row>
    <row r="421" spans="1:6" x14ac:dyDescent="0.25">
      <c r="A421" s="1" t="s">
        <v>1282</v>
      </c>
      <c r="B421" s="1" t="s">
        <v>71</v>
      </c>
      <c r="C421" s="1">
        <v>-9.4133639999999996</v>
      </c>
      <c r="D421" s="1">
        <v>15.682482</v>
      </c>
      <c r="E421" s="1" t="s">
        <v>1555</v>
      </c>
      <c r="F421" s="1" t="s">
        <v>1556</v>
      </c>
    </row>
    <row r="422" spans="1:6" x14ac:dyDescent="0.25">
      <c r="A422" s="1" t="s">
        <v>1437</v>
      </c>
      <c r="B422" s="1" t="s">
        <v>60</v>
      </c>
      <c r="C422" s="1">
        <v>1.981107</v>
      </c>
      <c r="D422" s="1">
        <v>23.932569000000001</v>
      </c>
      <c r="E422" s="1" t="s">
        <v>1557</v>
      </c>
      <c r="F422" s="1" t="s">
        <v>1564</v>
      </c>
    </row>
    <row r="423" spans="1:6" x14ac:dyDescent="0.25">
      <c r="A423" s="1" t="s">
        <v>1335</v>
      </c>
      <c r="B423" s="1" t="s">
        <v>11</v>
      </c>
      <c r="C423" s="1">
        <v>-7.789663</v>
      </c>
      <c r="D423" s="1">
        <v>26.529098000000001</v>
      </c>
      <c r="E423" s="1" t="s">
        <v>1553</v>
      </c>
      <c r="F423" s="1" t="s">
        <v>1564</v>
      </c>
    </row>
    <row r="424" spans="1:6" x14ac:dyDescent="0.25">
      <c r="A424" s="1" t="s">
        <v>1261</v>
      </c>
      <c r="B424" s="1" t="s">
        <v>19</v>
      </c>
      <c r="C424" s="1">
        <v>-4.1694589999999998</v>
      </c>
      <c r="D424" s="1">
        <v>23.376487000000001</v>
      </c>
      <c r="E424" s="1" t="s">
        <v>1557</v>
      </c>
      <c r="F424" s="1" t="s">
        <v>1564</v>
      </c>
    </row>
    <row r="425" spans="1:6" x14ac:dyDescent="0.25">
      <c r="A425" s="1" t="s">
        <v>1088</v>
      </c>
      <c r="B425" s="1" t="s">
        <v>128</v>
      </c>
      <c r="C425" s="1">
        <v>1.8103860000000001</v>
      </c>
      <c r="D425" s="1">
        <v>15.175582</v>
      </c>
      <c r="E425" s="1" t="s">
        <v>1557</v>
      </c>
      <c r="F425" s="1" t="s">
        <v>1556</v>
      </c>
    </row>
    <row r="426" spans="1:6" x14ac:dyDescent="0.25">
      <c r="A426" s="1" t="s">
        <v>1524</v>
      </c>
      <c r="B426" s="1" t="s">
        <v>42</v>
      </c>
      <c r="C426" s="1">
        <v>-7.5641280000000002</v>
      </c>
      <c r="D426" s="1">
        <v>18.129529999999999</v>
      </c>
      <c r="E426" s="1" t="s">
        <v>1557</v>
      </c>
      <c r="F426" s="1" t="s">
        <v>1556</v>
      </c>
    </row>
    <row r="427" spans="1:6" x14ac:dyDescent="0.25">
      <c r="A427" s="1" t="s">
        <v>1037</v>
      </c>
      <c r="B427" s="1" t="s">
        <v>35</v>
      </c>
      <c r="C427" s="1">
        <v>-2.4662510000000002</v>
      </c>
      <c r="D427" s="1">
        <v>18.007998000000001</v>
      </c>
      <c r="E427" s="1" t="s">
        <v>1553</v>
      </c>
      <c r="F427" s="1" t="s">
        <v>1554</v>
      </c>
    </row>
    <row r="428" spans="1:6" x14ac:dyDescent="0.25">
      <c r="A428" s="1" t="s">
        <v>1685</v>
      </c>
      <c r="B428" s="1" t="s">
        <v>8</v>
      </c>
      <c r="C428" s="1">
        <v>-4.1061909999999999</v>
      </c>
      <c r="D428" s="1">
        <v>28.054902999999999</v>
      </c>
      <c r="E428" s="1" t="s">
        <v>1557</v>
      </c>
      <c r="F428" s="1" t="s">
        <v>1556</v>
      </c>
    </row>
    <row r="429" spans="1:6" x14ac:dyDescent="0.25">
      <c r="A429" s="1" t="s">
        <v>1241</v>
      </c>
      <c r="B429" s="1" t="s">
        <v>19</v>
      </c>
      <c r="C429" s="1">
        <v>0.31740800000000002</v>
      </c>
      <c r="D429" s="1">
        <v>27.197666999999999</v>
      </c>
      <c r="E429" s="1" t="s">
        <v>1553</v>
      </c>
      <c r="F429" s="1" t="s">
        <v>1564</v>
      </c>
    </row>
    <row r="430" spans="1:6" x14ac:dyDescent="0.25">
      <c r="A430" s="1" t="s">
        <v>1440</v>
      </c>
      <c r="B430" s="1" t="s">
        <v>128</v>
      </c>
      <c r="C430" s="1">
        <v>-8.9586360000000003</v>
      </c>
      <c r="D430" s="1">
        <v>17.157720000000001</v>
      </c>
      <c r="E430" s="1" t="s">
        <v>1557</v>
      </c>
      <c r="F430" s="1" t="s">
        <v>1564</v>
      </c>
    </row>
    <row r="431" spans="1:6" x14ac:dyDescent="0.25">
      <c r="A431" s="1" t="s">
        <v>1229</v>
      </c>
      <c r="B431" s="1" t="s">
        <v>19</v>
      </c>
      <c r="C431" s="1">
        <v>1.2419519999999999</v>
      </c>
      <c r="D431" s="1">
        <v>25.261382999999999</v>
      </c>
      <c r="E431" s="1" t="s">
        <v>1555</v>
      </c>
      <c r="F431" s="1" t="s">
        <v>1556</v>
      </c>
    </row>
    <row r="432" spans="1:6" x14ac:dyDescent="0.25">
      <c r="A432" s="1" t="s">
        <v>850</v>
      </c>
      <c r="B432" s="1" t="s">
        <v>62</v>
      </c>
      <c r="C432" s="1">
        <v>-10.227569000000001</v>
      </c>
      <c r="D432" s="1">
        <v>18.887930999999998</v>
      </c>
      <c r="E432" s="1" t="s">
        <v>1557</v>
      </c>
      <c r="F432" s="1" t="s">
        <v>1558</v>
      </c>
    </row>
    <row r="433" spans="1:6" x14ac:dyDescent="0.25">
      <c r="A433" s="1" t="s">
        <v>1201</v>
      </c>
      <c r="B433" s="1" t="s">
        <v>33</v>
      </c>
      <c r="C433" s="1">
        <v>-7.5969509999999998</v>
      </c>
      <c r="D433" s="1">
        <v>22.153986</v>
      </c>
      <c r="E433" s="1" t="s">
        <v>1557</v>
      </c>
      <c r="F433" s="1" t="s">
        <v>1554</v>
      </c>
    </row>
    <row r="434" spans="1:6" x14ac:dyDescent="0.25">
      <c r="A434" s="1" t="s">
        <v>1445</v>
      </c>
      <c r="B434" s="1" t="s">
        <v>19</v>
      </c>
      <c r="C434" s="1">
        <v>-1.4700059999999999</v>
      </c>
      <c r="D434" s="1">
        <v>18.680958</v>
      </c>
      <c r="E434" s="1" t="s">
        <v>1557</v>
      </c>
      <c r="F434" s="1" t="s">
        <v>1556</v>
      </c>
    </row>
    <row r="435" spans="1:6" x14ac:dyDescent="0.25">
      <c r="A435" s="1" t="s">
        <v>1223</v>
      </c>
      <c r="B435" s="1" t="s">
        <v>19</v>
      </c>
      <c r="C435" s="1">
        <v>-1.5419050000000001</v>
      </c>
      <c r="D435" s="1">
        <v>14.730632999999999</v>
      </c>
      <c r="E435" s="1" t="s">
        <v>1557</v>
      </c>
      <c r="F435" s="1" t="s">
        <v>1558</v>
      </c>
    </row>
    <row r="436" spans="1:6" x14ac:dyDescent="0.25">
      <c r="A436" s="1" t="s">
        <v>967</v>
      </c>
      <c r="B436" s="1" t="s">
        <v>33</v>
      </c>
      <c r="C436" s="1">
        <v>-10.764815</v>
      </c>
      <c r="D436" s="1">
        <v>14.602039</v>
      </c>
      <c r="E436" s="1" t="s">
        <v>1555</v>
      </c>
      <c r="F436" s="1" t="s">
        <v>1564</v>
      </c>
    </row>
    <row r="437" spans="1:6" x14ac:dyDescent="0.25">
      <c r="A437" s="1" t="s">
        <v>1254</v>
      </c>
      <c r="B437" s="1" t="s">
        <v>124</v>
      </c>
      <c r="C437" s="1">
        <v>-1.013558</v>
      </c>
      <c r="D437" s="1">
        <v>17.346937</v>
      </c>
      <c r="E437" s="1" t="s">
        <v>1553</v>
      </c>
      <c r="F437" s="1" t="s">
        <v>1556</v>
      </c>
    </row>
    <row r="438" spans="1:6" x14ac:dyDescent="0.25">
      <c r="A438" s="1" t="s">
        <v>1538</v>
      </c>
      <c r="B438" s="1" t="s">
        <v>58</v>
      </c>
      <c r="C438" s="1">
        <v>-7.8215969999999997</v>
      </c>
      <c r="D438" s="1">
        <v>26.797349000000001</v>
      </c>
      <c r="E438" s="1" t="s">
        <v>1557</v>
      </c>
      <c r="F438" s="1" t="s">
        <v>1554</v>
      </c>
    </row>
    <row r="439" spans="1:6" x14ac:dyDescent="0.25">
      <c r="A439" s="1" t="s">
        <v>1073</v>
      </c>
      <c r="B439" s="1" t="s">
        <v>38</v>
      </c>
      <c r="C439" s="1">
        <v>-9.7712979999999998</v>
      </c>
      <c r="D439" s="1">
        <v>19.827895999999999</v>
      </c>
      <c r="E439" s="1" t="s">
        <v>1557</v>
      </c>
      <c r="F439" s="1" t="s">
        <v>1558</v>
      </c>
    </row>
    <row r="440" spans="1:6" x14ac:dyDescent="0.25">
      <c r="A440" s="1" t="s">
        <v>1686</v>
      </c>
      <c r="B440" s="1" t="s">
        <v>31</v>
      </c>
      <c r="C440" s="1">
        <v>3.3222779999999998</v>
      </c>
      <c r="D440" s="1">
        <v>29.497240000000001</v>
      </c>
      <c r="E440" s="1" t="s">
        <v>1557</v>
      </c>
      <c r="F440" s="1" t="s">
        <v>1558</v>
      </c>
    </row>
    <row r="441" spans="1:6" x14ac:dyDescent="0.25">
      <c r="A441" s="1" t="s">
        <v>1436</v>
      </c>
      <c r="B441" s="1" t="s">
        <v>16</v>
      </c>
      <c r="C441" s="1">
        <v>-1.3938550000000001</v>
      </c>
      <c r="D441" s="1">
        <v>15.097554000000001</v>
      </c>
      <c r="E441" s="1" t="s">
        <v>1555</v>
      </c>
      <c r="F441" s="1" t="s">
        <v>1556</v>
      </c>
    </row>
    <row r="442" spans="1:6" x14ac:dyDescent="0.25">
      <c r="A442" s="1" t="s">
        <v>1359</v>
      </c>
      <c r="B442" s="1" t="s">
        <v>124</v>
      </c>
      <c r="C442" s="1">
        <v>-12.488033</v>
      </c>
      <c r="D442" s="1">
        <v>16.139648000000001</v>
      </c>
      <c r="E442" s="1" t="s">
        <v>1555</v>
      </c>
      <c r="F442" s="1" t="s">
        <v>1556</v>
      </c>
    </row>
    <row r="443" spans="1:6" x14ac:dyDescent="0.25">
      <c r="A443" s="1" t="s">
        <v>1687</v>
      </c>
      <c r="B443" s="1" t="s">
        <v>16</v>
      </c>
      <c r="C443" s="1">
        <v>0.76493</v>
      </c>
      <c r="D443" s="1">
        <v>21.564274999999999</v>
      </c>
      <c r="E443" s="1" t="s">
        <v>1557</v>
      </c>
      <c r="F443" s="1" t="s">
        <v>1558</v>
      </c>
    </row>
    <row r="444" spans="1:6" x14ac:dyDescent="0.25">
      <c r="A444" s="1" t="s">
        <v>1245</v>
      </c>
      <c r="B444" s="1" t="s">
        <v>8</v>
      </c>
      <c r="C444" s="1">
        <v>-4.1250960000000001</v>
      </c>
      <c r="D444" s="1">
        <v>27.799897999999999</v>
      </c>
      <c r="E444" s="1" t="s">
        <v>1557</v>
      </c>
      <c r="F444" s="1" t="s">
        <v>1564</v>
      </c>
    </row>
    <row r="445" spans="1:6" x14ac:dyDescent="0.25">
      <c r="A445" s="1" t="s">
        <v>1002</v>
      </c>
      <c r="B445" s="1" t="s">
        <v>22</v>
      </c>
      <c r="C445" s="1">
        <v>4.4712560000000003</v>
      </c>
      <c r="D445" s="1">
        <v>27.107028</v>
      </c>
      <c r="E445" s="1" t="s">
        <v>1557</v>
      </c>
      <c r="F445" s="1" t="s">
        <v>1554</v>
      </c>
    </row>
    <row r="446" spans="1:6" x14ac:dyDescent="0.25">
      <c r="A446" s="1" t="s">
        <v>1477</v>
      </c>
      <c r="B446" s="1" t="s">
        <v>124</v>
      </c>
      <c r="C446" s="1">
        <v>-2.2199559999999998</v>
      </c>
      <c r="D446" s="1">
        <v>22.614449</v>
      </c>
      <c r="E446" s="1" t="s">
        <v>1557</v>
      </c>
      <c r="F446" s="1" t="s">
        <v>1564</v>
      </c>
    </row>
    <row r="447" spans="1:6" x14ac:dyDescent="0.25">
      <c r="A447" s="1" t="s">
        <v>1296</v>
      </c>
      <c r="B447" s="1" t="s">
        <v>33</v>
      </c>
      <c r="C447" s="1">
        <v>-6.4883290000000002</v>
      </c>
      <c r="D447" s="1">
        <v>25.103404000000001</v>
      </c>
      <c r="E447" s="1" t="s">
        <v>1553</v>
      </c>
      <c r="F447" s="1" t="s">
        <v>1558</v>
      </c>
    </row>
    <row r="448" spans="1:6" x14ac:dyDescent="0.25">
      <c r="A448" s="1" t="s">
        <v>1174</v>
      </c>
      <c r="B448" s="1" t="s">
        <v>27</v>
      </c>
      <c r="C448" s="1">
        <v>-4.351254</v>
      </c>
      <c r="D448" s="1">
        <v>30.097408999999999</v>
      </c>
      <c r="E448" s="1" t="s">
        <v>1553</v>
      </c>
      <c r="F448" s="1" t="s">
        <v>1564</v>
      </c>
    </row>
    <row r="449" spans="1:6" x14ac:dyDescent="0.25">
      <c r="A449" s="1" t="s">
        <v>1523</v>
      </c>
      <c r="B449" s="1" t="s">
        <v>22</v>
      </c>
      <c r="C449" s="1">
        <v>-5.1507670000000001</v>
      </c>
      <c r="D449" s="1">
        <v>28.075324999999999</v>
      </c>
      <c r="E449" s="1" t="s">
        <v>1553</v>
      </c>
      <c r="F449" s="1" t="s">
        <v>1556</v>
      </c>
    </row>
    <row r="450" spans="1:6" x14ac:dyDescent="0.25">
      <c r="A450" s="1" t="s">
        <v>1688</v>
      </c>
      <c r="B450" s="1" t="s">
        <v>16</v>
      </c>
      <c r="C450" s="1">
        <v>-8.3575920000000004</v>
      </c>
      <c r="D450" s="1">
        <v>25.538395000000001</v>
      </c>
      <c r="E450" s="1" t="s">
        <v>1557</v>
      </c>
      <c r="F450" s="1" t="s">
        <v>1558</v>
      </c>
    </row>
    <row r="451" spans="1:6" x14ac:dyDescent="0.25">
      <c r="A451" s="1" t="s">
        <v>1689</v>
      </c>
      <c r="B451" s="1" t="s">
        <v>8</v>
      </c>
      <c r="C451" s="1">
        <v>-0.65356899999999996</v>
      </c>
      <c r="D451" s="1">
        <v>25.343032999999998</v>
      </c>
      <c r="E451" s="1" t="s">
        <v>1555</v>
      </c>
      <c r="F451" s="1" t="s">
        <v>1554</v>
      </c>
    </row>
    <row r="452" spans="1:6" x14ac:dyDescent="0.25">
      <c r="A452" s="1" t="s">
        <v>1690</v>
      </c>
      <c r="B452" s="1" t="s">
        <v>60</v>
      </c>
      <c r="C452" s="1">
        <v>-2.290705</v>
      </c>
      <c r="D452" s="1">
        <v>19.150395</v>
      </c>
      <c r="E452" s="1" t="s">
        <v>1553</v>
      </c>
      <c r="F452" s="1" t="s">
        <v>1554</v>
      </c>
    </row>
    <row r="453" spans="1:6" x14ac:dyDescent="0.25">
      <c r="A453" s="1" t="s">
        <v>972</v>
      </c>
      <c r="B453" s="1" t="s">
        <v>38</v>
      </c>
      <c r="C453" s="1">
        <v>4.8319039999999998</v>
      </c>
      <c r="D453" s="1">
        <v>20.733468999999999</v>
      </c>
      <c r="E453" s="1" t="s">
        <v>1553</v>
      </c>
      <c r="F453" s="1" t="s">
        <v>1554</v>
      </c>
    </row>
    <row r="454" spans="1:6" x14ac:dyDescent="0.25">
      <c r="A454" s="1" t="s">
        <v>1691</v>
      </c>
      <c r="B454" s="1" t="s">
        <v>76</v>
      </c>
      <c r="C454" s="1">
        <v>-10.790281</v>
      </c>
      <c r="D454" s="1">
        <v>12.624336</v>
      </c>
      <c r="E454" s="1" t="s">
        <v>1555</v>
      </c>
      <c r="F454" s="1" t="s">
        <v>1564</v>
      </c>
    </row>
    <row r="455" spans="1:6" x14ac:dyDescent="0.25">
      <c r="A455" s="1" t="s">
        <v>1692</v>
      </c>
      <c r="B455" s="1" t="s">
        <v>24</v>
      </c>
      <c r="C455" s="1">
        <v>2.0859640000000002</v>
      </c>
      <c r="D455" s="1">
        <v>22.576664000000001</v>
      </c>
      <c r="E455" s="1" t="s">
        <v>1555</v>
      </c>
      <c r="F455" s="1" t="s">
        <v>1558</v>
      </c>
    </row>
    <row r="456" spans="1:6" x14ac:dyDescent="0.25">
      <c r="A456" s="1" t="s">
        <v>1363</v>
      </c>
      <c r="B456" s="1" t="s">
        <v>49</v>
      </c>
      <c r="C456" s="1">
        <v>5.3608999999999997E-2</v>
      </c>
      <c r="D456" s="1">
        <v>28.346852999999999</v>
      </c>
      <c r="E456" s="1" t="s">
        <v>1557</v>
      </c>
      <c r="F456" s="1" t="s">
        <v>1558</v>
      </c>
    </row>
    <row r="457" spans="1:6" x14ac:dyDescent="0.25">
      <c r="A457" s="1" t="s">
        <v>1408</v>
      </c>
      <c r="B457" s="1" t="s">
        <v>128</v>
      </c>
      <c r="C457" s="1">
        <v>-7.9866700000000002</v>
      </c>
      <c r="D457" s="1">
        <v>17.757847000000002</v>
      </c>
      <c r="E457" s="1" t="s">
        <v>1553</v>
      </c>
      <c r="F457" s="1" t="s">
        <v>1556</v>
      </c>
    </row>
    <row r="458" spans="1:6" x14ac:dyDescent="0.25">
      <c r="A458" s="1" t="s">
        <v>1464</v>
      </c>
      <c r="B458" s="1" t="s">
        <v>33</v>
      </c>
      <c r="C458" s="1">
        <v>-0.157111</v>
      </c>
      <c r="D458" s="1">
        <v>25.415125</v>
      </c>
      <c r="E458" s="1" t="s">
        <v>1555</v>
      </c>
      <c r="F458" s="1" t="s">
        <v>1554</v>
      </c>
    </row>
    <row r="459" spans="1:6" x14ac:dyDescent="0.25">
      <c r="A459" s="1" t="s">
        <v>941</v>
      </c>
      <c r="B459" s="1" t="s">
        <v>124</v>
      </c>
      <c r="C459" s="1">
        <v>-2.5254650000000001</v>
      </c>
      <c r="D459" s="1">
        <v>21.338113</v>
      </c>
      <c r="E459" s="1" t="s">
        <v>1553</v>
      </c>
      <c r="F459" s="1" t="s">
        <v>1564</v>
      </c>
    </row>
    <row r="460" spans="1:6" x14ac:dyDescent="0.25">
      <c r="A460" s="1" t="s">
        <v>908</v>
      </c>
      <c r="B460" s="1" t="s">
        <v>29</v>
      </c>
      <c r="C460" s="1">
        <v>-8.0864899999999995</v>
      </c>
      <c r="D460" s="1">
        <v>14.555277</v>
      </c>
      <c r="E460" s="1" t="s">
        <v>1557</v>
      </c>
      <c r="F460" s="1" t="s">
        <v>1554</v>
      </c>
    </row>
    <row r="461" spans="1:6" x14ac:dyDescent="0.25">
      <c r="A461" s="1" t="s">
        <v>1168</v>
      </c>
      <c r="B461" s="1" t="s">
        <v>16</v>
      </c>
      <c r="C461" s="1">
        <v>1.210869</v>
      </c>
      <c r="D461" s="1">
        <v>25.598741</v>
      </c>
      <c r="E461" s="1" t="s">
        <v>1555</v>
      </c>
      <c r="F461" s="1" t="s">
        <v>1554</v>
      </c>
    </row>
    <row r="462" spans="1:6" x14ac:dyDescent="0.25">
      <c r="A462" s="1" t="s">
        <v>1259</v>
      </c>
      <c r="B462" s="1" t="s">
        <v>33</v>
      </c>
      <c r="C462" s="1">
        <v>-1.4110389999999999</v>
      </c>
      <c r="D462" s="1">
        <v>21.261644</v>
      </c>
      <c r="E462" s="1" t="s">
        <v>1555</v>
      </c>
      <c r="F462" s="1" t="s">
        <v>1558</v>
      </c>
    </row>
    <row r="463" spans="1:6" x14ac:dyDescent="0.25">
      <c r="A463" s="1" t="s">
        <v>1546</v>
      </c>
      <c r="B463" s="1" t="s">
        <v>11</v>
      </c>
      <c r="C463" s="1">
        <v>-5.7957599999999996</v>
      </c>
      <c r="D463" s="1">
        <v>14.078258</v>
      </c>
      <c r="E463" s="1" t="s">
        <v>1553</v>
      </c>
      <c r="F463" s="1" t="s">
        <v>1554</v>
      </c>
    </row>
    <row r="464" spans="1:6" x14ac:dyDescent="0.25">
      <c r="A464" s="1" t="s">
        <v>1125</v>
      </c>
      <c r="B464" s="1" t="s">
        <v>124</v>
      </c>
      <c r="C464" s="1">
        <v>-4.4351269999999996</v>
      </c>
      <c r="D464" s="1">
        <v>24.825467</v>
      </c>
      <c r="E464" s="1" t="s">
        <v>1555</v>
      </c>
      <c r="F464" s="1" t="s">
        <v>1556</v>
      </c>
    </row>
    <row r="465" spans="1:6" x14ac:dyDescent="0.25">
      <c r="A465" s="1" t="s">
        <v>1693</v>
      </c>
      <c r="B465" s="1" t="s">
        <v>55</v>
      </c>
      <c r="C465" s="1">
        <v>-2.1430220000000002</v>
      </c>
      <c r="D465" s="1">
        <v>24.541492999999999</v>
      </c>
      <c r="E465" s="1" t="s">
        <v>1555</v>
      </c>
      <c r="F465" s="1" t="s">
        <v>1558</v>
      </c>
    </row>
    <row r="466" spans="1:6" x14ac:dyDescent="0.25">
      <c r="A466" s="1" t="s">
        <v>1321</v>
      </c>
      <c r="B466" s="1" t="s">
        <v>58</v>
      </c>
      <c r="C466" s="1">
        <v>-5.7200150000000001</v>
      </c>
      <c r="D466" s="1">
        <v>25.022109</v>
      </c>
      <c r="E466" s="1" t="s">
        <v>1553</v>
      </c>
      <c r="F466" s="1" t="s">
        <v>1558</v>
      </c>
    </row>
    <row r="467" spans="1:6" x14ac:dyDescent="0.25">
      <c r="A467" s="1" t="s">
        <v>1694</v>
      </c>
      <c r="B467" s="1" t="s">
        <v>8</v>
      </c>
      <c r="C467" s="1">
        <v>-4.2784089999999999</v>
      </c>
      <c r="D467" s="1">
        <v>22.871994000000001</v>
      </c>
      <c r="E467" s="1" t="s">
        <v>1557</v>
      </c>
      <c r="F467" s="1" t="s">
        <v>1554</v>
      </c>
    </row>
    <row r="468" spans="1:6" x14ac:dyDescent="0.25">
      <c r="A468" s="1" t="s">
        <v>1695</v>
      </c>
      <c r="B468" s="1" t="s">
        <v>33</v>
      </c>
      <c r="C468" s="1">
        <v>-7.9799689999999996</v>
      </c>
      <c r="D468" s="1">
        <v>21.042310000000001</v>
      </c>
      <c r="E468" s="1" t="s">
        <v>1555</v>
      </c>
      <c r="F468" s="1" t="s">
        <v>1558</v>
      </c>
    </row>
    <row r="469" spans="1:6" x14ac:dyDescent="0.25">
      <c r="A469" s="1" t="s">
        <v>1696</v>
      </c>
      <c r="B469" s="1" t="s">
        <v>8</v>
      </c>
      <c r="C469" s="1">
        <v>0.82399199999999995</v>
      </c>
      <c r="D469" s="1">
        <v>28.232678</v>
      </c>
      <c r="E469" s="1" t="s">
        <v>1557</v>
      </c>
      <c r="F469" s="1" t="s">
        <v>1556</v>
      </c>
    </row>
    <row r="470" spans="1:6" x14ac:dyDescent="0.25">
      <c r="A470" s="1" t="s">
        <v>1697</v>
      </c>
      <c r="B470" s="1" t="s">
        <v>31</v>
      </c>
      <c r="C470" s="1">
        <v>-11.055339999999999</v>
      </c>
      <c r="D470" s="1">
        <v>21.627016000000001</v>
      </c>
      <c r="E470" s="1" t="s">
        <v>1553</v>
      </c>
      <c r="F470" s="1" t="s">
        <v>1564</v>
      </c>
    </row>
    <row r="471" spans="1:6" x14ac:dyDescent="0.25">
      <c r="A471" s="1" t="s">
        <v>1698</v>
      </c>
      <c r="B471" s="1"/>
      <c r="C471" s="1">
        <v>-8.4875830000000008</v>
      </c>
      <c r="D471" s="1">
        <v>19.436312000000001</v>
      </c>
      <c r="E471" s="1" t="s">
        <v>1553</v>
      </c>
      <c r="F471" s="1" t="s">
        <v>1556</v>
      </c>
    </row>
    <row r="472" spans="1:6" x14ac:dyDescent="0.25">
      <c r="A472" s="1" t="s">
        <v>1699</v>
      </c>
      <c r="B472" s="1" t="s">
        <v>22</v>
      </c>
      <c r="C472" s="1">
        <v>-4.0490719999999998</v>
      </c>
      <c r="D472" s="1">
        <v>21.399131000000001</v>
      </c>
      <c r="E472" s="1" t="s">
        <v>1557</v>
      </c>
      <c r="F472" s="1" t="s">
        <v>1558</v>
      </c>
    </row>
    <row r="473" spans="1:6" x14ac:dyDescent="0.25">
      <c r="A473" s="1" t="s">
        <v>910</v>
      </c>
      <c r="B473" s="1" t="s">
        <v>24</v>
      </c>
      <c r="C473" s="1">
        <v>-1.6893210000000001</v>
      </c>
      <c r="D473" s="1">
        <v>30.446543999999999</v>
      </c>
      <c r="E473" s="1" t="s">
        <v>1555</v>
      </c>
      <c r="F473" s="1" t="s">
        <v>1556</v>
      </c>
    </row>
    <row r="474" spans="1:6" x14ac:dyDescent="0.25">
      <c r="A474" s="1" t="s">
        <v>929</v>
      </c>
      <c r="B474" s="1" t="s">
        <v>11</v>
      </c>
      <c r="C474" s="1">
        <v>-10.577049000000001</v>
      </c>
      <c r="D474" s="1">
        <v>23.721854</v>
      </c>
      <c r="E474" s="1" t="s">
        <v>1555</v>
      </c>
      <c r="F474" s="1" t="s">
        <v>1558</v>
      </c>
    </row>
    <row r="475" spans="1:6" x14ac:dyDescent="0.25">
      <c r="A475" s="1" t="s">
        <v>1460</v>
      </c>
      <c r="B475" s="1" t="s">
        <v>19</v>
      </c>
      <c r="C475" s="1">
        <v>-11.207139</v>
      </c>
      <c r="D475" s="1">
        <v>18.702511999999999</v>
      </c>
      <c r="E475" s="1" t="s">
        <v>1553</v>
      </c>
      <c r="F475" s="1" t="s">
        <v>1554</v>
      </c>
    </row>
    <row r="476" spans="1:6" x14ac:dyDescent="0.25">
      <c r="A476" s="1" t="s">
        <v>1700</v>
      </c>
      <c r="B476" s="1" t="s">
        <v>27</v>
      </c>
      <c r="C476" s="1">
        <v>-12.048655999999999</v>
      </c>
      <c r="D476" s="1">
        <v>30.577876</v>
      </c>
      <c r="E476" s="1" t="s">
        <v>1553</v>
      </c>
      <c r="F476" s="1" t="s">
        <v>1558</v>
      </c>
    </row>
    <row r="477" spans="1:6" x14ac:dyDescent="0.25">
      <c r="A477" s="1" t="s">
        <v>1701</v>
      </c>
      <c r="B477" s="1" t="s">
        <v>62</v>
      </c>
      <c r="C477" s="1">
        <v>-11.771884</v>
      </c>
      <c r="D477" s="1">
        <v>18.089172999999999</v>
      </c>
      <c r="E477" s="1" t="s">
        <v>1555</v>
      </c>
      <c r="F477" s="1" t="s">
        <v>1564</v>
      </c>
    </row>
    <row r="478" spans="1:6" x14ac:dyDescent="0.25">
      <c r="A478" s="1" t="s">
        <v>1142</v>
      </c>
      <c r="B478" s="1" t="s">
        <v>11</v>
      </c>
      <c r="C478" s="1">
        <v>-0.79406600000000005</v>
      </c>
      <c r="D478" s="1">
        <v>12.534793000000001</v>
      </c>
      <c r="E478" s="1" t="s">
        <v>1557</v>
      </c>
      <c r="F478" s="1" t="s">
        <v>1556</v>
      </c>
    </row>
    <row r="479" spans="1:6" x14ac:dyDescent="0.25">
      <c r="A479" s="1" t="s">
        <v>1265</v>
      </c>
      <c r="B479" s="1" t="s">
        <v>24</v>
      </c>
      <c r="C479" s="1">
        <v>4.497306</v>
      </c>
      <c r="D479" s="1">
        <v>12.857251</v>
      </c>
      <c r="E479" s="1" t="s">
        <v>1553</v>
      </c>
      <c r="F479" s="1" t="s">
        <v>1554</v>
      </c>
    </row>
    <row r="480" spans="1:6" x14ac:dyDescent="0.25">
      <c r="A480" s="1" t="s">
        <v>1702</v>
      </c>
      <c r="B480" s="1" t="s">
        <v>11</v>
      </c>
      <c r="C480" s="1">
        <v>-6.1126060000000004</v>
      </c>
      <c r="D480" s="1">
        <v>27.901748999999999</v>
      </c>
      <c r="E480" s="1" t="s">
        <v>1555</v>
      </c>
      <c r="F480" s="1" t="s">
        <v>1558</v>
      </c>
    </row>
    <row r="481" spans="1:6" x14ac:dyDescent="0.25">
      <c r="A481" s="1" t="s">
        <v>1041</v>
      </c>
      <c r="B481" s="1" t="s">
        <v>49</v>
      </c>
      <c r="C481" s="1">
        <v>-0.77432100000000004</v>
      </c>
      <c r="D481" s="1">
        <v>18.628658999999999</v>
      </c>
      <c r="E481" s="1" t="s">
        <v>1555</v>
      </c>
      <c r="F481" s="1" t="s">
        <v>1556</v>
      </c>
    </row>
    <row r="482" spans="1:6" x14ac:dyDescent="0.25">
      <c r="A482" s="1" t="s">
        <v>1113</v>
      </c>
      <c r="B482" s="1" t="s">
        <v>128</v>
      </c>
      <c r="C482" s="1">
        <v>-10.25074</v>
      </c>
      <c r="D482" s="1">
        <v>26.099086</v>
      </c>
      <c r="E482" s="1" t="s">
        <v>1555</v>
      </c>
      <c r="F482" s="1" t="s">
        <v>1556</v>
      </c>
    </row>
    <row r="483" spans="1:6" x14ac:dyDescent="0.25">
      <c r="A483" s="1" t="s">
        <v>1133</v>
      </c>
      <c r="B483" s="1" t="s">
        <v>124</v>
      </c>
      <c r="C483" s="1">
        <v>-1.8045979999999999</v>
      </c>
      <c r="D483" s="1">
        <v>12.511096999999999</v>
      </c>
      <c r="E483" s="1" t="s">
        <v>1557</v>
      </c>
      <c r="F483" s="1" t="s">
        <v>1556</v>
      </c>
    </row>
    <row r="484" spans="1:6" x14ac:dyDescent="0.25">
      <c r="A484" s="1" t="s">
        <v>1390</v>
      </c>
      <c r="B484" s="1" t="s">
        <v>71</v>
      </c>
      <c r="C484" s="1">
        <v>-11.265995</v>
      </c>
      <c r="D484" s="1">
        <v>28.935514999999999</v>
      </c>
      <c r="E484" s="1" t="s">
        <v>1555</v>
      </c>
      <c r="F484" s="1" t="s">
        <v>1554</v>
      </c>
    </row>
    <row r="485" spans="1:6" x14ac:dyDescent="0.25">
      <c r="A485" s="1" t="s">
        <v>1117</v>
      </c>
      <c r="B485" s="1" t="s">
        <v>11</v>
      </c>
      <c r="C485" s="1">
        <v>-11.622688999999999</v>
      </c>
      <c r="D485" s="1">
        <v>18.483874</v>
      </c>
      <c r="E485" s="1" t="s">
        <v>1553</v>
      </c>
      <c r="F485" s="1" t="s">
        <v>1558</v>
      </c>
    </row>
    <row r="486" spans="1:6" x14ac:dyDescent="0.25">
      <c r="A486" s="1" t="s">
        <v>1159</v>
      </c>
      <c r="B486" s="1" t="s">
        <v>11</v>
      </c>
      <c r="C486" s="1">
        <v>0.52897499999999997</v>
      </c>
      <c r="D486" s="1">
        <v>13.849651</v>
      </c>
      <c r="E486" s="1" t="s">
        <v>1557</v>
      </c>
      <c r="F486" s="1" t="s">
        <v>1558</v>
      </c>
    </row>
    <row r="487" spans="1:6" x14ac:dyDescent="0.25">
      <c r="A487" s="1" t="s">
        <v>1703</v>
      </c>
      <c r="B487" s="1" t="s">
        <v>38</v>
      </c>
      <c r="C487" s="1">
        <v>0.81629799999999997</v>
      </c>
      <c r="D487" s="1">
        <v>18.557718000000001</v>
      </c>
      <c r="E487" s="1" t="s">
        <v>1553</v>
      </c>
      <c r="F487" s="1" t="s">
        <v>1554</v>
      </c>
    </row>
    <row r="488" spans="1:6" x14ac:dyDescent="0.25">
      <c r="A488" s="1" t="s">
        <v>927</v>
      </c>
      <c r="B488" s="1" t="s">
        <v>49</v>
      </c>
      <c r="C488" s="1">
        <v>1.2691650000000001</v>
      </c>
      <c r="D488" s="1">
        <v>18.789956</v>
      </c>
      <c r="E488" s="1" t="s">
        <v>1557</v>
      </c>
      <c r="F488" s="1" t="s">
        <v>1564</v>
      </c>
    </row>
    <row r="489" spans="1:6" x14ac:dyDescent="0.25">
      <c r="A489" s="1" t="s">
        <v>796</v>
      </c>
      <c r="B489" s="1" t="s">
        <v>42</v>
      </c>
      <c r="C489" s="1">
        <v>-9.3652280000000001</v>
      </c>
      <c r="D489" s="1">
        <v>18.674116000000001</v>
      </c>
      <c r="E489" s="1" t="s">
        <v>1555</v>
      </c>
      <c r="F489" s="1" t="s">
        <v>1556</v>
      </c>
    </row>
    <row r="490" spans="1:6" x14ac:dyDescent="0.25">
      <c r="A490" s="1" t="s">
        <v>1704</v>
      </c>
      <c r="B490" s="1" t="s">
        <v>128</v>
      </c>
      <c r="C490" s="1">
        <v>-1.082322</v>
      </c>
      <c r="D490" s="1">
        <v>24.563559999999999</v>
      </c>
      <c r="E490" s="1" t="s">
        <v>1555</v>
      </c>
      <c r="F490" s="1" t="s">
        <v>1558</v>
      </c>
    </row>
    <row r="491" spans="1:6" x14ac:dyDescent="0.25">
      <c r="A491" s="1" t="s">
        <v>1222</v>
      </c>
      <c r="B491" s="1" t="s">
        <v>128</v>
      </c>
      <c r="C491" s="1">
        <v>-4.1754939999999996</v>
      </c>
      <c r="D491" s="1">
        <v>16.704664999999999</v>
      </c>
      <c r="E491" s="1" t="s">
        <v>1557</v>
      </c>
      <c r="F491" s="1" t="s">
        <v>1554</v>
      </c>
    </row>
    <row r="492" spans="1:6" x14ac:dyDescent="0.25">
      <c r="A492" s="1" t="s">
        <v>1705</v>
      </c>
      <c r="B492" s="1" t="s">
        <v>35</v>
      </c>
      <c r="C492" s="1">
        <v>-8.290025</v>
      </c>
      <c r="D492" s="1">
        <v>24.313573999999999</v>
      </c>
      <c r="E492" s="1" t="s">
        <v>1555</v>
      </c>
      <c r="F492" s="1" t="s">
        <v>1554</v>
      </c>
    </row>
    <row r="493" spans="1:6" x14ac:dyDescent="0.25">
      <c r="A493" s="1" t="s">
        <v>1503</v>
      </c>
      <c r="B493" s="1" t="s">
        <v>86</v>
      </c>
      <c r="C493" s="1">
        <v>-6.8149179999999996</v>
      </c>
      <c r="D493" s="1">
        <v>23.258102000000001</v>
      </c>
      <c r="E493" s="1" t="s">
        <v>1553</v>
      </c>
      <c r="F493" s="1" t="s">
        <v>1556</v>
      </c>
    </row>
    <row r="494" spans="1:6" x14ac:dyDescent="0.25">
      <c r="A494" s="1" t="s">
        <v>1104</v>
      </c>
      <c r="B494" s="1" t="s">
        <v>49</v>
      </c>
      <c r="C494" s="1">
        <v>2.4741019999999998</v>
      </c>
      <c r="D494" s="1">
        <v>29.297391000000001</v>
      </c>
      <c r="E494" s="1" t="s">
        <v>1555</v>
      </c>
      <c r="F494" s="1" t="s">
        <v>1554</v>
      </c>
    </row>
    <row r="495" spans="1:6" x14ac:dyDescent="0.25">
      <c r="A495" s="1" t="s">
        <v>1478</v>
      </c>
      <c r="B495" s="1" t="s">
        <v>16</v>
      </c>
      <c r="C495" s="1">
        <v>-3.1608390000000002</v>
      </c>
      <c r="D495" s="1">
        <v>13.244503999999999</v>
      </c>
      <c r="E495" s="1" t="s">
        <v>1557</v>
      </c>
      <c r="F495" s="1" t="s">
        <v>1556</v>
      </c>
    </row>
    <row r="496" spans="1:6" x14ac:dyDescent="0.25">
      <c r="A496" s="1" t="s">
        <v>966</v>
      </c>
      <c r="B496" s="1" t="s">
        <v>27</v>
      </c>
      <c r="C496" s="1">
        <v>4.1464489999999996</v>
      </c>
      <c r="D496" s="1">
        <v>17.793337000000001</v>
      </c>
      <c r="E496" s="1" t="s">
        <v>1553</v>
      </c>
      <c r="F496" s="1" t="s">
        <v>1558</v>
      </c>
    </row>
    <row r="497" spans="1:6" x14ac:dyDescent="0.25">
      <c r="A497" s="1" t="s">
        <v>1209</v>
      </c>
      <c r="B497" s="1" t="s">
        <v>38</v>
      </c>
      <c r="C497" s="1">
        <v>-12.431227</v>
      </c>
      <c r="D497" s="1">
        <v>18.414290999999999</v>
      </c>
      <c r="E497" s="1" t="s">
        <v>1553</v>
      </c>
      <c r="F497" s="1" t="s">
        <v>1556</v>
      </c>
    </row>
    <row r="498" spans="1:6" x14ac:dyDescent="0.25">
      <c r="A498" s="1" t="s">
        <v>1080</v>
      </c>
      <c r="B498" s="1" t="s">
        <v>19</v>
      </c>
      <c r="C498" s="1">
        <v>-5.2526849999999996</v>
      </c>
      <c r="D498" s="1">
        <v>12.374528</v>
      </c>
      <c r="E498" s="1" t="s">
        <v>1557</v>
      </c>
      <c r="F498" s="1" t="s">
        <v>1564</v>
      </c>
    </row>
    <row r="499" spans="1:6" x14ac:dyDescent="0.25">
      <c r="A499" s="1" t="s">
        <v>1706</v>
      </c>
      <c r="B499" s="1" t="s">
        <v>31</v>
      </c>
      <c r="C499" s="1">
        <v>3.4689049999999999</v>
      </c>
      <c r="D499" s="1">
        <v>18.19622</v>
      </c>
      <c r="E499" s="1" t="s">
        <v>1553</v>
      </c>
      <c r="F499" s="1" t="s">
        <v>1556</v>
      </c>
    </row>
    <row r="500" spans="1:6" x14ac:dyDescent="0.25">
      <c r="A500" s="1" t="s">
        <v>1707</v>
      </c>
      <c r="B500" s="1" t="s">
        <v>76</v>
      </c>
      <c r="C500" s="1">
        <v>-6.0946619999999996</v>
      </c>
      <c r="D500" s="1">
        <v>20.757277999999999</v>
      </c>
      <c r="E500" s="1" t="s">
        <v>1553</v>
      </c>
      <c r="F500" s="1" t="s">
        <v>1556</v>
      </c>
    </row>
    <row r="501" spans="1:6" x14ac:dyDescent="0.25">
      <c r="A501" s="1" t="s">
        <v>826</v>
      </c>
      <c r="B501" s="1" t="s">
        <v>31</v>
      </c>
      <c r="C501" s="1">
        <v>-7.3379339999999997</v>
      </c>
      <c r="D501" s="1">
        <v>28.404001999999998</v>
      </c>
      <c r="E501" s="1" t="s">
        <v>1557</v>
      </c>
      <c r="F501" s="1" t="s">
        <v>1564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14521E-2A69-43DB-AF1A-12A66BA3C0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Clients_Churn</vt:lpstr>
      <vt:lpstr>Clients_Churn suite</vt:lpstr>
      <vt:lpstr>Logs et Registre suite</vt:lpstr>
      <vt:lpstr>TDC CLIENTS, LOGS, REGISTRE </vt:lpstr>
      <vt:lpstr>Logs et Registre </vt:lpstr>
      <vt:lpstr>Registre_Maintenance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2026-03-27T13:47:38Z</dcterms:created>
  <dcterms:modified xsi:type="dcterms:W3CDTF">2026-03-31T20:15:07Z</dcterms:modified>
</cp:coreProperties>
</file>